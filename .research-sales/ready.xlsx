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worksRecorded\Sales\Marketing experiments\"/>
    </mc:Choice>
  </mc:AlternateContent>
  <xr:revisionPtr revIDLastSave="0" documentId="13_ncr:1_{E56AD86A-87D1-49B6-9F23-42E2B3382A48}" xr6:coauthVersionLast="47" xr6:coauthVersionMax="47" xr10:uidLastSave="{00000000-0000-0000-0000-000000000000}"/>
  <bookViews>
    <workbookView xWindow="-120" yWindow="-120" windowWidth="29040" windowHeight="15720" xr2:uid="{00000000-000D-0000-FFFF-FFFF00000000}"/>
  </bookViews>
  <sheets>
    <sheet name="Experiment 1" sheetId="3" r:id="rId1"/>
    <sheet name="WorksRecorded - construction" sheetId="1" r:id="rId2"/>
    <sheet name="WorksRecorded - production"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2" l="1"/>
  <c r="D23" i="2"/>
  <c r="D24" i="2" s="1"/>
  <c r="C23" i="2"/>
  <c r="C24" i="2" s="1"/>
  <c r="B23" i="2"/>
  <c r="B24" i="2" s="1"/>
  <c r="F160" i="1"/>
  <c r="E160" i="1"/>
  <c r="D160" i="1"/>
  <c r="G159" i="1"/>
  <c r="G160" i="1" s="1"/>
  <c r="F159" i="1"/>
  <c r="E159" i="1"/>
  <c r="D159" i="1"/>
  <c r="F111" i="1"/>
  <c r="E111" i="1"/>
  <c r="G110" i="1"/>
  <c r="G111" i="1" s="1"/>
  <c r="F110" i="1"/>
  <c r="E110" i="1"/>
  <c r="D110" i="1"/>
</calcChain>
</file>

<file path=xl/sharedStrings.xml><?xml version="1.0" encoding="utf-8"?>
<sst xmlns="http://schemas.openxmlformats.org/spreadsheetml/2006/main" count="652" uniqueCount="425">
  <si>
    <t>Date</t>
  </si>
  <si>
    <t xml:space="preserve">Company </t>
  </si>
  <si>
    <t>Contact</t>
  </si>
  <si>
    <t>Email sent</t>
  </si>
  <si>
    <t xml:space="preserve">Reached by call </t>
  </si>
  <si>
    <t>Demo</t>
  </si>
  <si>
    <t>Offer</t>
  </si>
  <si>
    <t>Trial</t>
  </si>
  <si>
    <t>Purchase</t>
  </si>
  <si>
    <t>Comments</t>
  </si>
  <si>
    <t>Confirm problem</t>
  </si>
  <si>
    <t>Problem severity</t>
  </si>
  <si>
    <t>Painful enoguh to pay?</t>
  </si>
  <si>
    <t>Lafivents</t>
  </si>
  <si>
    <t>SANART</t>
  </si>
  <si>
    <t>ENERĢIJA-G</t>
  </si>
  <si>
    <t>SANO Serviss</t>
  </si>
  <si>
    <t>Ventmontāža</t>
  </si>
  <si>
    <t>AJ Power</t>
  </si>
  <si>
    <t>HVAC Solutions</t>
  </si>
  <si>
    <t>AKVILON</t>
  </si>
  <si>
    <t>OMS</t>
  </si>
  <si>
    <t>Ventors</t>
  </si>
  <si>
    <t>BaltService</t>
  </si>
  <si>
    <t>NIC Ozols</t>
  </si>
  <si>
    <t>Firetex</t>
  </si>
  <si>
    <t>Latakva Fire Solutions</t>
  </si>
  <si>
    <t>PRParks Latvija</t>
  </si>
  <si>
    <t>KNESS Baltic</t>
  </si>
  <si>
    <t>Responsible</t>
  </si>
  <si>
    <t>Company</t>
  </si>
  <si>
    <t>Reached by call</t>
  </si>
  <si>
    <t>Meeting</t>
  </si>
  <si>
    <t>Contacts</t>
  </si>
  <si>
    <t>Result</t>
  </si>
  <si>
    <t>Reason for rejection</t>
  </si>
  <si>
    <t>Thoughts</t>
  </si>
  <si>
    <t>Angle</t>
  </si>
  <si>
    <t>Sales cycle time</t>
  </si>
  <si>
    <t>VG</t>
  </si>
  <si>
    <t>Lindberg</t>
  </si>
  <si>
    <t>Dhg</t>
  </si>
  <si>
    <t>Dasgroup</t>
  </si>
  <si>
    <t>Artjoms, 24558342 - Ir interse, varām sazvanīties 29.07.2026 otrā dinas puse.
30.07.2026 - Promised will call after 17:00</t>
  </si>
  <si>
    <t xml:space="preserve">
04.08.2026 - Tried to call again, no answer. </t>
  </si>
  <si>
    <t>Couldn’t reach again</t>
  </si>
  <si>
    <t>Restaurators</t>
  </si>
  <si>
    <t>davis@restaurators.lv ; valdis@restaurators.lv'</t>
  </si>
  <si>
    <t>Not interested, already all proccesse are digitalized</t>
  </si>
  <si>
    <t>Anzage</t>
  </si>
  <si>
    <t>Edijs Veinbergs
Valdes priekšsēdētājs
 +371 26568529
edijs@anzage.lv
Ēriks Lebedoks
Ēriks Lebedoks
Valdes loceklis
 +371 26423563
eriks@anzage.lv</t>
  </si>
  <si>
    <t>Not interested, they say the use BIS</t>
  </si>
  <si>
    <t>Clearly I didn't explain good enough</t>
  </si>
  <si>
    <t>Gravejs</t>
  </si>
  <si>
    <t>"info@gravejs.lv" &lt;info@gravejs.lv&gt;</t>
  </si>
  <si>
    <t>Got to the receptionist, he said will forward my email to releveant person.</t>
  </si>
  <si>
    <t>Sprinklers</t>
  </si>
  <si>
    <t>romualds.spaks@sprinkler.lv : Mobile: +371 20269727</t>
  </si>
  <si>
    <t xml:space="preserve">Meeting wast 31.07.2026. Nice meeting, interested, send price offer. </t>
  </si>
  <si>
    <t xml:space="preserve">I think they have already offer and wanter to compare . </t>
  </si>
  <si>
    <t>Report from workers</t>
  </si>
  <si>
    <t>Ekoteh</t>
  </si>
  <si>
    <t xml:space="preserve"> 29536561 - Didzis Oskars. </t>
  </si>
  <si>
    <t xml:space="preserve">Called 04.08.2026. He gave me contact : 29536561 - Didzis Oskars.  RixBuild - apmerinā (3 gadi lieto). Laika grafiks, EDLUS. Reķini, forma 2 forma 2. Bikus.  didzis@echotech.lv </t>
  </si>
  <si>
    <t>I think they misunderstood what exactly we are offering, he was thinking about BIS and about project management. Also again they are general contractors.</t>
  </si>
  <si>
    <t>Vitbuve</t>
  </si>
  <si>
    <t>a7betons</t>
  </si>
  <si>
    <t>Pure digitalization failed. Said no interes</t>
  </si>
  <si>
    <t>Programming</t>
  </si>
  <si>
    <t>Driller.lv</t>
  </si>
  <si>
    <t>27012312, Juri (s?)</t>
  </si>
  <si>
    <t>Is interesed, asked to send email, I am waiting for an ansser. Called again in a couple of days, he said : sorry,no time</t>
  </si>
  <si>
    <t>dimteh.lv</t>
  </si>
  <si>
    <t>info@dimteh.lv ; 
22352039</t>
  </si>
  <si>
    <t>1) Need to call again. 2) Not inetersetd, using papers and excel and all good. Also asked if he need to digitalize something also, no interes.</t>
  </si>
  <si>
    <t xml:space="preserve">Montāžnieks DE </t>
  </si>
  <si>
    <t>Uģis Klaužs — director and board member
Best contact for WorksRecorded
Public phone: +371 29126530
Email: md@mde.lv
Another associated email: info@eldita.lv
He left Montāžnieks D and became a board member of Montāžnieks DE. Source</t>
  </si>
  <si>
    <t xml:space="preserve"> Refused to continue dialog. Not happy to hear me trying to reach Ugis, well, I politely wished a good day. </t>
  </si>
  <si>
    <t xml:space="preserve">Ok, so most likely they have a team of small individiuals rujnning around the site. We can try izmaksas angle or work record angle. Is it possible to combine this angle so client can choose the one more appropriate to him? 
</t>
  </si>
  <si>
    <t>Glass Construction</t>
  </si>
  <si>
    <t>Sastatņu Serviss</t>
  </si>
  <si>
    <t>Role: Board member at JD MĀRKETINGS
Mobile: +371 29496862
Email: juris@sastatnes.lv
Also publicly listed as chairman of the board of SIA “Sastatņu serviss”
Mobile: +371 29494491
Email: dairis@sastatnes.lv</t>
  </si>
  <si>
    <t>We have 2 teams, we have nothing to control, cik cimdes ir nopirkts, montāža brigades. - Sastanes centrs.</t>
  </si>
  <si>
    <t>Roofmaster</t>
  </si>
  <si>
    <t>Call no luck</t>
  </si>
  <si>
    <t>itpiling.lv</t>
  </si>
  <si>
    <t>No point of reaching out, way too big company</t>
  </si>
  <si>
    <t>jumtusegumcentrs.lv</t>
  </si>
  <si>
    <t>Sandis  +29106160</t>
  </si>
  <si>
    <t xml:space="preserve"> They don't use new systems currently. Showed some interest in trying, asked to send info in WhatsApp what I did. Need to check up on him if he had time to check our offer. </t>
  </si>
  <si>
    <t xml:space="preserve">For this one I also tried to contact project manager, who quite nicely directed to me himself to the owner. </t>
  </si>
  <si>
    <t xml:space="preserve">rsga.lv </t>
  </si>
  <si>
    <t>Kaspars Priede
Board Member since 29 May 2026 + Project/Product Manager
+371 20694678 · info@rsga.lv - 09:00</t>
  </si>
  <si>
    <t xml:space="preserve">Called them on 07.08, they asked to call 09:00 in Monday, called - no answer. Ok. Quite interesting, that custom made solution was interesting, he was listenign. We were talking for like 10 minuts. But I think it is quite tricky to move further, no concrete actions. Wiht product it is easier to move in to meeting I think. Also i should have aimed for a Teams meeting. Asked for gramatvēdibas pakalpojums Tildes jumis. Was aware of BIS, was aware of darba stundas, I think he was quite surprised that I opened from custom made solutions. 
</t>
  </si>
  <si>
    <t>Eiropas Jumti</t>
  </si>
  <si>
    <t>PersonRoleContactPriorityDzintars PetrovsOwner 100% + Board Member + beneficial owner+371 29880716 · - call 10:00 . Was really good actually when I said we are programmers.</t>
  </si>
  <si>
    <t>For this guys lets try "Kādu sistēmu jūs pašlaik izmantojat, lai uzskaitītu objektā veiktos darbus?". Called once, he asked to call back in 35 min, called back in 35 min, he didn't pick up.</t>
  </si>
  <si>
    <t>Work records</t>
  </si>
  <si>
    <t>Uretek Baltic</t>
  </si>
  <si>
    <t>info@uretek.lv;  +371 2544 0919</t>
  </si>
  <si>
    <t xml:space="preserve">Dialog was structured quite well, I handled objections of me not knowing business (Described what they do), also that they have already system  (reporting from workstie was missing), then also that workers don't have time (that we report with voice to save time), then he gave and said not interestd. So I thnk well handled call. </t>
  </si>
  <si>
    <t>Rigensi</t>
  </si>
  <si>
    <t>Hydro Balt</t>
  </si>
  <si>
    <t>Bit bad information</t>
  </si>
  <si>
    <t>Betonētājs</t>
  </si>
  <si>
    <t>Baltic Scaffold</t>
  </si>
  <si>
    <t>VIKOMAKSS</t>
  </si>
  <si>
    <t>Edgars Zvans</t>
  </si>
  <si>
    <t>No projetcs at the moment</t>
  </si>
  <si>
    <t>RemBaltic</t>
  </si>
  <si>
    <t>MJ Partneri</t>
  </si>
  <si>
    <t>K-Tehnoloģijas</t>
  </si>
  <si>
    <t>FiXT</t>
  </si>
  <si>
    <t>Serviss</t>
  </si>
  <si>
    <t>IFC Latvija</t>
  </si>
  <si>
    <t>Flumina</t>
  </si>
  <si>
    <t>AER</t>
  </si>
  <si>
    <t>Baltijas Klimats</t>
  </si>
  <si>
    <t>Airwave</t>
  </si>
  <si>
    <t>Frigus</t>
  </si>
  <si>
    <t>Climate Systems</t>
  </si>
  <si>
    <t>Provent</t>
  </si>
  <si>
    <t>Rikon AC</t>
  </si>
  <si>
    <t>Eiroklimats</t>
  </si>
  <si>
    <t>Komforts</t>
  </si>
  <si>
    <t>Pro Mehānika</t>
  </si>
  <si>
    <t>Inženiersistēmas</t>
  </si>
  <si>
    <t>Termex</t>
  </si>
  <si>
    <t>Siltumserviss Rīga</t>
  </si>
  <si>
    <t>Siltumtehserviss</t>
  </si>
  <si>
    <t>VentEko</t>
  </si>
  <si>
    <t>Klima Latvija</t>
  </si>
  <si>
    <t>ELSANA</t>
  </si>
  <si>
    <t>Būvenergo A</t>
  </si>
  <si>
    <t>Kulmen</t>
  </si>
  <si>
    <t>Navitas RP</t>
  </si>
  <si>
    <t>TELEMAKS</t>
  </si>
  <si>
    <t>FTP</t>
  </si>
  <si>
    <t>Latus SARDZE</t>
  </si>
  <si>
    <t>Electrical.lv</t>
  </si>
  <si>
    <t>CVS</t>
  </si>
  <si>
    <t>Elpoli</t>
  </si>
  <si>
    <t>Salacgrīvas elektromontāžnieks</t>
  </si>
  <si>
    <t>Elnetworks</t>
  </si>
  <si>
    <t>Elektro-Alter</t>
  </si>
  <si>
    <t>Elektro</t>
  </si>
  <si>
    <t>Eltex</t>
  </si>
  <si>
    <t>DNS automātika</t>
  </si>
  <si>
    <t>Rears</t>
  </si>
  <si>
    <t>DarkNet</t>
  </si>
  <si>
    <t>Sprinkler Service</t>
  </si>
  <si>
    <t>Arcofire</t>
  </si>
  <si>
    <t>Iskada Serviss</t>
  </si>
  <si>
    <t>Sistēmu Inovācijas</t>
  </si>
  <si>
    <t>Baltic Security Systems</t>
  </si>
  <si>
    <t>Videoprojekts</t>
  </si>
  <si>
    <t>Apsardzes Alianse Tehnika</t>
  </si>
  <si>
    <t>Security Solutions</t>
  </si>
  <si>
    <t>Energo Sistēmas</t>
  </si>
  <si>
    <t>Elektron</t>
  </si>
  <si>
    <t>Rīgas Elektro</t>
  </si>
  <si>
    <t>EG Elektro</t>
  </si>
  <si>
    <t>Mītavas Elektra</t>
  </si>
  <si>
    <t>Elektrosistēmas</t>
  </si>
  <si>
    <t>Total</t>
  </si>
  <si>
    <t>%</t>
  </si>
  <si>
    <t>Total (%)</t>
  </si>
  <si>
    <t>WorksRecorded - Ražošana</t>
  </si>
  <si>
    <t>Wendimodular</t>
  </si>
  <si>
    <t>Used standart script. Kind of worked. Call again next week Wednesday 12.08</t>
  </si>
  <si>
    <t>SPARS AP</t>
  </si>
  <si>
    <t xml:space="preserve">3 cilvēki, nav intereses. </t>
  </si>
  <si>
    <t>Nordichomes</t>
  </si>
  <si>
    <t>WWL</t>
  </si>
  <si>
    <t>Norgehouse</t>
  </si>
  <si>
    <t>Modern-house</t>
  </si>
  <si>
    <t>I think this guys asked to call again in Occtober</t>
  </si>
  <si>
    <t>Via-s</t>
  </si>
  <si>
    <t>Dores.kv</t>
  </si>
  <si>
    <t>Ehi.lv</t>
  </si>
  <si>
    <t>Darrehouse.lv</t>
  </si>
  <si>
    <t>Kontment.lv</t>
  </si>
  <si>
    <t>Proring</t>
  </si>
  <si>
    <t>skalahouses.lv</t>
  </si>
  <si>
    <t xml:space="preserve">Phone number called +371 28 311 169. 5 workers, they don't feel need for a system, they also don't use anytsistem currently. </t>
  </si>
  <si>
    <t>brette house</t>
  </si>
  <si>
    <t>Phone: +371 252 77 1  | Gennadii Bakunin — Founder, Operations</t>
  </si>
  <si>
    <t>ecospace.lv</t>
  </si>
  <si>
    <t>digitala ražošnas izmaksas kontroles sistēma. . Well got answer : "Paldies"</t>
  </si>
  <si>
    <t>Decision maker</t>
  </si>
  <si>
    <t>Role</t>
  </si>
  <si>
    <t>Email</t>
  </si>
  <si>
    <t>Phone</t>
  </si>
  <si>
    <t>LinkedIn</t>
  </si>
  <si>
    <t>Source</t>
  </si>
  <si>
    <t>Research note</t>
  </si>
  <si>
    <t>Madars Zariņš</t>
  </si>
  <si>
    <t>Board member, LAFI group</t>
  </si>
  <si>
    <t>lafisistemas@lafi.lv</t>
  </si>
  <si>
    <t>+371 25446616</t>
  </si>
  <si>
    <t>https://lafi.lv/par-mums/
https://lafi.lv/kontakti/</t>
  </si>
  <si>
    <t>Lafivents now operates under the LAFI brand. This is a verified group-level senior contact route.</t>
  </si>
  <si>
    <t>Aigars Kļaviņš</t>
  </si>
  <si>
    <t>Board member (verify current)</t>
  </si>
  <si>
    <t>info@sanart.lv</t>
  </si>
  <si>
    <t>+371 29900528</t>
  </si>
  <si>
    <t>https://sanart.lv/kontakti
https://www.firmas.lv/resources/lbgp/2021/lbgp_2021.pdf?v23=</t>
  </si>
  <si>
    <t>Current company email/phone verified. Named board member comes from an older public business profile, so confirm title on first contact.</t>
  </si>
  <si>
    <t>Guntis Šantars
info@energija-g.lv
+371 24242421</t>
  </si>
  <si>
    <t>Guntis Šantars</t>
  </si>
  <si>
    <t>Board member / project manager (verify current)</t>
  </si>
  <si>
    <t>info@energija-g.lv</t>
  </si>
  <si>
    <t>+371 24242421</t>
  </si>
  <si>
    <t>https://www.energija-g.lv/index.php?route=information%2Fcontact
https://www.la.lv/jauni-radiatori-labak-silda</t>
  </si>
  <si>
    <t>Company contact is current. Guntis Šantars was publicly identified as board member/project manager; verify current title.</t>
  </si>
  <si>
    <t>Board chairman — name not publicly exposed</t>
  </si>
  <si>
    <t>Board chairman / owner-level contact</t>
  </si>
  <si>
    <t>+371 67563065</t>
  </si>
  <si>
    <t>https://www.firmas.lv/lv/uznemumi/sano-serviss/40003544247
https://sano-serviss-c-58103.balticmarket.com/en/</t>
  </si>
  <si>
    <t>Active company. Free registry confirms one board chairman but does not expose the person's name; qualify by phone.</t>
  </si>
  <si>
    <t>Mārtiņš Jansons
martins.jansons@ajpower.lv
+371 28337981</t>
  </si>
  <si>
    <t>Mārtiņš Jansons</t>
  </si>
  <si>
    <t>Director of Sales</t>
  </si>
  <si>
    <t>martins.jansons@ajpower.lv</t>
  </si>
  <si>
    <t>+371 28337981</t>
  </si>
  <si>
    <t>https://ajpower.lv/en/kontakti/
https://ajpower.lv/en/about-us/</t>
  </si>
  <si>
    <t>Verified direct commercial decision-maker. AJ Power also lists Roberts Samtiņš as CEO.</t>
  </si>
  <si>
    <t>Board chairman / management</t>
  </si>
  <si>
    <t>info@hvac-s.lv</t>
  </si>
  <si>
    <t>+371 26346479 / +371 26414466</t>
  </si>
  <si>
    <t>https://www.hvacsolutions.lv/kontakti
https://www.firmas.lv/lv/uznemumi/hvac-solutions/40203145487</t>
  </si>
  <si>
    <t>Current company contact verified. Free registry confirms management structure but does not expose the person's name.</t>
  </si>
  <si>
    <t>Grigorijs Markins
grigorijs@akvilon.lv
+371 29354755</t>
  </si>
  <si>
    <t>Grigorijs Markins</t>
  </si>
  <si>
    <t>Production Manager / Board member</t>
  </si>
  <si>
    <t>grigorijs@akvilon.lv</t>
  </si>
  <si>
    <t>+371 29354755</t>
  </si>
  <si>
    <t>https://akvilon.eu/lv/kontakti</t>
  </si>
  <si>
    <t>Verified direct senior operating contact.</t>
  </si>
  <si>
    <t>Kārlis Skābe</t>
  </si>
  <si>
    <t>Board chairman (verify current)</t>
  </si>
  <si>
    <t>oms@oms.lv</t>
  </si>
  <si>
    <t>+371 63491032</t>
  </si>
  <si>
    <t>https://www.oms.lv/kontakti
https://iepirkumuarhivs.liepaja.lv/upload/iepirkumi/2015-67-ligumps2015_2_oms.pdf</t>
  </si>
  <si>
    <t>Current company email/phone verified. Named chairman comes from an older public contract, so confirm current role.</t>
  </si>
  <si>
    <t>Mihails Potaševs
ventors@ventors.lv
+371 67134122</t>
  </si>
  <si>
    <t>Mihails Potaševs</t>
  </si>
  <si>
    <t>Board chairman</t>
  </si>
  <si>
    <t>ventors@ventors.lv</t>
  </si>
  <si>
    <t>+371 67134122</t>
  </si>
  <si>
    <t>https://datreal.com/lv/lv/company/40102027082
https://www.zl.lv/lv/uznemums/ventors-sia/</t>
  </si>
  <si>
    <t>Public corporate profile identifies Mihails Potaševs as board chairman; company email/phone are public.</t>
  </si>
  <si>
    <t>Jevgenijs Andrejevs</t>
  </si>
  <si>
    <t>Board member</t>
  </si>
  <si>
    <t>info@baltservice.lv</t>
  </si>
  <si>
    <t>+371 26743208</t>
  </si>
  <si>
    <t>https://baltservice.lv/kontakti-2/
https://www.latarh.lv/gada-balva/jelgavas-vecpilsetas-kvartala-vesturiskas-apbuves-revitalizacija</t>
  </si>
  <si>
    <t>Named board member and matching public company contact.</t>
  </si>
  <si>
    <t>Rihards Šteins
rihards@mco.lv
+371 26244258</t>
  </si>
  <si>
    <t>Rihards Šteins</t>
  </si>
  <si>
    <t>rihards@mco.lv</t>
  </si>
  <si>
    <t>+371 26244258</t>
  </si>
  <si>
    <t>https://nicozols.lv/kontakti/</t>
  </si>
  <si>
    <t>Verified direct senior contact.</t>
  </si>
  <si>
    <t>Arthur Mezencev
sales@firetex.lv
+371 22402240</t>
  </si>
  <si>
    <t>Arthur Mezencev</t>
  </si>
  <si>
    <t>CGO (verify current)</t>
  </si>
  <si>
    <t>sales@firetex.lv</t>
  </si>
  <si>
    <t>+371 22402240</t>
  </si>
  <si>
    <t>https://firetex.lv/en/contacts/
https://flagma.lv/en/companies-k-1.html?sort=date</t>
  </si>
  <si>
    <t>Official company contact verified. Recent business directory lists Arthur Mezencev as CGO; verify title when contacting.</t>
  </si>
  <si>
    <t>Management / sales — named DM not verified
sales@latakva.com
+371 27249249</t>
  </si>
  <si>
    <t>Management / sales — named DM not verified</t>
  </si>
  <si>
    <t>Management / sales</t>
  </si>
  <si>
    <t>sales@latakva.com</t>
  </si>
  <si>
    <t>+371 27249249</t>
  </si>
  <si>
    <t>https://www.linkedin.com/company/latakva-fire-service</t>
  </si>
  <si>
    <t>https://www.latakva.com/en/about-us/contacts
https://company.lursoft.lv/en/latakva-fire-solutions/40103887033</t>
  </si>
  <si>
    <t>Active company; direct sales contact is verified. I did not find a sufficiently reliable public named decision maker.</t>
  </si>
  <si>
    <t>Owner / board member — name not publicly exposed
info@ugunsdrosibalv.lv
+371 26594357</t>
  </si>
  <si>
    <t>Owner / board member — name not publicly exposed</t>
  </si>
  <si>
    <t>Board member / owner</t>
  </si>
  <si>
    <t>info@ugunsdrosibalv.lv</t>
  </si>
  <si>
    <t>+371 26594357</t>
  </si>
  <si>
    <t>https://ugunsdrosibalv.lv/
https://www.firmas.lv/lv/uznemumi/prparks-latvija/40203142160</t>
  </si>
  <si>
    <t>Small active company (single owner/board member in registry). Name is suppressed in free public registry; phone/email route likely reaches the decision maker directly.</t>
  </si>
  <si>
    <t>Andrii Kalinovskyi
office@kness.lv
+371 29 35 45 57</t>
  </si>
  <si>
    <t>Andrii Kalinovskyi</t>
  </si>
  <si>
    <t>Director, KNESS Baltic / Head of EPC &amp; O&amp;M Baltics</t>
  </si>
  <si>
    <t>office@kness.lv</t>
  </si>
  <si>
    <t>+371 29 35 45 57</t>
  </si>
  <si>
    <t>https://lv.linkedin.com/in/andrii-kalinovskyi-baa40a232</t>
  </si>
  <si>
    <t>https://www.kness.lv/2026/02/
https://lv.linkedin.com/in/andrii-kalinovskyi-baa40a232
https://kness.energy/en/kompanii/</t>
  </si>
  <si>
    <t>Verified senior Baltic-region decision maker and local company contact.</t>
  </si>
  <si>
    <t>Email option 1</t>
  </si>
  <si>
    <t>Madars Zariņš
lafisistemas@lafi.lv
+371 25446616 (or maybe this : +371 67627787)</t>
  </si>
  <si>
    <t>Yes</t>
  </si>
  <si>
    <t>No</t>
  </si>
  <si>
    <t xml:space="preserve">They have their own solution for recording work. </t>
  </si>
  <si>
    <t>1. 🎯 Mārtiņš Petris — best target
📞 +371 26177621
📧 oms@oms.lv</t>
  </si>
  <si>
    <t>Paprovējam jibble ļoti labi, varam. Šobrid mēs utzicamies darbiniekiem un negribam traucēt esošo sistēmu ar jaunājam uzskaites sistēmam</t>
  </si>
  <si>
    <t>Jevgenijs Andrejevs — BaltService board member
📞 +371 26743208
📧 info@baltservice.lv</t>
  </si>
  <si>
    <t>They have internal sistem. No interest</t>
  </si>
  <si>
    <t xml:space="preserve">Not actual, but I think he was not ready at all. </t>
  </si>
  <si>
    <t>3. Artis Knoks — +371 28624940
Here the evidence is exceptionally strong.
A SANART construction contract explicitly says:
“valdes priekšsēdētājs Artis Knoks, mob.tel. 28624940, e-pasts info@sanart.lv.”
SANART's own social-media advertising also repeatedly publishes:
+371 28624940
artis@sanart.lv</t>
  </si>
  <si>
    <t>| 1 | Vladimirs Vereteņņikovs | Chairman of the Board, individual representation rights | +371 67563065 | sanoserviss@inbox.lv | Decision-maker ✅ / direct phone ❌ |</t>
  </si>
  <si>
    <t>Email option 2</t>
  </si>
  <si>
    <t xml:space="preserve">I am not sure what this is actually. </t>
  </si>
  <si>
    <t>Andris is explicitly listed by the Latvian Investment and Development Agency as FIRETEX's board member, with +371 29534106 as his contact number.</t>
  </si>
  <si>
    <t xml:space="preserve">I couldn't really understand. It seems that he heas a problem, but he need a compelte system so hours from site get recorded, then sent to gramatvedibas, and potentially to client for payment. Othrwise manualluy need. Also he seem to be wanted smart books integration, and also doing side project himself. </t>
  </si>
  <si>
    <t>Kind of, i would 3/5. Not sure, I guess he need a complete system. Maybe quesiton more complciated than I thought?</t>
  </si>
  <si>
    <t>Rached. Asked ot send email to info@cactus.lv</t>
  </si>
  <si>
    <t xml:space="preserve">info@ugunsdrosibalv.lv, asked to send more info. I can send and call later. </t>
  </si>
  <si>
    <t xml:space="preserve">Guys opened his company fire proteciton, not so many workers, but je say problem : 4)	Vai jusu projektu vadītājiem ir viegli dabūt askaites no objektā komandas?  , so technical workers just send messages to whatsapp. Also he said there was some offer to send workeriem uzdēvumus. </t>
  </si>
  <si>
    <t xml:space="preserve">Called Antrej, no interest. </t>
  </si>
  <si>
    <t>No, need to call again. Reached him, asked to call again 10:00  20.08.2026. New time 11:00 - 21.08.2026</t>
  </si>
  <si>
    <t xml:space="preserve">Asked tiešam darba uzskaite? What that supposed to mean I don't even know. This guys I think I need to call again after he checks system. </t>
  </si>
  <si>
    <t>Andis BB buve`</t>
  </si>
  <si>
    <t>https://safegroup.lv/</t>
  </si>
  <si>
    <t>MRPK</t>
  </si>
  <si>
    <t>Primekss</t>
  </si>
  <si>
    <t>https://www.estrichbuve.lv/</t>
  </si>
  <si>
    <t>https://www.betonaklonagridas.lv/</t>
  </si>
  <si>
    <t>www.expon.lv/</t>
  </si>
  <si>
    <t>https://www.uptk.lv/</t>
  </si>
  <si>
    <t>www.prbplus.lv</t>
  </si>
  <si>
    <t>https://bauart.lv/</t>
  </si>
  <si>
    <t>https://www.rbv.lv/</t>
  </si>
  <si>
    <t>https://www.accentbuve.lv/</t>
  </si>
  <si>
    <t>RL būves</t>
  </si>
  <si>
    <t>Lui Beton</t>
  </si>
  <si>
    <t>AB būvniecība</t>
  </si>
  <si>
    <t>ODILE MODULS</t>
  </si>
  <si>
    <t>II projekts</t>
  </si>
  <si>
    <t>Nulles ciklu celtniecības ražotne</t>
  </si>
  <si>
    <t>SAVI Būve</t>
  </si>
  <si>
    <t>Promus</t>
  </si>
  <si>
    <t>Manex būve</t>
  </si>
  <si>
    <t>Jelgavas būve-V</t>
  </si>
  <si>
    <t>Būve L</t>
  </si>
  <si>
    <t>Prima Celt</t>
  </si>
  <si>
    <t>AGNI BŪVE</t>
  </si>
  <si>
    <t>Evento</t>
  </si>
  <si>
    <t>https://titans.lv/</t>
  </si>
  <si>
    <t>Woodenlays</t>
  </si>
  <si>
    <t>https://www.vvcd.lv/</t>
  </si>
  <si>
    <t>https://buvesabc.lv/</t>
  </si>
  <si>
    <t>O.K. JOBS</t>
  </si>
  <si>
    <t>https://ancoris.eu/</t>
  </si>
  <si>
    <t>Būvfirma Vītols</t>
  </si>
  <si>
    <t>https://www.elektro-pm.lv/</t>
  </si>
  <si>
    <t>Industry</t>
  </si>
  <si>
    <t>Electrical contractor</t>
  </si>
  <si>
    <t>https://www.domabuve.lv/</t>
  </si>
  <si>
    <t>Talsu Spriegums</t>
  </si>
  <si>
    <t>Daugavpils Elektro</t>
  </si>
  <si>
    <t>Concrete contractors</t>
  </si>
  <si>
    <t>Fire contractor</t>
  </si>
  <si>
    <t>AVK Sistēmas</t>
  </si>
  <si>
    <t>Siltums Jums</t>
  </si>
  <si>
    <t>MEP and HVAC</t>
  </si>
  <si>
    <t xml:space="preserve">Called, no luck, 24.08.2026 - Aldis Baltiņš. He said will give me contact, he is not sure, maybe his team can fix themselves, maybe not. </t>
  </si>
  <si>
    <t>Called him, no interes as he doesn't have that much of documentation</t>
  </si>
  <si>
    <t xml:space="preserve">Guntars Vestmanis
Board Chairman, beneficial owner
+371 29288978
Primary decision maker </t>
  </si>
  <si>
    <t>Частный сектор.. Не очень заинтересован, плохой опыт с искуственным интелелктом, запишет телефон если когда-то что-то нужно будет. Говори что ему девочка через ИИ делал долго сайт остались неприятные впечатления. Нужно ему отправить видео WorksRecorded.</t>
  </si>
  <si>
    <t>Rustem, interested, +24446666</t>
  </si>
  <si>
    <t>Sandis Kirhners
Board Member and Project Manager
+371 26360513 · sandis.kirhners@gmail.com
Strong secondary</t>
  </si>
  <si>
    <t xml:space="preserve">Board chairman — name not publicly exposed
info@hvac-s.lv
+371 26346479 / +371 26414466 </t>
  </si>
  <si>
    <t xml:space="preserve">
gatis.svistunovs@hvac-s.lv </t>
  </si>
  <si>
    <t xml:space="preserve">, call him tomorrow first part of the day, 100 eur/BIS lieta. Interestend.   +24446666 - Рустам. От Евгения. Called him 26.08.2026 10:15. He said his "brigadeer" will do it. So no need for service. </t>
  </si>
  <si>
    <t>Sandis jumta segums</t>
  </si>
  <si>
    <t>The key decision maker at PRB PLUS is:
Priority	Contact	Role	Details
1	Mārtiņš Iesalnieks	Board member; certified construction manager and supervisor	+371 29251334 · martins.iesalnieks@gmail.com · LinkedIn</t>
  </si>
  <si>
    <t xml:space="preserve">Called, couldn't reach. Call again. </t>
  </si>
  <si>
    <t>Jurģis Kalniņš
Biznesa attīstības vadītājs, līdzīpašnieks
t. +371 29 600 960</t>
  </si>
  <si>
    <t>Priority	Person	Role	Contact
1	Jānis Buna	Company contact, certified electrical designer; historically identified as board member	+371 29187553 · energosistemas@energosistemas.lv
2	—	Office/general contact	+371 67436566 · energosistemas@energosistemas.lv</t>
  </si>
  <si>
    <t xml:space="preserve">Confused as fuck, call tomorrow again. </t>
  </si>
  <si>
    <t>Assuming you mean SIA ELEKTRON — elon.lv.
Best decision maker
Priority	Person	Role	Contact
1	Iļja Teterko	Company manager, board member and beneficial owner	+371 26824044 (company line) · info@elon.lv · LinkedIn</t>
  </si>
  <si>
    <t xml:space="preserve">Called 24.08, give ZTC contact as reference, he said will check, asked about if we can remove data from workers, I said on his phone data will remain, he said he will check and come back. Called 28.08.2026 - He said didn’t have time to check, he will contact me myself. Maybe I can send a reminder email or whatsapp message to him or somethign later. </t>
  </si>
  <si>
    <t>Martins Rullis</t>
  </si>
  <si>
    <t>Deniss Konstantinov</t>
  </si>
  <si>
    <t xml:space="preserve">Reached, call again 19.08.2026 end of the day.R eached. Call hime again around 24.08.2026 to see how it is oging.  Email was sent to him 19.08.2026. Called 24.08.2026 - no answer. Try again 25.08.2026. Reached him, he said he will check it out today, will give me some feedback. I also mentioned him that we offer BIS filling, and he says good it takes "dofiga" laiku from them. Whatsapp, darbinieku lappps. Asked to send more info.  And we can have a call.  25.08.2026 - Got a call, he will talk to his guys and find suitable project an d we need to call again. He is having a new projet with ierobežotot pieejamību, it is about 4 monht. Alos he is starting project in Liepaja.Didzis on of his managers. I offered him trial, 1 month we can do. Called again 28.08 - no answer, texted will  call back. </t>
  </si>
  <si>
    <t>They have a person who sits down, then guys send him what is completed in each project and guys get it to (I guess forma 2) and BIS. He seemed interested in BIS again. 21.08. Letš call again and try to upsell. Buys in vacation. Call him Friday 28.08.2026. Interseted, offered him 500 EUR for whole BIS. Call him 03.09.2026 (Thursday, he said most likely we will agree).</t>
  </si>
  <si>
    <t>Called him, he said no interest in BIS as he has no montāža.</t>
  </si>
  <si>
    <t xml:space="preserve">They are very small I think. He said BIS is filled by himself, and darba vadītjas is his brother so no interested. </t>
  </si>
  <si>
    <t>I couldn’t verify a public direct mobile number for Didzis Torims.
The reliable business contact is:
Accent Būve: +371 640 70 770
Email: info@accentbuve.lv
Didzis is confirmed as the company’s board member, but published records only provide the shared company number. Company document · Current company record
I found other mobile numbers in procurement documents, but none could be reliably attributed to Didzis.</t>
  </si>
  <si>
    <t xml:space="preserve">He has not connection to BIS, also he is using filedwire for inspection, he is satisfied. I treid to upsell on a automatization and programming, he said send contact so he can save. Email wiith more info sent. </t>
  </si>
  <si>
    <t xml:space="preserve">limeni.lv </t>
  </si>
  <si>
    <t xml:space="preserve">Called him 26.08.2026. He seems kind of interested, asked to send more info. Send today more info and contact in a week or so. He said he will discuss with his tema. Offered 150 eur for 1 bis lietu, also offered worksrecroded offer. . Called him 28.08.2026, 14:06, also busy, said to call Monday. Called 31.08.2026, He doesn't have many people so not interested in worksrecorded. Also he dones't feel like paying 150 eur to anyone with BIS as they do believie they can do it themselves. </t>
  </si>
  <si>
    <t xml:space="preserve">Call him tomorrow 14:00, describe wat we can do. Also ask him. He also said he heas a lietvedis who fills in those reports, no issues. He said there are some old dudes who are not very good with BIS for them there is letiveides who does the job. He also say he has system that already works. Also ofthem he just gives price for m2 yes-yes, no-no. Objected that estimates are complicated, and also there could be a lot of positions. Hanged up because someone else was calling him. He said BIS lietvedis is full time. Asked to send him more info. 26.08 - sent him WhatSapp message. Called 28.08.2026 - forgot to ask if ērti runāt. So he said not convenient. Called 31.08.2026, Call hime end of the month to see if anything changes, BIS he deson't want to change, also was buys again,  but I pushed on is it still actaul. It feels like fi we call and of the monht mabye he has new projects where we can see our system in work. </t>
  </si>
  <si>
    <t>Mārtiņš Jenčš</t>
  </si>
  <si>
    <t>Elvis Bergs</t>
  </si>
  <si>
    <t xml:space="preserve">01.09.2026 called, agreed on a meeting 15:00, he is from Liepaja. Owns a construction company. He was interestrd in alsmot all funcitonlait, I asked what problem he has in his company, he said no problem just want to improve on current system of hundreds of whatsapp chats. Agreed to start a pilot. Send him same day info. Need call 02.09.2026 to see if received and connected. Called again 02.09.2026, asked if all received, he said received, will test after lunch. </t>
  </si>
  <si>
    <t xml:space="preserve">Visparēja celtniecības, call  Monday to arrange video call. Called again, he said iconventinet to talk and he will call back. Called again, still buys. Need to call him 01.09.2026 around 10:00. Called 02.09.2026, got a bit confused on offer, he asked price, included BIS i said 30 uer par lietotāju, and 150 eur for filling in BIS.  Not sure, he said very busy, I think lead is dead. </t>
  </si>
  <si>
    <t xml:space="preserve">Good conversation, need to send him more info. He will check until wendesday next week. He also promised to send me his excel to understand better. Called 02.09.2026, arranged meeting for Friday. </t>
  </si>
  <si>
    <t>Viktors</t>
  </si>
  <si>
    <t xml:space="preserve">37120799991 Jānis Kalnins </t>
  </si>
  <si>
    <t>Called today, seems intertsed in making a system, promised to get back with the dates for the meeting, he has company working with roofs, but now doing more general contractor stuff.</t>
  </si>
  <si>
    <t>Roberts Vitols</t>
  </si>
  <si>
    <t>Rigas centrāla dzelsceļā stacija Bererix.  Juris. +37126393777</t>
  </si>
  <si>
    <t xml:space="preserve">Calle dhimself, he has got 2000 ikdienas darbi eery day to confirm, we need to offer him better analyitcs so he can manager. Agreed we will contact him in WHatsaPP, he will connect to BIS lieta and we will see what we can do. </t>
  </si>
  <si>
    <t xml:space="preserve">Looks like some shit </t>
  </si>
  <si>
    <t xml:space="preserve">He said interese ir, bet nav laiku iepazisties. Es pieāvājau uzzvanīt nakamnēdeļ. Called 02.09.2026, again busy with concrete, call tomorro end of the day (03.09.2026). I think lead is dead chacsed again 04.09.2026, he said will forward to someone, but I don't see he is interetsed that much. </t>
  </si>
  <si>
    <t>Offered him aipizldīt BIS 50 eur/mēnesi, he was interested, sent him email, need to check up on him. Martiņš +26152928 (Projektu vadītājs) - Andri Iedeva telefonu. Soon starting new project, check with him if actual or no. Called Martins, he will arrange meeting this week kaltiene so we can offer our service. Call Monday 31.08.2026 Martiņš. Called 31.08.2026. He said din't have time to think about, so most likely will contact on Friday 04.09.2026. "Mārtiņ, gribēju ātri saprast, vai šis jums vēl ir aktuāli. Ja jā, sarunājam konkrētu 20 min tikšanos nākamnedēļ. Ja šobrīd nav prioritāte, arī viss kārtībā — tad es jūs netraucēšu un sazināsimies vēlāk.” I think we agreed to have a call on Thursday to agree meeting monday 14.09</t>
  </si>
  <si>
    <t>Vladimiris Nikitiins</t>
  </si>
  <si>
    <t xml:space="preserve">Called 07.09.2026, site manager, interested in darbas uzskaite and laik uzskatei. Meeting 07.09.2026 - 18:00. Agreed to send him On Whatsapp more info. </t>
  </si>
  <si>
    <t xml:space="preserve">Aivars Rumba </t>
  </si>
  <si>
    <t xml:space="preserve">Tried to reach 11:00, couldn't he reach him. Reached, he is in a process of digitalization. He said he is buys in 2 week, send him more info in email. Offered BIS filling 60 EUR month par 1 būnviecības lietu. Interse ir. He said also interest in fillin BIS 60 EUR he thinks it is almost for free. He immidiately himself started asking question and said they are in the middle of digitalization and consultant looking for a complete solution. He was also interestd in gramatvedibas pakalpojumu and interested in estimate service. Called 07.09.2026 . He   busy. Call again 07.09.2026 after lunch. Called me back, said he still need to talk to his financial diractor to discuss both BIS and Digital system. Said will call me in a couple of days. </t>
  </si>
  <si>
    <t>Didzis Eglītis</t>
  </si>
  <si>
    <t xml:space="preserve">07.09.2026. I am not even sure what he watend, I offered what we can, some WhatSapp automatizaiton, he said he just checking up some systems. Maybe we need to give conrete improvement on existing WhatsApp systesm? He also asked for CRM system, I don't think we can offer that. </t>
  </si>
  <si>
    <t xml:space="preserve">Dmitrij Orlov </t>
  </si>
  <si>
    <t>Valentina Novikova</t>
  </si>
  <si>
    <t>Called 02.09, interested in BIS completion, offered him 150 EUR monht full BIS completion. He said interested, will come back tomorrow 03.09.2026. Called 04.09.2026 - no answer. All again 07.09.2026. Called 07.09.2026 - no answer.</t>
  </si>
  <si>
    <t>Offered him 50 eur per project a month. It seems we need to sign confiditiality contract to not get problems. Agreed to have a call on Monday to start new project 100k. He need to finish in november. 07.09.2026 - Caled 07.09.2026 - Asked to call him back on Thursday 10.09.2026.</t>
  </si>
  <si>
    <t xml:space="preserve">Call him again in 2 hours. 07.09.2026. Again I didn't understand completely, but I sohuld have asked what exactyl his problem with BIS. It is like he said he still need to approve everything in BIS so not a big problem, also he write in Excel all darbi and then write himself in the end of the week. </t>
  </si>
  <si>
    <t xml:space="preserve">Seems like have intereste, call him again 24.08, he said he will talk to colleague about it.  Ugis called me, I offered him 20 eur licencse + 50 eur BIS managmenet. His new project start middle of september. Ugis seems interested in both, BIS and the WokrsRecorded. 07.08.2026 Septembri beigas sākas new objects, he said will inform and they made a deciison to give it a try. I guess ok I dunno. </t>
  </si>
  <si>
    <t xml:space="preserve">Interseted, both BIS and darba uzskaite. I kind of lead him to the demo meeting, ye said that next week Friday is good. Kind of worked to lead to DEMO. Also confimred BIS takes a lot of time. Said we can try BIS filling when he has got a new project. Offered 150 EUR/monht. I argued it allows 30 min a day, whihc site manager can spend on fixing quality and this is real 'ieguvums" on which he agreed. Sent him more info 28.08.2028. Call again Thursdaty to confirm meeting. mEETING 04.09.2026, seems not too much interestd in BIS. Had a good excel to track works. But also seems quite intersetd in Noliktava and materials. Agreed to have a call tuesday 08.09 to have a call about pilot project. Called 08.09.2026, they discussed, say what to "tikt galā"on his end, end if interested they wil contact. </t>
  </si>
  <si>
    <t>07.09.2026 - Called no answer. 08.09.2026 - Called again - no answer</t>
  </si>
  <si>
    <t xml:space="preserve">Called couple of times no luck. Called 08.09.2026, gave 150 eur par bis lietu aizpildīšan (mēnesis? Not sure), also 50 eur for user darba uzskaite. He agreed to give me his email so I can send him invitiation for meeting, he need to discuss with rpoject manager. </t>
  </si>
  <si>
    <t>Called him 03.09.2026, no answer, send message introducing oursevles. Called again 08.09.2026, no luck. Dead.</t>
  </si>
  <si>
    <t>07.09.2026 - Called, Seems very busy, call him later. 08.09.2026 - Called again, he said to cal him in 1 or 1.5 hour on 08.09.2026. Not relevant.</t>
  </si>
  <si>
    <t xml:space="preserve">Interested in WhatsApp automation. Also intersted in Warehouse. Agreed to a trial of 2 weeks, where I will be added to his group chat and will do analyitcs for him. Using Begin.lv and also fieldwire. Begin.lv to count hours, fielldiwer for what seems to be task management and snags. Seems happy with both. Worksrecroded needed because he has nothing to control costs. He is caluclating additional work from using too much material. Won paddel torunament. Got 5-6 projects simultaniously. Also discussed that data is gold, he agreed, but data is hard to analyze also agreed, also he has diffuclty to keep track of material added and used. Also informed workers use fixed rate, so don't inform when leave site, or how many hours worked. Possible integration with begin.lv. Success. Contract signed. </t>
  </si>
  <si>
    <t xml:space="preserve">Callded 26.08. Call him enxt week around Tuesday 01.09 when people who might be interested ar back. Interested both BIS and Izmaksu kontrole. Also Ima leading with problem (vai ir problēma ar BIS, vai ir problēma ar algas paresnigešānu budžēta) - and it goes very well. Janis Kalninš Novastuff - apakšuzņēmeji 50/50 (opromsed to send me his number). Call him again on Monday, don't forget to as for Janis Kalninš Novastuff number . Called again 02.09.2026 - They are intereseted, he said peeople were sick, so now slowly coming back,  call him again on Monday 07.09.2026. Called on 09.07.2026, he asked to send message, I sent, but I think lead is getting cold. </t>
  </si>
  <si>
    <t>371 26 552 190, called no answer</t>
  </si>
  <si>
    <t xml:space="preserve">Called 29142246 </t>
  </si>
  <si>
    <t>No intere, he is doing everything himself. Also converstaion wasnt very good. Maybe still to pen with BIS? Also they compare once a month. Excel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</si>
</sst>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9">
    <font>
      <sz val="11"/>
      <color theme="1"/>
      <name val="Calibri"/>
    </font>
    <font>
      <sz val="11"/>
      <color theme="1"/>
      <name val="Calibri"/>
    </font>
    <font>
      <sz val="16"/>
      <color theme="1"/>
      <name val="Calibri"/>
    </font>
    <font>
      <sz val="11"/>
      <color theme="1"/>
      <name val="Calibri"/>
    </font>
    <font>
      <b/>
      <sz val="16"/>
      <color theme="1"/>
      <name val="Calibri"/>
    </font>
    <font>
      <sz val="11"/>
      <color rgb="FF9C5700"/>
      <name val="Calibri"/>
    </font>
    <font>
      <sz val="11"/>
      <color rgb="FF9C0006"/>
      <name val="Calibri"/>
    </font>
    <font>
      <sz val="11"/>
      <color rgb="FF006100"/>
      <name val="Calibri"/>
    </font>
    <font>
      <sz val="11"/>
      <color rgb="FF006100"/>
      <name val="Calibri"/>
    </font>
    <font>
      <sz val="11"/>
      <color rgb="FF9C0006"/>
      <name val="Calibri"/>
    </font>
    <font>
      <sz val="11"/>
      <color rgb="FF9C0006"/>
      <name val="Calibri"/>
    </font>
    <font>
      <sz val="11"/>
      <color theme="1"/>
      <name val="Carlito"/>
    </font>
    <font>
      <sz val="11"/>
      <color theme="1"/>
      <name val="Calibri"/>
    </font>
    <font>
      <b/>
      <sz val="11"/>
      <color theme="1"/>
      <name val="Calibri"/>
    </font>
    <font>
      <u/>
      <sz val="11"/>
      <color theme="10"/>
      <name val="Calibri"/>
    </font>
    <font>
      <sz val="11"/>
      <color rgb="FF1F2937"/>
      <name val="Carlito"/>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s>
  <fills count="16">
    <fill>
      <patternFill patternType="none"/>
    </fill>
    <fill>
      <patternFill patternType="gray125"/>
    </fill>
    <fill>
      <patternFill patternType="solid">
        <fgColor rgb="FFFFFF00"/>
      </patternFill>
    </fill>
    <fill>
      <patternFill patternType="solid">
        <fgColor rgb="FFFFEB9C"/>
      </patternFill>
    </fill>
    <fill>
      <patternFill patternType="solid">
        <fgColor rgb="FFFF0000"/>
      </patternFill>
    </fill>
    <fill>
      <patternFill patternType="solid">
        <fgColor rgb="FFFFC7CE"/>
      </patternFill>
    </fill>
    <fill>
      <patternFill patternType="solid">
        <fgColor rgb="FFC6EFCE"/>
      </patternFill>
    </fill>
    <fill>
      <patternFill patternType="solid">
        <fgColor rgb="FFC6EECF"/>
      </patternFill>
    </fill>
    <fill>
      <patternFill patternType="solid">
        <fgColor theme="9"/>
      </patternFill>
    </fill>
    <fill>
      <patternFill patternType="solid">
        <fgColor rgb="FFDEEAF6"/>
      </patternFill>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rgb="FFFCE4D6"/>
      </patternFill>
    </fill>
    <fill>
      <patternFill patternType="solid">
        <fgColor rgb="FFD9EAF7"/>
      </patternFill>
    </fill>
    <fill>
      <patternFill patternType="solid">
        <fgColor rgb="FF92D050"/>
        <bgColor indexed="64"/>
      </patternFill>
    </fill>
  </fills>
  <borders count="25">
    <border>
      <left/>
      <right/>
      <top/>
      <bottom/>
      <diagonal/>
    </border>
    <border>
      <left style="thin">
        <color rgb="FF000000"/>
      </left>
      <right style="hair">
        <color rgb="FF000000"/>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right/>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top style="thin">
        <color rgb="FF9CC2E5"/>
      </top>
      <bottom style="thin">
        <color rgb="FF9CC2E5"/>
      </bottom>
      <diagonal/>
    </border>
    <border>
      <left/>
      <right/>
      <top style="thin">
        <color rgb="FF9CC2E5"/>
      </top>
      <bottom style="thin">
        <color rgb="FF9CC2E5"/>
      </bottom>
      <diagonal/>
    </border>
    <border>
      <left style="thin">
        <color rgb="FF000000"/>
      </left>
      <right style="thin">
        <color rgb="FF000000"/>
      </right>
      <top/>
      <bottom style="thin">
        <color rgb="FF000000"/>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hair">
        <color auto="1"/>
      </left>
      <right/>
      <top style="hair">
        <color auto="1"/>
      </top>
      <bottom style="hair">
        <color auto="1"/>
      </bottom>
      <diagonal/>
    </border>
    <border>
      <left style="hair">
        <color auto="1"/>
      </left>
      <right/>
      <top style="hair">
        <color auto="1"/>
      </top>
      <bottom style="thin">
        <color indexed="64"/>
      </bottom>
      <diagonal/>
    </border>
    <border>
      <left/>
      <right/>
      <top/>
      <bottom style="thin">
        <color indexed="64"/>
      </bottom>
      <diagonal/>
    </border>
    <border>
      <left/>
      <right style="hair">
        <color auto="1"/>
      </right>
      <top style="hair">
        <color auto="1"/>
      </top>
      <bottom style="hair">
        <color auto="1"/>
      </bottom>
      <diagonal/>
    </border>
    <border>
      <left/>
      <right/>
      <top style="thin">
        <color rgb="FFE5E7EB"/>
      </top>
      <bottom style="thin">
        <color rgb="FFE5E7EB"/>
      </bottom>
      <diagonal/>
    </border>
  </borders>
  <cellStyleXfs count="6">
    <xf numFmtId="0" fontId="0" fillId="0" borderId="0"/>
    <xf numFmtId="9" fontId="1" fillId="0" borderId="0" applyFont="0" applyFill="0" applyBorder="0" applyAlignment="0" applyProtection="0"/>
    <xf numFmtId="0" fontId="14" fillId="0" borderId="0" applyNumberFormat="0" applyFill="0" applyBorder="0" applyAlignment="0" applyProtection="0"/>
    <xf numFmtId="0" fontId="16" fillId="6" borderId="0" applyNumberFormat="0" applyBorder="0" applyAlignment="0" applyProtection="0"/>
    <xf numFmtId="0" fontId="17" fillId="5" borderId="0" applyNumberFormat="0" applyBorder="0" applyAlignment="0" applyProtection="0"/>
    <xf numFmtId="0" fontId="18" fillId="3" borderId="0" applyNumberFormat="0" applyBorder="0" applyAlignment="0" applyProtection="0"/>
  </cellStyleXfs>
  <cellXfs count="146">
    <xf numFmtId="0" fontId="0" fillId="0" borderId="0" xfId="0"/>
    <xf numFmtId="0" fontId="1" fillId="0" borderId="0" xfId="0" applyFont="1"/>
    <xf numFmtId="0" fontId="2" fillId="0" borderId="1" xfId="0" applyFont="1" applyBorder="1" applyAlignment="1">
      <alignment horizontal="left" vertical="center" wrapText="1"/>
    </xf>
    <xf numFmtId="0" fontId="3" fillId="0" borderId="0" xfId="0" applyFont="1" applyAlignment="1">
      <alignment wrapText="1"/>
    </xf>
    <xf numFmtId="0" fontId="2" fillId="0" borderId="2" xfId="0" applyFont="1" applyBorder="1" applyAlignment="1">
      <alignment horizontal="left" vertical="center" wrapText="1"/>
    </xf>
    <xf numFmtId="0" fontId="3" fillId="0" borderId="0" xfId="0" applyFont="1" applyAlignment="1">
      <alignment horizontal="right"/>
    </xf>
    <xf numFmtId="0" fontId="4" fillId="0" borderId="3" xfId="0" applyFont="1" applyBorder="1" applyAlignment="1">
      <alignment horizontal="left" vertical="center" wrapText="1"/>
    </xf>
    <xf numFmtId="0" fontId="3" fillId="2" borderId="4" xfId="0" applyFont="1" applyFill="1" applyBorder="1"/>
    <xf numFmtId="0" fontId="3" fillId="2" borderId="4" xfId="0" applyFont="1" applyFill="1" applyBorder="1" applyAlignment="1">
      <alignment wrapText="1"/>
    </xf>
    <xf numFmtId="0" fontId="4" fillId="0" borderId="5" xfId="0" applyFont="1" applyBorder="1" applyAlignment="1">
      <alignment horizontal="left" vertical="center" wrapText="1"/>
    </xf>
    <xf numFmtId="0" fontId="5" fillId="3" borderId="6" xfId="0" applyFont="1" applyFill="1" applyBorder="1"/>
    <xf numFmtId="0" fontId="5" fillId="3" borderId="7" xfId="0" applyFont="1" applyFill="1" applyBorder="1"/>
    <xf numFmtId="0" fontId="5" fillId="3" borderId="8" xfId="0" applyFont="1" applyFill="1" applyBorder="1" applyAlignment="1">
      <alignment horizontal="right"/>
    </xf>
    <xf numFmtId="0" fontId="5" fillId="3" borderId="8" xfId="0" applyFont="1" applyFill="1" applyBorder="1"/>
    <xf numFmtId="0" fontId="5" fillId="3" borderId="8" xfId="0" applyFont="1" applyFill="1" applyBorder="1" applyAlignment="1">
      <alignment wrapText="1"/>
    </xf>
    <xf numFmtId="0" fontId="5" fillId="3" borderId="9" xfId="0" applyFont="1" applyFill="1" applyBorder="1"/>
    <xf numFmtId="164" fontId="3" fillId="0" borderId="0" xfId="0" applyNumberFormat="1" applyFont="1"/>
    <xf numFmtId="0" fontId="3" fillId="4" borderId="4" xfId="0" applyFont="1" applyFill="1" applyBorder="1"/>
    <xf numFmtId="0" fontId="6" fillId="5" borderId="6" xfId="0" applyFont="1" applyFill="1" applyBorder="1"/>
    <xf numFmtId="0" fontId="6" fillId="5" borderId="7" xfId="0" applyFont="1" applyFill="1" applyBorder="1"/>
    <xf numFmtId="0" fontId="3" fillId="4" borderId="4" xfId="0" applyFont="1" applyFill="1" applyBorder="1" applyAlignment="1">
      <alignment wrapText="1"/>
    </xf>
    <xf numFmtId="0" fontId="6" fillId="5" borderId="8" xfId="0" applyFont="1" applyFill="1" applyBorder="1" applyAlignment="1">
      <alignment horizontal="right"/>
    </xf>
    <xf numFmtId="0" fontId="6" fillId="5" borderId="8" xfId="0" applyFont="1" applyFill="1" applyBorder="1"/>
    <xf numFmtId="0" fontId="6" fillId="5" borderId="8" xfId="0" applyFont="1" applyFill="1" applyBorder="1" applyAlignment="1">
      <alignment wrapText="1"/>
    </xf>
    <xf numFmtId="0" fontId="6" fillId="5" borderId="8" xfId="0" applyFont="1" applyFill="1" applyBorder="1" applyAlignment="1">
      <alignment vertical="center" wrapText="1"/>
    </xf>
    <xf numFmtId="0" fontId="6" fillId="5" borderId="9" xfId="0" applyFont="1" applyFill="1" applyBorder="1"/>
    <xf numFmtId="9" fontId="3" fillId="0" borderId="0" xfId="0" applyNumberFormat="1" applyFont="1"/>
    <xf numFmtId="0" fontId="7" fillId="6" borderId="6" xfId="0" applyFont="1" applyFill="1" applyBorder="1"/>
    <xf numFmtId="0" fontId="7" fillId="6" borderId="7" xfId="0" applyFont="1" applyFill="1" applyBorder="1"/>
    <xf numFmtId="0" fontId="7" fillId="6" borderId="8" xfId="0" applyFont="1" applyFill="1" applyBorder="1" applyAlignment="1">
      <alignment horizontal="right"/>
    </xf>
    <xf numFmtId="0" fontId="7" fillId="6" borderId="8" xfId="0" applyFont="1" applyFill="1" applyBorder="1"/>
    <xf numFmtId="0" fontId="8" fillId="6" borderId="8" xfId="0" applyFont="1" applyFill="1" applyBorder="1" applyAlignment="1">
      <alignment wrapText="1"/>
    </xf>
    <xf numFmtId="0" fontId="7" fillId="6" borderId="8" xfId="0" applyFont="1" applyFill="1" applyBorder="1" applyAlignment="1">
      <alignment wrapText="1"/>
    </xf>
    <xf numFmtId="0" fontId="7" fillId="6" borderId="9" xfId="0" applyFont="1" applyFill="1" applyBorder="1"/>
    <xf numFmtId="0" fontId="9" fillId="5" borderId="8" xfId="0" applyFont="1" applyFill="1" applyBorder="1" applyAlignment="1">
      <alignment wrapText="1"/>
    </xf>
    <xf numFmtId="0" fontId="7" fillId="7" borderId="8" xfId="0" applyFont="1" applyFill="1" applyBorder="1"/>
    <xf numFmtId="0" fontId="7" fillId="6" borderId="8" xfId="0" applyFont="1" applyFill="1" applyBorder="1" applyAlignment="1">
      <alignment vertical="center" wrapText="1"/>
    </xf>
    <xf numFmtId="3" fontId="5" fillId="3" borderId="8" xfId="0" applyNumberFormat="1" applyFont="1" applyFill="1" applyBorder="1" applyAlignment="1">
      <alignment wrapText="1"/>
    </xf>
    <xf numFmtId="0" fontId="10" fillId="5" borderId="4" xfId="0" applyFont="1" applyFill="1" applyBorder="1"/>
    <xf numFmtId="0" fontId="1" fillId="8" borderId="0" xfId="0" applyFont="1" applyFill="1"/>
    <xf numFmtId="0" fontId="11" fillId="0" borderId="10" xfId="0" applyFont="1" applyBorder="1"/>
    <xf numFmtId="0" fontId="11" fillId="9" borderId="11" xfId="0" applyFont="1" applyFill="1" applyBorder="1"/>
    <xf numFmtId="0" fontId="11" fillId="0" borderId="0" xfId="0" applyFont="1"/>
    <xf numFmtId="0" fontId="3" fillId="0" borderId="12" xfId="0" applyFont="1" applyBorder="1" applyAlignment="1">
      <alignment horizontal="right"/>
    </xf>
    <xf numFmtId="0" fontId="3" fillId="0" borderId="12" xfId="0" applyFont="1" applyBorder="1"/>
    <xf numFmtId="0" fontId="3" fillId="0" borderId="12" xfId="0" applyFont="1" applyBorder="1" applyAlignment="1">
      <alignment wrapText="1"/>
    </xf>
    <xf numFmtId="9" fontId="0" fillId="0" borderId="0" xfId="1" applyFont="1"/>
    <xf numFmtId="0" fontId="6" fillId="5" borderId="8" xfId="0" applyFont="1" applyFill="1" applyBorder="1" applyAlignment="1">
      <alignment horizontal="left" vertical="center"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12" fillId="0" borderId="14" xfId="0" applyFont="1" applyBorder="1"/>
    <xf numFmtId="0" fontId="0" fillId="0" borderId="20" xfId="0" applyBorder="1"/>
    <xf numFmtId="0" fontId="0" fillId="0" borderId="21" xfId="0" applyBorder="1"/>
    <xf numFmtId="0" fontId="0" fillId="0" borderId="4" xfId="0" applyBorder="1"/>
    <xf numFmtId="0" fontId="0" fillId="0" borderId="22" xfId="0" applyBorder="1"/>
    <xf numFmtId="0" fontId="0" fillId="0" borderId="0" xfId="0" applyAlignment="1">
      <alignment vertical="top" wrapText="1"/>
    </xf>
    <xf numFmtId="0" fontId="13" fillId="0" borderId="0" xfId="0" applyFont="1" applyAlignment="1">
      <alignment horizontal="left" vertical="top" wrapText="1"/>
    </xf>
    <xf numFmtId="0" fontId="0" fillId="0" borderId="13" xfId="0" applyBorder="1" applyAlignment="1">
      <alignment horizontal="center" vertical="center"/>
    </xf>
    <xf numFmtId="0" fontId="0" fillId="0" borderId="20" xfId="0" applyBorder="1" applyAlignment="1">
      <alignment wrapText="1"/>
    </xf>
    <xf numFmtId="0" fontId="0" fillId="0" borderId="16" xfId="0" applyBorder="1" applyAlignment="1">
      <alignment wrapText="1"/>
    </xf>
    <xf numFmtId="0" fontId="0" fillId="0" borderId="13" xfId="0" applyBorder="1" applyAlignment="1">
      <alignment wrapText="1"/>
    </xf>
    <xf numFmtId="0" fontId="0" fillId="0" borderId="13" xfId="0" applyBorder="1" applyAlignment="1">
      <alignment horizontal="left" vertical="center"/>
    </xf>
    <xf numFmtId="0" fontId="0" fillId="10" borderId="16" xfId="0" applyFill="1" applyBorder="1"/>
    <xf numFmtId="0" fontId="0" fillId="10" borderId="0" xfId="0" applyFill="1" applyAlignment="1">
      <alignment vertical="top" wrapText="1"/>
    </xf>
    <xf numFmtId="0" fontId="0" fillId="10" borderId="0" xfId="0" applyFill="1"/>
    <xf numFmtId="0" fontId="0" fillId="11" borderId="15" xfId="0" applyFill="1" applyBorder="1"/>
    <xf numFmtId="0" fontId="0" fillId="11" borderId="13" xfId="0" applyFill="1" applyBorder="1"/>
    <xf numFmtId="0" fontId="0" fillId="11" borderId="20" xfId="0" applyFill="1" applyBorder="1" applyAlignment="1">
      <alignment wrapText="1"/>
    </xf>
    <xf numFmtId="0" fontId="0" fillId="11" borderId="16" xfId="0" applyFill="1" applyBorder="1"/>
    <xf numFmtId="0" fontId="0" fillId="11" borderId="0" xfId="0" applyFill="1" applyAlignment="1">
      <alignment vertical="top" wrapText="1"/>
    </xf>
    <xf numFmtId="0" fontId="0" fillId="11" borderId="0" xfId="0" applyFill="1"/>
    <xf numFmtId="0" fontId="0" fillId="0" borderId="0" xfId="0" applyAlignment="1">
      <alignment horizontal="right"/>
    </xf>
    <xf numFmtId="0" fontId="14" fillId="0" borderId="0" xfId="2" applyAlignment="1">
      <alignment horizontal="right"/>
    </xf>
    <xf numFmtId="0" fontId="0" fillId="0" borderId="14" xfId="0" applyBorder="1" applyAlignment="1">
      <alignment horizontal="right" vertical="top" wrapText="1"/>
    </xf>
    <xf numFmtId="0" fontId="0" fillId="0" borderId="13" xfId="0" applyBorder="1" applyAlignment="1">
      <alignment horizontal="right" vertical="top" wrapText="1"/>
    </xf>
    <xf numFmtId="0" fontId="0" fillId="11" borderId="13" xfId="0" applyFill="1" applyBorder="1" applyAlignment="1">
      <alignment horizontal="right" vertical="top" wrapText="1"/>
    </xf>
    <xf numFmtId="0" fontId="0" fillId="0" borderId="18" xfId="0" applyBorder="1" applyAlignment="1">
      <alignment horizontal="right" vertical="top" wrapText="1"/>
    </xf>
    <xf numFmtId="0" fontId="0" fillId="12" borderId="0" xfId="0" applyFill="1" applyAlignment="1">
      <alignment horizontal="right"/>
    </xf>
    <xf numFmtId="0" fontId="0" fillId="12" borderId="4" xfId="0" applyFill="1" applyBorder="1" applyAlignment="1">
      <alignment horizontal="right" vertical="top" wrapText="1"/>
    </xf>
    <xf numFmtId="0" fontId="14" fillId="12" borderId="4" xfId="2" applyFill="1" applyBorder="1" applyAlignment="1">
      <alignment horizontal="right" vertical="top" wrapText="1"/>
    </xf>
    <xf numFmtId="0" fontId="14" fillId="12" borderId="0" xfId="2" applyFill="1" applyAlignment="1">
      <alignment horizontal="right"/>
    </xf>
    <xf numFmtId="0" fontId="0" fillId="0" borderId="14" xfId="0" applyBorder="1" applyAlignment="1">
      <alignment horizontal="right"/>
    </xf>
    <xf numFmtId="0" fontId="0" fillId="0" borderId="4" xfId="0" applyBorder="1" applyAlignment="1">
      <alignment horizontal="right"/>
    </xf>
    <xf numFmtId="0" fontId="0" fillId="0" borderId="13" xfId="0" applyBorder="1" applyAlignment="1">
      <alignment horizontal="right"/>
    </xf>
    <xf numFmtId="0" fontId="0" fillId="11" borderId="13" xfId="0" applyFill="1" applyBorder="1" applyAlignment="1">
      <alignment horizontal="right"/>
    </xf>
    <xf numFmtId="0" fontId="1" fillId="0" borderId="4" xfId="0" applyFont="1" applyBorder="1" applyAlignment="1">
      <alignment horizontal="right"/>
    </xf>
    <xf numFmtId="0" fontId="11" fillId="0" borderId="11" xfId="0" applyFont="1" applyBorder="1" applyAlignment="1">
      <alignment horizontal="right"/>
    </xf>
    <xf numFmtId="0" fontId="0" fillId="0" borderId="22" xfId="0" applyBorder="1" applyAlignment="1">
      <alignment horizontal="right"/>
    </xf>
    <xf numFmtId="0" fontId="0" fillId="0" borderId="23" xfId="0" applyBorder="1"/>
    <xf numFmtId="0" fontId="0" fillId="11" borderId="23" xfId="0" applyFill="1" applyBorder="1"/>
    <xf numFmtId="0" fontId="15" fillId="13" borderId="24" xfId="0" applyFont="1" applyFill="1" applyBorder="1" applyAlignment="1">
      <alignment horizontal="right" vertical="top" wrapText="1"/>
    </xf>
    <xf numFmtId="0" fontId="15" fillId="14" borderId="24" xfId="0" applyFont="1" applyFill="1" applyBorder="1" applyAlignment="1">
      <alignment horizontal="right" vertical="top" wrapText="1"/>
    </xf>
    <xf numFmtId="0" fontId="0" fillId="0" borderId="0" xfId="0" applyAlignment="1">
      <alignment horizontal="right" wrapText="1"/>
    </xf>
    <xf numFmtId="0" fontId="0" fillId="15" borderId="4" xfId="0" applyFill="1" applyBorder="1"/>
    <xf numFmtId="0" fontId="0" fillId="15" borderId="15" xfId="0" applyFill="1" applyBorder="1"/>
    <xf numFmtId="0" fontId="1" fillId="15" borderId="4" xfId="0" applyFont="1" applyFill="1" applyBorder="1" applyAlignment="1">
      <alignment horizontal="right"/>
    </xf>
    <xf numFmtId="0" fontId="0" fillId="15" borderId="13" xfId="0" applyFill="1" applyBorder="1" applyAlignment="1">
      <alignment horizontal="right" vertical="top" wrapText="1"/>
    </xf>
    <xf numFmtId="0" fontId="0" fillId="15" borderId="13" xfId="0" applyFill="1" applyBorder="1" applyAlignment="1">
      <alignment horizontal="center" vertical="center"/>
    </xf>
    <xf numFmtId="0" fontId="0" fillId="15" borderId="13" xfId="0" applyFill="1" applyBorder="1" applyAlignment="1">
      <alignment wrapText="1"/>
    </xf>
    <xf numFmtId="0" fontId="0" fillId="15" borderId="13" xfId="0" applyFill="1" applyBorder="1"/>
    <xf numFmtId="0" fontId="0" fillId="15" borderId="20" xfId="0" applyFill="1" applyBorder="1" applyAlignment="1">
      <alignment wrapText="1"/>
    </xf>
    <xf numFmtId="0" fontId="0" fillId="15" borderId="13" xfId="0" applyFill="1" applyBorder="1" applyAlignment="1">
      <alignment horizontal="left" vertical="center" wrapText="1"/>
    </xf>
    <xf numFmtId="0" fontId="17" fillId="5" borderId="0" xfId="4"/>
    <xf numFmtId="0" fontId="17" fillId="5" borderId="0" xfId="4" applyAlignment="1">
      <alignment horizontal="center" vertical="center"/>
    </xf>
    <xf numFmtId="0" fontId="17" fillId="5" borderId="4" xfId="4" applyBorder="1" applyAlignment="1">
      <alignment horizontal="center" vertical="center" wrapText="1"/>
    </xf>
    <xf numFmtId="0" fontId="17" fillId="5" borderId="0" xfId="4" applyAlignment="1">
      <alignment horizontal="right"/>
    </xf>
    <xf numFmtId="0" fontId="17" fillId="5" borderId="0" xfId="4" applyAlignment="1">
      <alignment horizontal="center" vertical="center" wrapText="1"/>
    </xf>
    <xf numFmtId="0" fontId="17" fillId="5" borderId="4" xfId="4" applyBorder="1" applyAlignment="1">
      <alignment horizontal="right" vertical="top" wrapText="1"/>
    </xf>
    <xf numFmtId="0" fontId="17" fillId="5" borderId="0" xfId="4" applyAlignment="1">
      <alignment horizontal="right" wrapText="1"/>
    </xf>
    <xf numFmtId="0" fontId="17" fillId="5" borderId="0" xfId="4" applyAlignment="1">
      <alignment wrapText="1"/>
    </xf>
    <xf numFmtId="0" fontId="17" fillId="5" borderId="15" xfId="4" applyBorder="1"/>
    <xf numFmtId="0" fontId="17" fillId="5" borderId="4" xfId="4" applyBorder="1"/>
    <xf numFmtId="0" fontId="17" fillId="5" borderId="4" xfId="4" applyBorder="1" applyAlignment="1">
      <alignment horizontal="right"/>
    </xf>
    <xf numFmtId="0" fontId="17" fillId="5" borderId="13" xfId="4" applyBorder="1" applyAlignment="1">
      <alignment horizontal="right" vertical="top" wrapText="1"/>
    </xf>
    <xf numFmtId="0" fontId="17" fillId="5" borderId="13" xfId="4" applyBorder="1" applyAlignment="1">
      <alignment horizontal="center" vertical="center"/>
    </xf>
    <xf numFmtId="0" fontId="17" fillId="5" borderId="13" xfId="4" applyBorder="1" applyAlignment="1">
      <alignment wrapText="1"/>
    </xf>
    <xf numFmtId="0" fontId="17" fillId="5" borderId="13" xfId="4" applyBorder="1"/>
    <xf numFmtId="0" fontId="17" fillId="5" borderId="20" xfId="4" applyBorder="1" applyAlignment="1">
      <alignment wrapText="1"/>
    </xf>
    <xf numFmtId="0" fontId="16" fillId="6" borderId="0" xfId="3"/>
    <xf numFmtId="0" fontId="16" fillId="6" borderId="0" xfId="3" applyAlignment="1">
      <alignment horizontal="right"/>
    </xf>
    <xf numFmtId="0" fontId="16" fillId="6" borderId="0" xfId="3" applyAlignment="1">
      <alignment wrapText="1"/>
    </xf>
    <xf numFmtId="0" fontId="16" fillId="6" borderId="4" xfId="3" applyBorder="1" applyAlignment="1">
      <alignment horizontal="right" vertical="top" wrapText="1"/>
    </xf>
    <xf numFmtId="0" fontId="16" fillId="6" borderId="4" xfId="3" applyBorder="1" applyAlignment="1">
      <alignment wrapText="1"/>
    </xf>
    <xf numFmtId="0" fontId="16" fillId="6" borderId="4" xfId="3" applyBorder="1"/>
    <xf numFmtId="0" fontId="18" fillId="3" borderId="0" xfId="5"/>
    <xf numFmtId="0" fontId="18" fillId="3" borderId="24" xfId="5" applyBorder="1" applyAlignment="1">
      <alignment horizontal="right" vertical="top" wrapText="1"/>
    </xf>
    <xf numFmtId="0" fontId="18" fillId="3" borderId="0" xfId="5" applyAlignment="1">
      <alignment horizontal="right" wrapText="1"/>
    </xf>
    <xf numFmtId="0" fontId="18" fillId="3" borderId="4" xfId="5" applyBorder="1" applyAlignment="1">
      <alignment horizontal="right"/>
    </xf>
    <xf numFmtId="0" fontId="18" fillId="3" borderId="4" xfId="5" applyBorder="1" applyAlignment="1">
      <alignment horizontal="right" vertical="top" wrapText="1"/>
    </xf>
    <xf numFmtId="0" fontId="18" fillId="3" borderId="4" xfId="5" applyBorder="1"/>
    <xf numFmtId="0" fontId="18" fillId="3" borderId="4" xfId="5" applyBorder="1" applyAlignment="1">
      <alignment wrapText="1"/>
    </xf>
    <xf numFmtId="0" fontId="16" fillId="6" borderId="15" xfId="3" applyBorder="1"/>
    <xf numFmtId="0" fontId="16" fillId="6" borderId="11" xfId="3" applyBorder="1" applyAlignment="1">
      <alignment horizontal="right"/>
    </xf>
    <xf numFmtId="0" fontId="16" fillId="6" borderId="13" xfId="3" applyBorder="1" applyAlignment="1">
      <alignment horizontal="right" vertical="top" wrapText="1"/>
    </xf>
    <xf numFmtId="0" fontId="16" fillId="6" borderId="13" xfId="3" applyBorder="1" applyAlignment="1">
      <alignment horizontal="center" vertical="center"/>
    </xf>
    <xf numFmtId="0" fontId="16" fillId="6" borderId="13" xfId="3" applyBorder="1"/>
    <xf numFmtId="0" fontId="16" fillId="6" borderId="20" xfId="3" applyBorder="1" applyAlignment="1">
      <alignment wrapText="1"/>
    </xf>
    <xf numFmtId="0" fontId="17" fillId="5" borderId="24" xfId="4" applyBorder="1" applyAlignment="1">
      <alignment horizontal="right" vertical="top" wrapText="1"/>
    </xf>
    <xf numFmtId="0" fontId="18" fillId="3" borderId="0" xfId="5" applyAlignment="1">
      <alignment horizontal="right"/>
    </xf>
    <xf numFmtId="0" fontId="18" fillId="3" borderId="0" xfId="5" applyAlignment="1">
      <alignment wrapText="1"/>
    </xf>
    <xf numFmtId="0" fontId="16" fillId="6" borderId="0" xfId="3" applyAlignment="1">
      <alignment horizontal="right" vertical="center" wrapText="1"/>
    </xf>
  </cellXfs>
  <cellStyles count="6">
    <cellStyle name="Bad" xfId="4" builtinId="27"/>
    <cellStyle name="Good" xfId="3" builtinId="26"/>
    <cellStyle name="Hyperlink" xfId="2" builtinId="8"/>
    <cellStyle name="Neutral" xfId="5" builtinId="28"/>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C6EECF"/>
      </a:accent1>
      <a:accent2>
        <a:srgbClr val="ED7D31"/>
      </a:accent2>
      <a:accent3>
        <a:srgbClr val="A5A5A5"/>
      </a:accent3>
      <a:accent4>
        <a:srgbClr val="FFC000"/>
      </a:accent4>
      <a:accent5>
        <a:srgbClr val="4472C4"/>
      </a:accent5>
      <a:accent6>
        <a:srgbClr val="C6EECF"/>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auart.lv/" TargetMode="External"/><Relationship Id="rId13" Type="http://schemas.openxmlformats.org/officeDocument/2006/relationships/hyperlink" Target="https://www.elektro-pm.lv/" TargetMode="External"/><Relationship Id="rId3" Type="http://schemas.openxmlformats.org/officeDocument/2006/relationships/hyperlink" Target="https://www.estrichbuve.lv/" TargetMode="External"/><Relationship Id="rId7" Type="http://schemas.openxmlformats.org/officeDocument/2006/relationships/hyperlink" Target="http://www.prbplus.lv/" TargetMode="External"/><Relationship Id="rId12" Type="http://schemas.openxmlformats.org/officeDocument/2006/relationships/hyperlink" Target="https://ancoris.eu/" TargetMode="External"/><Relationship Id="rId17" Type="http://schemas.openxmlformats.org/officeDocument/2006/relationships/printerSettings" Target="../printerSettings/printerSettings1.bin"/><Relationship Id="rId2" Type="http://schemas.openxmlformats.org/officeDocument/2006/relationships/hyperlink" Target="https://safegroup.lv/" TargetMode="External"/><Relationship Id="rId16" Type="http://schemas.openxmlformats.org/officeDocument/2006/relationships/hyperlink" Target="https://titans.lv/" TargetMode="External"/><Relationship Id="rId1" Type="http://schemas.openxmlformats.org/officeDocument/2006/relationships/hyperlink" Target="mailto:info@ugunsdrosibalv.lv,%20asked%20to%20send%20more%20info.%20I%20can%20send%20and%20call%20later.%20" TargetMode="External"/><Relationship Id="rId6" Type="http://schemas.openxmlformats.org/officeDocument/2006/relationships/hyperlink" Target="https://www.uptk.lv/" TargetMode="External"/><Relationship Id="rId11" Type="http://schemas.openxmlformats.org/officeDocument/2006/relationships/hyperlink" Target="https://buvesabc.lv/" TargetMode="External"/><Relationship Id="rId5" Type="http://schemas.openxmlformats.org/officeDocument/2006/relationships/hyperlink" Target="http://www.expon.lv/" TargetMode="External"/><Relationship Id="rId15" Type="http://schemas.openxmlformats.org/officeDocument/2006/relationships/hyperlink" Target="https://www.accentbuve.lv/" TargetMode="External"/><Relationship Id="rId10" Type="http://schemas.openxmlformats.org/officeDocument/2006/relationships/hyperlink" Target="https://www.vvcd.lv/" TargetMode="External"/><Relationship Id="rId4" Type="http://schemas.openxmlformats.org/officeDocument/2006/relationships/hyperlink" Target="https://www.betonaklonagridas.lv/" TargetMode="External"/><Relationship Id="rId9" Type="http://schemas.openxmlformats.org/officeDocument/2006/relationships/hyperlink" Target="https://www.rbv.lv/" TargetMode="External"/><Relationship Id="rId14" Type="http://schemas.openxmlformats.org/officeDocument/2006/relationships/hyperlink" Target="https://www.domabuve.lv/"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U142"/>
  <sheetViews>
    <sheetView tabSelected="1" topLeftCell="A44" zoomScale="85" zoomScaleNormal="85" workbookViewId="0">
      <selection activeCell="D59" sqref="D59"/>
    </sheetView>
  </sheetViews>
  <sheetFormatPr defaultRowHeight="15"/>
  <cols>
    <col min="2" max="2" width="20" customWidth="1"/>
    <col min="3" max="3" width="85.7109375" style="76" customWidth="1"/>
    <col min="4" max="4" width="57.5703125" style="76" customWidth="1"/>
    <col min="5" max="5" width="18.5703125" customWidth="1"/>
    <col min="6" max="6" width="51.5703125" customWidth="1"/>
    <col min="7" max="7" width="14.85546875" customWidth="1"/>
    <col min="8" max="8" width="13.5703125" customWidth="1"/>
    <col min="9" max="9" width="11.42578125" customWidth="1"/>
    <col min="10" max="10" width="9.7109375" customWidth="1"/>
    <col min="11" max="11" width="60.42578125" customWidth="1"/>
    <col min="12" max="12" width="24.140625" customWidth="1"/>
    <col min="13" max="13" width="20" customWidth="1"/>
    <col min="14" max="14" width="27.42578125" customWidth="1"/>
    <col min="15" max="15" width="28" customWidth="1"/>
    <col min="16" max="16" width="30" customWidth="1"/>
    <col min="17" max="17" width="28" customWidth="1"/>
    <col min="18" max="18" width="24" customWidth="1"/>
    <col min="19" max="19" width="38" customWidth="1"/>
    <col min="20" max="20" width="48" customWidth="1"/>
    <col min="21" max="21" width="52" customWidth="1"/>
  </cols>
  <sheetData>
    <row r="2" spans="1:21" ht="15" customHeight="1">
      <c r="A2" s="49" t="s">
        <v>0</v>
      </c>
      <c r="B2" s="49" t="s">
        <v>351</v>
      </c>
      <c r="C2" s="86" t="s">
        <v>1</v>
      </c>
      <c r="D2" s="78" t="s">
        <v>2</v>
      </c>
      <c r="E2" s="49" t="s">
        <v>3</v>
      </c>
      <c r="F2" s="49" t="s">
        <v>4</v>
      </c>
      <c r="G2" s="49" t="s">
        <v>5</v>
      </c>
      <c r="H2" s="49" t="s">
        <v>6</v>
      </c>
      <c r="I2" s="49" t="s">
        <v>7</v>
      </c>
      <c r="J2" s="55" t="s">
        <v>8</v>
      </c>
      <c r="K2" s="49" t="s">
        <v>9</v>
      </c>
      <c r="L2" s="49" t="s">
        <v>10</v>
      </c>
      <c r="M2" s="55" t="s">
        <v>11</v>
      </c>
      <c r="N2" s="49" t="s">
        <v>12</v>
      </c>
      <c r="O2" s="61" t="s">
        <v>189</v>
      </c>
      <c r="P2" s="61" t="s">
        <v>190</v>
      </c>
      <c r="Q2" s="61" t="s">
        <v>191</v>
      </c>
      <c r="R2" s="61" t="s">
        <v>192</v>
      </c>
      <c r="S2" s="61" t="s">
        <v>193</v>
      </c>
      <c r="T2" s="61" t="s">
        <v>194</v>
      </c>
      <c r="U2" s="61" t="s">
        <v>195</v>
      </c>
    </row>
    <row r="3" spans="1:21" ht="72.75" customHeight="1">
      <c r="A3" s="50"/>
      <c r="B3" s="58"/>
      <c r="C3" s="87" t="s">
        <v>13</v>
      </c>
      <c r="D3" s="79" t="s">
        <v>295</v>
      </c>
      <c r="E3" s="48" t="s">
        <v>294</v>
      </c>
      <c r="F3" s="48" t="s">
        <v>296</v>
      </c>
      <c r="G3" s="48" t="s">
        <v>297</v>
      </c>
      <c r="H3" s="48" t="s">
        <v>297</v>
      </c>
      <c r="I3" s="48" t="s">
        <v>297</v>
      </c>
      <c r="J3" s="48" t="s">
        <v>297</v>
      </c>
      <c r="K3" s="63" t="s">
        <v>302</v>
      </c>
      <c r="L3" s="64" t="s">
        <v>298</v>
      </c>
      <c r="M3" s="51"/>
      <c r="N3" s="51"/>
      <c r="O3" s="60" t="s">
        <v>196</v>
      </c>
      <c r="P3" s="60" t="s">
        <v>197</v>
      </c>
      <c r="Q3" s="60" t="s">
        <v>198</v>
      </c>
      <c r="R3" s="60" t="s">
        <v>199</v>
      </c>
      <c r="S3" s="60"/>
      <c r="T3" s="60" t="s">
        <v>200</v>
      </c>
      <c r="U3" s="60" t="s">
        <v>201</v>
      </c>
    </row>
    <row r="4" spans="1:21" s="69" customFormat="1" ht="152.25" customHeight="1">
      <c r="A4" s="99"/>
      <c r="B4" s="98"/>
      <c r="C4" s="100" t="s">
        <v>14</v>
      </c>
      <c r="D4" s="101" t="s">
        <v>304</v>
      </c>
      <c r="E4" s="102" t="s">
        <v>294</v>
      </c>
      <c r="F4" s="103" t="s">
        <v>315</v>
      </c>
      <c r="G4" s="104"/>
      <c r="H4" s="104"/>
      <c r="I4" s="104"/>
      <c r="J4" s="104"/>
      <c r="K4" s="105" t="s">
        <v>406</v>
      </c>
      <c r="L4" s="67"/>
      <c r="M4" s="67"/>
      <c r="N4" s="67"/>
      <c r="O4" s="68" t="s">
        <v>202</v>
      </c>
      <c r="P4" s="68" t="s">
        <v>203</v>
      </c>
      <c r="Q4" s="68" t="s">
        <v>204</v>
      </c>
      <c r="R4" s="68" t="s">
        <v>205</v>
      </c>
      <c r="S4" s="68"/>
      <c r="T4" s="68" t="s">
        <v>206</v>
      </c>
      <c r="U4" s="68" t="s">
        <v>207</v>
      </c>
    </row>
    <row r="5" spans="1:21" ht="66.75" customHeight="1">
      <c r="A5" s="50"/>
      <c r="B5" s="93"/>
      <c r="C5" s="88"/>
      <c r="D5" s="79"/>
      <c r="E5" s="48"/>
      <c r="F5" s="48"/>
      <c r="G5" s="48"/>
      <c r="H5" s="48"/>
      <c r="I5" s="48"/>
      <c r="J5" s="48"/>
      <c r="K5" s="56"/>
      <c r="L5" s="51"/>
      <c r="M5" s="51"/>
      <c r="N5" s="51"/>
      <c r="O5" s="60"/>
      <c r="P5" s="60"/>
      <c r="Q5" s="60"/>
      <c r="R5" s="60"/>
      <c r="S5" s="60"/>
      <c r="T5" s="60"/>
      <c r="U5" s="60"/>
    </row>
    <row r="6" spans="1:21" s="75" customFormat="1" ht="61.5" customHeight="1">
      <c r="A6" s="70"/>
      <c r="B6" s="94"/>
      <c r="C6" s="89" t="s">
        <v>15</v>
      </c>
      <c r="D6" s="80" t="s">
        <v>208</v>
      </c>
      <c r="E6" s="71" t="s">
        <v>294</v>
      </c>
      <c r="F6" s="71" t="s">
        <v>296</v>
      </c>
      <c r="G6" s="71"/>
      <c r="H6" s="71"/>
      <c r="I6" s="71"/>
      <c r="J6" s="71"/>
      <c r="K6" s="72" t="s">
        <v>303</v>
      </c>
      <c r="L6" s="73"/>
      <c r="M6" s="73"/>
      <c r="N6" s="73"/>
      <c r="O6" s="74" t="s">
        <v>209</v>
      </c>
      <c r="P6" s="74" t="s">
        <v>210</v>
      </c>
      <c r="Q6" s="74" t="s">
        <v>211</v>
      </c>
      <c r="R6" s="74" t="s">
        <v>212</v>
      </c>
      <c r="S6" s="74"/>
      <c r="T6" s="74" t="s">
        <v>213</v>
      </c>
      <c r="U6" s="74" t="s">
        <v>214</v>
      </c>
    </row>
    <row r="7" spans="1:21" ht="102.75" customHeight="1">
      <c r="A7" s="50"/>
      <c r="B7" s="58"/>
      <c r="C7" s="90" t="s">
        <v>16</v>
      </c>
      <c r="D7" s="79" t="s">
        <v>305</v>
      </c>
      <c r="E7" s="62" t="s">
        <v>294</v>
      </c>
      <c r="F7" s="66" t="s">
        <v>307</v>
      </c>
      <c r="G7" s="48"/>
      <c r="H7" s="48"/>
      <c r="I7" s="48"/>
      <c r="J7" s="48"/>
      <c r="K7" s="56"/>
      <c r="L7" s="51"/>
      <c r="M7" s="51"/>
      <c r="N7" s="51"/>
      <c r="O7" s="60" t="s">
        <v>215</v>
      </c>
      <c r="P7" s="60" t="s">
        <v>216</v>
      </c>
      <c r="Q7" s="60"/>
      <c r="R7" s="60" t="s">
        <v>217</v>
      </c>
      <c r="S7" s="60"/>
      <c r="T7" s="60" t="s">
        <v>218</v>
      </c>
      <c r="U7" s="60" t="s">
        <v>219</v>
      </c>
    </row>
    <row r="8" spans="1:21" ht="66" customHeight="1">
      <c r="A8" s="50"/>
      <c r="B8" s="93"/>
      <c r="C8" s="88"/>
      <c r="D8" s="79"/>
      <c r="E8" s="48"/>
      <c r="F8" s="48"/>
      <c r="G8" s="48"/>
      <c r="H8" s="48"/>
      <c r="I8" s="48"/>
      <c r="J8" s="48"/>
      <c r="K8" s="56"/>
      <c r="L8" s="51"/>
      <c r="M8" s="51"/>
      <c r="N8" s="51"/>
      <c r="O8" s="60"/>
      <c r="P8" s="60"/>
      <c r="Q8" s="60"/>
      <c r="R8" s="60"/>
      <c r="S8" s="60"/>
      <c r="T8" s="60"/>
      <c r="U8" s="60"/>
    </row>
    <row r="9" spans="1:21" ht="70.5" customHeight="1">
      <c r="A9" s="50"/>
      <c r="B9" s="58"/>
      <c r="C9" s="87" t="s">
        <v>18</v>
      </c>
      <c r="D9" s="79" t="s">
        <v>220</v>
      </c>
      <c r="E9" s="62" t="s">
        <v>294</v>
      </c>
      <c r="G9" s="48"/>
      <c r="H9" s="48"/>
      <c r="I9" s="48"/>
      <c r="J9" s="48"/>
      <c r="K9" s="48" t="s">
        <v>311</v>
      </c>
      <c r="L9" s="51"/>
      <c r="M9" s="51"/>
      <c r="N9" s="51"/>
      <c r="O9" s="60" t="s">
        <v>221</v>
      </c>
      <c r="P9" s="60" t="s">
        <v>222</v>
      </c>
      <c r="Q9" s="60" t="s">
        <v>223</v>
      </c>
      <c r="R9" s="60" t="s">
        <v>224</v>
      </c>
      <c r="S9" s="60"/>
      <c r="T9" s="60" t="s">
        <v>225</v>
      </c>
      <c r="U9" s="60" t="s">
        <v>226</v>
      </c>
    </row>
    <row r="10" spans="1:21" ht="196.5" customHeight="1">
      <c r="A10" s="99"/>
      <c r="B10" s="98"/>
      <c r="C10" s="100" t="s">
        <v>19</v>
      </c>
      <c r="D10" s="101" t="s">
        <v>367</v>
      </c>
      <c r="E10" s="102" t="s">
        <v>294</v>
      </c>
      <c r="F10" s="106" t="s">
        <v>368</v>
      </c>
      <c r="G10" s="104"/>
      <c r="H10" s="104"/>
      <c r="I10" s="104"/>
      <c r="J10" s="104"/>
      <c r="K10" s="105" t="s">
        <v>380</v>
      </c>
      <c r="L10" s="51"/>
      <c r="M10" s="51"/>
      <c r="N10" s="51"/>
      <c r="O10" s="60" t="s">
        <v>215</v>
      </c>
      <c r="P10" s="60" t="s">
        <v>227</v>
      </c>
      <c r="Q10" s="60" t="s">
        <v>228</v>
      </c>
      <c r="R10" s="60" t="s">
        <v>229</v>
      </c>
      <c r="S10" s="60"/>
      <c r="T10" s="60" t="s">
        <v>230</v>
      </c>
      <c r="U10" s="60" t="s">
        <v>231</v>
      </c>
    </row>
    <row r="11" spans="1:21" ht="59.25" customHeight="1">
      <c r="A11" s="50"/>
      <c r="B11" s="58"/>
      <c r="C11" s="90" t="s">
        <v>20</v>
      </c>
      <c r="D11" s="79" t="s">
        <v>232</v>
      </c>
      <c r="E11" s="62" t="s">
        <v>306</v>
      </c>
      <c r="F11" s="48"/>
      <c r="G11" s="48"/>
      <c r="H11" s="48"/>
      <c r="I11" s="48"/>
      <c r="J11" s="48"/>
      <c r="K11" s="56"/>
      <c r="L11" s="51"/>
      <c r="M11" s="51"/>
      <c r="N11" s="51"/>
      <c r="O11" s="60" t="s">
        <v>233</v>
      </c>
      <c r="P11" s="60" t="s">
        <v>234</v>
      </c>
      <c r="Q11" s="60" t="s">
        <v>235</v>
      </c>
      <c r="R11" s="60" t="s">
        <v>236</v>
      </c>
      <c r="S11" s="60"/>
      <c r="T11" s="60" t="s">
        <v>237</v>
      </c>
      <c r="U11" s="60" t="s">
        <v>238</v>
      </c>
    </row>
    <row r="12" spans="1:21" ht="103.5" customHeight="1">
      <c r="A12" s="50"/>
      <c r="B12" s="58"/>
      <c r="C12" s="87" t="s">
        <v>21</v>
      </c>
      <c r="D12" s="79" t="s">
        <v>299</v>
      </c>
      <c r="E12" s="62" t="s">
        <v>294</v>
      </c>
      <c r="F12" s="65" t="s">
        <v>296</v>
      </c>
      <c r="G12" s="48" t="s">
        <v>297</v>
      </c>
      <c r="H12" s="48" t="s">
        <v>297</v>
      </c>
      <c r="I12" s="48" t="s">
        <v>297</v>
      </c>
      <c r="J12" s="48" t="s">
        <v>297</v>
      </c>
      <c r="K12" s="65" t="s">
        <v>300</v>
      </c>
      <c r="L12" s="51"/>
      <c r="M12" s="51"/>
      <c r="N12" s="51"/>
      <c r="O12" s="60" t="s">
        <v>239</v>
      </c>
      <c r="P12" s="60" t="s">
        <v>240</v>
      </c>
      <c r="Q12" s="60" t="s">
        <v>241</v>
      </c>
      <c r="R12" s="60" t="s">
        <v>242</v>
      </c>
      <c r="S12" s="60"/>
      <c r="T12" s="60" t="s">
        <v>243</v>
      </c>
      <c r="U12" s="60" t="s">
        <v>244</v>
      </c>
    </row>
    <row r="13" spans="1:21" ht="86.25" customHeight="1">
      <c r="A13" s="50"/>
      <c r="B13" s="58"/>
      <c r="C13" s="91" t="s">
        <v>22</v>
      </c>
      <c r="D13" s="79" t="s">
        <v>245</v>
      </c>
      <c r="E13" s="48" t="s">
        <v>306</v>
      </c>
      <c r="F13" s="48"/>
      <c r="G13" s="48"/>
      <c r="H13" s="48"/>
      <c r="I13" s="48"/>
      <c r="J13" s="48"/>
      <c r="K13" s="56"/>
      <c r="L13" s="51"/>
      <c r="M13" s="51"/>
      <c r="N13" s="51"/>
      <c r="O13" s="60" t="s">
        <v>246</v>
      </c>
      <c r="P13" s="60" t="s">
        <v>247</v>
      </c>
      <c r="Q13" s="60" t="s">
        <v>248</v>
      </c>
      <c r="R13" s="60" t="s">
        <v>249</v>
      </c>
      <c r="S13" s="60"/>
      <c r="T13" s="60" t="s">
        <v>250</v>
      </c>
      <c r="U13" s="60" t="s">
        <v>251</v>
      </c>
    </row>
    <row r="14" spans="1:21" ht="126" customHeight="1">
      <c r="A14" s="136"/>
      <c r="B14" s="128"/>
      <c r="C14" s="137" t="s">
        <v>23</v>
      </c>
      <c r="D14" s="138" t="s">
        <v>301</v>
      </c>
      <c r="E14" s="139" t="s">
        <v>294</v>
      </c>
      <c r="F14" s="140" t="s">
        <v>296</v>
      </c>
      <c r="G14" s="140" t="s">
        <v>296</v>
      </c>
      <c r="H14" s="140"/>
      <c r="I14" s="140"/>
      <c r="J14" s="140"/>
      <c r="K14" s="141" t="s">
        <v>381</v>
      </c>
      <c r="L14" s="51"/>
      <c r="M14" s="51"/>
      <c r="N14" s="51"/>
      <c r="O14" s="60" t="s">
        <v>252</v>
      </c>
      <c r="P14" s="60" t="s">
        <v>253</v>
      </c>
      <c r="Q14" s="60" t="s">
        <v>254</v>
      </c>
      <c r="R14" s="60" t="s">
        <v>255</v>
      </c>
      <c r="S14" s="60"/>
      <c r="T14" s="60" t="s">
        <v>256</v>
      </c>
      <c r="U14" s="60" t="s">
        <v>257</v>
      </c>
    </row>
    <row r="15" spans="1:21" ht="67.5" customHeight="1">
      <c r="A15" s="50"/>
      <c r="B15" s="58"/>
      <c r="C15" s="87" t="s">
        <v>24</v>
      </c>
      <c r="D15" s="79" t="s">
        <v>258</v>
      </c>
      <c r="E15" s="48" t="s">
        <v>306</v>
      </c>
      <c r="F15" s="48"/>
      <c r="G15" s="48"/>
      <c r="H15" s="48"/>
      <c r="I15" s="48"/>
      <c r="J15" s="48"/>
      <c r="K15" s="56" t="s">
        <v>314</v>
      </c>
      <c r="L15" s="51"/>
      <c r="M15" s="51"/>
      <c r="N15" s="51"/>
      <c r="O15" s="60" t="s">
        <v>259</v>
      </c>
      <c r="P15" s="60" t="s">
        <v>253</v>
      </c>
      <c r="Q15" s="60" t="s">
        <v>260</v>
      </c>
      <c r="R15" s="60" t="s">
        <v>261</v>
      </c>
      <c r="S15" s="60"/>
      <c r="T15" s="60" t="s">
        <v>262</v>
      </c>
      <c r="U15" s="60" t="s">
        <v>263</v>
      </c>
    </row>
    <row r="16" spans="1:21" ht="184.5" customHeight="1">
      <c r="A16" s="50"/>
      <c r="B16" s="58"/>
      <c r="C16" s="87" t="s">
        <v>25</v>
      </c>
      <c r="D16" s="79" t="s">
        <v>264</v>
      </c>
      <c r="E16" s="62" t="s">
        <v>294</v>
      </c>
      <c r="F16" s="65" t="s">
        <v>308</v>
      </c>
      <c r="G16" s="48"/>
      <c r="H16" s="48"/>
      <c r="I16" s="48"/>
      <c r="J16" s="48"/>
      <c r="K16" s="63" t="s">
        <v>309</v>
      </c>
      <c r="L16" s="64" t="s">
        <v>310</v>
      </c>
      <c r="M16" s="51"/>
      <c r="N16" s="51"/>
      <c r="O16" s="60" t="s">
        <v>265</v>
      </c>
      <c r="P16" s="60" t="s">
        <v>266</v>
      </c>
      <c r="Q16" s="60" t="s">
        <v>267</v>
      </c>
      <c r="R16" s="60" t="s">
        <v>268</v>
      </c>
      <c r="S16" s="60"/>
      <c r="T16" s="60" t="s">
        <v>269</v>
      </c>
      <c r="U16" s="60" t="s">
        <v>270</v>
      </c>
    </row>
    <row r="17" spans="1:21" ht="86.25" customHeight="1">
      <c r="A17" s="50"/>
      <c r="B17" s="58"/>
      <c r="C17" s="87" t="s">
        <v>26</v>
      </c>
      <c r="D17" s="79" t="s">
        <v>271</v>
      </c>
      <c r="E17" s="48" t="s">
        <v>306</v>
      </c>
      <c r="F17" s="48"/>
      <c r="G17" s="48"/>
      <c r="H17" s="48"/>
      <c r="I17" s="48"/>
      <c r="J17" s="48"/>
      <c r="K17" s="56"/>
      <c r="L17" s="51"/>
      <c r="M17" s="51"/>
      <c r="N17" s="51"/>
      <c r="O17" s="60" t="s">
        <v>272</v>
      </c>
      <c r="P17" s="60" t="s">
        <v>273</v>
      </c>
      <c r="Q17" s="60" t="s">
        <v>274</v>
      </c>
      <c r="R17" s="60" t="s">
        <v>275</v>
      </c>
      <c r="S17" s="60" t="s">
        <v>276</v>
      </c>
      <c r="T17" s="60" t="s">
        <v>277</v>
      </c>
      <c r="U17" s="60" t="s">
        <v>278</v>
      </c>
    </row>
    <row r="18" spans="1:21" ht="76.5" customHeight="1">
      <c r="A18" s="115"/>
      <c r="B18" s="116"/>
      <c r="C18" s="117" t="s">
        <v>27</v>
      </c>
      <c r="D18" s="118" t="s">
        <v>279</v>
      </c>
      <c r="E18" s="119" t="s">
        <v>294</v>
      </c>
      <c r="F18" s="120" t="s">
        <v>312</v>
      </c>
      <c r="G18" s="121"/>
      <c r="H18" s="121"/>
      <c r="I18" s="121"/>
      <c r="J18" s="121"/>
      <c r="K18" s="122" t="s">
        <v>316</v>
      </c>
      <c r="L18" s="51"/>
      <c r="M18" s="51"/>
      <c r="N18" s="51"/>
      <c r="O18" s="60" t="s">
        <v>280</v>
      </c>
      <c r="P18" s="60" t="s">
        <v>281</v>
      </c>
      <c r="Q18" s="60" t="s">
        <v>282</v>
      </c>
      <c r="R18" s="60" t="s">
        <v>283</v>
      </c>
      <c r="S18" s="60"/>
      <c r="T18" s="60" t="s">
        <v>284</v>
      </c>
      <c r="U18" s="60" t="s">
        <v>285</v>
      </c>
    </row>
    <row r="19" spans="1:21" ht="70.5" customHeight="1">
      <c r="A19" s="52"/>
      <c r="B19" s="59"/>
      <c r="C19" s="92" t="s">
        <v>28</v>
      </c>
      <c r="D19" s="81" t="s">
        <v>286</v>
      </c>
      <c r="E19" s="48" t="s">
        <v>306</v>
      </c>
      <c r="F19" s="53"/>
      <c r="G19" s="53"/>
      <c r="H19" s="53"/>
      <c r="I19" s="53"/>
      <c r="J19" s="53"/>
      <c r="K19" s="57"/>
      <c r="L19" s="54"/>
      <c r="M19" s="54"/>
      <c r="N19" s="54"/>
      <c r="O19" s="60" t="s">
        <v>287</v>
      </c>
      <c r="P19" s="60" t="s">
        <v>288</v>
      </c>
      <c r="Q19" s="60" t="s">
        <v>289</v>
      </c>
      <c r="R19" s="60" t="s">
        <v>290</v>
      </c>
      <c r="S19" s="60" t="s">
        <v>291</v>
      </c>
      <c r="T19" s="60" t="s">
        <v>292</v>
      </c>
      <c r="U19" s="60" t="s">
        <v>293</v>
      </c>
    </row>
    <row r="20" spans="1:21" ht="112.5" customHeight="1">
      <c r="A20" s="128"/>
      <c r="B20" s="128"/>
      <c r="C20" s="132" t="s">
        <v>150</v>
      </c>
      <c r="D20" s="133"/>
      <c r="E20" s="134"/>
      <c r="F20" s="134"/>
      <c r="G20" s="134"/>
      <c r="H20" s="134"/>
      <c r="I20" s="134"/>
      <c r="J20" s="134"/>
      <c r="K20" s="135" t="s">
        <v>377</v>
      </c>
      <c r="L20" s="58"/>
      <c r="M20" s="58"/>
      <c r="N20" s="58"/>
      <c r="O20" s="60"/>
      <c r="P20" s="60"/>
      <c r="Q20" s="60"/>
      <c r="R20" s="60"/>
      <c r="S20" s="60"/>
      <c r="T20" s="60"/>
      <c r="U20" s="60"/>
    </row>
    <row r="21" spans="1:21" ht="102.75" customHeight="1">
      <c r="A21" s="107"/>
      <c r="B21" s="107" t="s">
        <v>356</v>
      </c>
      <c r="C21" s="110">
        <v>25447523</v>
      </c>
      <c r="D21" s="110"/>
      <c r="E21" s="107"/>
      <c r="F21" s="107"/>
      <c r="G21" s="107"/>
      <c r="H21" s="107"/>
      <c r="I21" s="107"/>
      <c r="J21" s="107"/>
      <c r="K21" s="114" t="s">
        <v>313</v>
      </c>
    </row>
    <row r="22" spans="1:21" ht="188.25" customHeight="1">
      <c r="A22" s="123"/>
      <c r="B22" s="123" t="s">
        <v>356</v>
      </c>
      <c r="C22" s="126" t="s">
        <v>101</v>
      </c>
      <c r="D22" s="124"/>
      <c r="E22" s="123"/>
      <c r="F22" s="123" t="s">
        <v>296</v>
      </c>
      <c r="G22" s="123"/>
      <c r="H22" s="123"/>
      <c r="I22" s="123"/>
      <c r="J22" s="123"/>
      <c r="K22" s="127" t="s">
        <v>402</v>
      </c>
    </row>
    <row r="23" spans="1:21" ht="114" customHeight="1">
      <c r="A23" s="123"/>
      <c r="B23" s="123" t="s">
        <v>356</v>
      </c>
      <c r="C23" s="126" t="s">
        <v>317</v>
      </c>
      <c r="D23" s="124"/>
      <c r="E23" s="123"/>
      <c r="F23" s="123"/>
      <c r="G23" s="123"/>
      <c r="H23" s="123"/>
      <c r="I23" s="123"/>
      <c r="J23" s="123"/>
      <c r="K23" s="127" t="s">
        <v>414</v>
      </c>
    </row>
    <row r="24" spans="1:21" ht="114" customHeight="1">
      <c r="A24" s="123"/>
      <c r="B24" s="129"/>
      <c r="C24" s="133" t="s">
        <v>370</v>
      </c>
      <c r="D24" s="143"/>
      <c r="E24" s="129"/>
      <c r="F24" s="129"/>
      <c r="G24" s="129"/>
      <c r="H24" s="129"/>
      <c r="I24" s="129"/>
      <c r="J24" s="129"/>
      <c r="K24" s="135" t="s">
        <v>401</v>
      </c>
    </row>
    <row r="25" spans="1:21" ht="84" customHeight="1">
      <c r="B25" t="s">
        <v>356</v>
      </c>
      <c r="C25" s="84" t="s">
        <v>318</v>
      </c>
      <c r="D25" s="97" t="s">
        <v>361</v>
      </c>
    </row>
    <row r="26" spans="1:21" ht="60.75" customHeight="1">
      <c r="B26" t="s">
        <v>356</v>
      </c>
      <c r="C26" s="83" t="s">
        <v>319</v>
      </c>
      <c r="D26" t="inlineStr">
        <is>
          <t xml:space="preserve">Checked 10 Sep 2026. Operating website; SIA MRPK, reg. 40203147740. Management name not publicly verified. Company route: +371 29458007, info@mrpk.lv. https://mrpk.lv/par-mums</t>
        </is>
      </c>
    </row>
    <row r="27" spans="1:21" ht="66" customHeight="1">
      <c r="B27" t="s">
        <v>356</v>
      </c>
      <c r="C27" s="83" t="s">
        <v>320</v>
      </c>
      <c r="D27" t="inlineStr">
        <is>
          <t xml:space="preserve">Checked 10 Sep 2026. Active registered company (40003328876). Jānis Oslejs — CEO: +371 29223680, janis.oslejs@primekss.com. https://primekss.com/about-us/management ; https://company.lursoft.lv/lv/primekss/40003328876</t>
        </is>
      </c>
    </row>
    <row r="28" spans="1:21" ht="97.5" customHeight="1">
      <c r="A28" s="107"/>
      <c r="B28" s="108" t="s">
        <v>356</v>
      </c>
      <c r="C28" s="109" t="s">
        <v>321</v>
      </c>
      <c r="D28" s="111" t="s">
        <v>364</v>
      </c>
      <c r="E28" s="107"/>
      <c r="F28" s="107"/>
      <c r="G28" s="107"/>
      <c r="H28" s="107"/>
      <c r="I28" s="107"/>
      <c r="J28" s="107"/>
      <c r="K28" s="107"/>
    </row>
    <row r="29" spans="1:21" ht="97.5" customHeight="1">
      <c r="A29" s="107"/>
      <c r="B29" s="108"/>
      <c r="C29" s="109">
        <v>2444666</v>
      </c>
      <c r="D29" s="110" t="s">
        <v>365</v>
      </c>
      <c r="E29" s="107"/>
      <c r="F29" s="107"/>
      <c r="G29" s="107"/>
      <c r="H29" s="107"/>
      <c r="I29" s="107"/>
      <c r="J29" s="107"/>
      <c r="K29" s="111" t="s">
        <v>369</v>
      </c>
    </row>
    <row r="30" spans="1:21" ht="90.75" customHeight="1">
      <c r="B30" s="107" t="s">
        <v>356</v>
      </c>
      <c r="C30" s="112" t="s">
        <v>322</v>
      </c>
      <c r="D30" s="113" t="s">
        <v>363</v>
      </c>
      <c r="E30" s="107"/>
      <c r="F30" s="107"/>
      <c r="G30" s="107"/>
      <c r="H30" s="107"/>
      <c r="I30" s="107"/>
      <c r="J30" s="107"/>
      <c r="K30" s="114" t="s">
        <v>362</v>
      </c>
    </row>
    <row r="31" spans="1:21" ht="49.5" customHeight="1">
      <c r="B31" t="s">
        <v>356</v>
      </c>
      <c r="C31" s="84" t="s">
        <v>323</v>
      </c>
      <c r="D31" t="inlineStr">
        <is>
          <t xml:space="preserve">Checked 10 Sep 2026. Operating website; SIA EXPON, reg. 40103674732. Named decision maker not publicly verified. Office: +371 22348899, info@expon.lv. https://www.expon.lv/lv/kontakti/</t>
        </is>
      </c>
    </row>
    <row r="32" spans="1:21" ht="248.25" customHeight="1">
      <c r="A32" s="129"/>
      <c r="B32" s="129" t="s">
        <v>356</v>
      </c>
      <c r="C32" s="143" t="s">
        <v>324</v>
      </c>
      <c r="D32" s="131" t="s">
        <v>366</v>
      </c>
      <c r="E32" s="129"/>
      <c r="F32" s="129"/>
      <c r="G32" s="129"/>
      <c r="H32" s="129"/>
      <c r="I32" s="129"/>
      <c r="J32" s="129"/>
      <c r="K32" s="144" t="s">
        <v>388</v>
      </c>
    </row>
    <row r="33" spans="1:11" ht="154.5" customHeight="1">
      <c r="A33" s="107"/>
      <c r="B33" s="107" t="s">
        <v>356</v>
      </c>
      <c r="C33" s="110" t="s">
        <v>325</v>
      </c>
      <c r="D33" s="113" t="s">
        <v>371</v>
      </c>
      <c r="E33" s="107"/>
      <c r="F33" s="107"/>
      <c r="G33" s="107"/>
      <c r="H33" s="107"/>
      <c r="I33" s="107"/>
      <c r="J33" s="107"/>
      <c r="K33" s="114" t="s">
        <v>387</v>
      </c>
    </row>
    <row r="34" spans="1:11" ht="69" customHeight="1">
      <c r="B34" t="s">
        <v>356</v>
      </c>
      <c r="C34" s="85" t="s">
        <v>326</v>
      </c>
      <c r="D34" s="76" t="s">
        <v>372</v>
      </c>
    </row>
    <row r="35" spans="1:11" ht="206.25" customHeight="1">
      <c r="A35" s="123"/>
      <c r="B35" s="123" t="s">
        <v>356</v>
      </c>
      <c r="C35" s="143" t="s">
        <v>327</v>
      </c>
      <c r="D35" s="131" t="s">
        <v>373</v>
      </c>
      <c r="E35" s="129"/>
      <c r="F35" s="129"/>
      <c r="G35" s="129"/>
      <c r="H35" s="129"/>
      <c r="I35" s="129"/>
      <c r="J35" s="129"/>
      <c r="K35" s="144" t="s">
        <v>421</v>
      </c>
    </row>
    <row r="36" spans="1:11" ht="197.25" customHeight="1">
      <c r="A36" s="107"/>
      <c r="B36" s="107" t="s">
        <v>356</v>
      </c>
      <c r="C36" s="110" t="s">
        <v>328</v>
      </c>
      <c r="D36" s="113" t="s">
        <v>384</v>
      </c>
      <c r="E36" s="107"/>
      <c r="F36" s="107"/>
      <c r="G36" s="107"/>
      <c r="H36" s="107"/>
      <c r="I36" s="107"/>
      <c r="J36" s="107"/>
      <c r="K36" s="114" t="s">
        <v>415</v>
      </c>
    </row>
    <row r="37" spans="1:11">
      <c r="B37" t="s">
        <v>356</v>
      </c>
      <c r="C37" s="110" t="s">
        <v>329</v>
      </c>
      <c r="D37" s="76" t="s">
        <v>400</v>
      </c>
    </row>
    <row r="38" spans="1:11">
      <c r="B38" t="s">
        <v>356</v>
      </c>
      <c r="C38" s="110" t="s">
        <v>330</v>
      </c>
      <c r="D38" s="76" t="s">
        <v>400</v>
      </c>
    </row>
    <row r="39" spans="1:11" ht="80.25" customHeight="1">
      <c r="A39" s="123"/>
      <c r="B39" s="123" t="s">
        <v>356</v>
      </c>
      <c r="C39" s="124" t="s">
        <v>331</v>
      </c>
      <c r="D39" s="124"/>
      <c r="E39" s="123"/>
      <c r="F39" s="123"/>
      <c r="G39" s="123"/>
      <c r="H39" s="123"/>
      <c r="I39" s="123"/>
      <c r="J39" s="123"/>
      <c r="K39" s="125" t="s">
        <v>412</v>
      </c>
    </row>
    <row r="40" spans="1:11" ht="50.25" customHeight="1">
      <c r="B40" t="s">
        <v>356</v>
      </c>
      <c r="C40" s="82" t="s">
        <v>332</v>
      </c>
      <c r="D40" t="inlineStr">
        <is>
          <t xml:space="preserve">Checked 10 Sep 2026. Operating construction website. Kaspars Grislis — published company investment-project contact (2025, current role to confirm): +371 29440654, Kaspars@Odilemoduls.lv. Company: info@odilemoduls.lv. https://odilemoduls.lv/en/contacts ; https://business.gov.lv/en/print/pdf/node/46742</t>
        </is>
      </c>
    </row>
    <row r="41" spans="1:11">
      <c r="B41" t="s">
        <v>356</v>
      </c>
      <c r="C41" s="82" t="s">
        <v>333</v>
      </c>
      <c r="D41" t="inlineStr">
        <is>
          <t xml:space="preserve">Checked 10 Sep 2026. Active SIA II Projekts, reg. 44103086713. Public registry lists chairman and board member but hides names. Company phone: +371 28807071; ask for managing director. https://www.firmas.lv/lv/uznemumi/ii-projekts/44103086713</t>
        </is>
      </c>
    </row>
    <row r="42" spans="1:11">
      <c r="B42" t="s">
        <v>356</v>
      </c>
      <c r="C42" s="82" t="s">
        <v>334</v>
      </c>
      <c r="D42" t="inlineStr">
        <is>
          <t xml:space="preserve">Checked 10 Sep 2026. Active BIS construction registration; reg. 40003062905. Named decision maker not publicly verified. Company route: +371 29452329 / +371 67442281, nccr@inbox.lv. https://bis.gov.lv/bisp/lv/construction_companies/10470</t>
        </is>
      </c>
    </row>
    <row r="43" spans="1:11">
      <c r="B43" t="s">
        <v>356</v>
      </c>
      <c r="C43" s="82" t="s">
        <v>335</v>
      </c>
      <c r="D43" t="inlineStr">
        <is>
          <t xml:space="preserve">Checked 10 Sep 2026. Active SIA SAVI Būve, reg. 50203165771. Sandijs Paševičs — publicly listed owner/beneficial owner; business contact +371 26866230, sandijspasevics@gmail.com (published 2022; reconfirm). https://www.firmas.lv/lv/uznemumi/savi-buve/50203165771 ; https://b2bhint.com/lv/company/lv/savi-buve--50203165771 ; https://dom.lndb.lv/data/obj/file/35022227.pdf?attach=true</t>
        </is>
      </c>
    </row>
    <row r="44" spans="1:11" ht="80.25" customHeight="1">
      <c r="B44" t="s">
        <v>356</v>
      </c>
      <c r="C44" s="82" t="s">
        <v>336</v>
      </c>
      <c r="D44" s="76" t="s">
        <v>422</v>
      </c>
    </row>
    <row r="45" spans="1:11" ht="58.5" customHeight="1">
      <c r="B45" s="107" t="s">
        <v>356</v>
      </c>
      <c r="C45" s="110" t="s">
        <v>337</v>
      </c>
      <c r="D45" s="110" t="s">
        <v>423</v>
      </c>
      <c r="E45" s="107"/>
      <c r="F45" s="107"/>
      <c r="G45" s="107"/>
      <c r="H45" s="107"/>
      <c r="I45" s="107"/>
      <c r="J45" s="107"/>
      <c r="K45" s="107" t="s">
        <v>424</v>
      </c>
    </row>
    <row r="46" spans="1:11">
      <c r="B46" t="s">
        <v>356</v>
      </c>
      <c r="C46" s="82" t="s">
        <v>338</v>
      </c>
      <c r="D46" t="inlineStr">
        <is>
          <t xml:space="preserve">Checked 10 Sep 2026. Active construction company, reg. 43603058290. Vidmants Staņevičus — owner/director, listed February 2026: +371 20041426, buve.v@inbox.lv. https://jelgavastehnikums.lv/lv/katalogs/sia-jelgavas-buve-v ; https://abc.lv/infolapa/jelgavas-buvev-sia</t>
        </is>
      </c>
    </row>
    <row r="47" spans="1:11">
      <c r="B47" t="s">
        <v>356</v>
      </c>
      <c r="C47" s="82" t="s">
        <v>339</v>
      </c>
      <c r="D47" t="inlineStr">
        <is>
          <t xml:space="preserve">Checked 10 Sep 2026. Active BIS construction registration; SIA BŪVE L, reg. 41503015742. Named decision maker not publicly verified. Company route: +371 29407520, buve-l@inbox.lv. https://bis.gov.lv/bisp/lv/construction_companies/9086</t>
        </is>
      </c>
    </row>
    <row r="48" spans="1:11">
      <c r="B48" t="s">
        <v>356</v>
      </c>
      <c r="C48" s="82" t="s">
        <v>340</v>
      </c>
      <c r="D48" t="inlineStr">
        <is>
          <t xml:space="preserve">Checked 10 Sep 2026. Operating construction website; SIA PRIMA CELT, reg. 40103368377. Published named email: aleksandrs.zhirkovs@primacelt.lv (role unverified). Company phones: +371 26740553 / +371 27030918. https://www.primacelt.lv/</t>
        </is>
      </c>
    </row>
    <row r="49" spans="2:3">
      <c r="B49" t="s">
        <v>356</v>
      </c>
      <c r="C49" s="82" t="s">
        <v>341</v>
      </c>
      <c r="D49" t="inlineStr">
        <is>
          <t xml:space="preserve">Checked 10 Sep 2026. Registered construction business, reg. 40203325637; 2025 annual report listed. One owner/board member; name not exposed in viewed registry. Company route: +371 20002993. https://balticexport.com/infolapa/agni-buve-sia ; https://www.firmas.lv/lv/uznemumi/agni-buve/40203325637</t>
        </is>
      </c>
    </row>
    <row r="50" spans="2:3">
      <c r="B50" t="s">
        <v>356</v>
      </c>
      <c r="C50" s="82" t="s">
        <v>342</v>
      </c>
      <c r="D50" t="inlineStr">
        <is>
          <t xml:space="preserve">Checked 10 Sep 2026. Active BIS construction registration; SIA EVENTO, reg. 44103019110. Named decision maker not publicly verified. Company route: +371 28397087, evento@evento.lv. https://bis.gov.lv/bisp/lv/construction_companies/11114 ; https://evento.lv/</t>
        </is>
      </c>
    </row>
    <row r="51" spans="2:3">
      <c r="B51" t="s">
        <v>356</v>
      </c>
      <c r="C51" s="85" t="s">
        <v>343</v>
      </c>
      <c r="D51" t="inlineStr">
        <is>
          <t xml:space="preserve">Checked 10 Sep 2026. Operating construction/CNC website. Named decision maker not publicly verified. Company phones: +371 27555144 / +371 29517144; contact form available. https://titans.lv/kontakti</t>
        </is>
      </c>
    </row>
    <row r="52" spans="2:3">
      <c r="B52" t="s">
        <v>356</v>
      </c>
      <c r="C52" s="82" t="s">
        <v>344</v>
      </c>
      <c r="D52" t="inlineStr">
        <is>
          <t xml:space="preserve">Checked 10 Sep 2026. Operating SIA Woodenlays, reg. 40203580927; 2025 annual report listed. Elvis Bergs — owner: +371 27000536, info@woodenlays.lv. Same name appears in existing row 131: check prior conversation before outreach. https://woodenlays.lv/contact/ ; https://building.lv/infolapa/woodenlays-sia</t>
        </is>
      </c>
    </row>
    <row r="53" spans="2:3">
      <c r="B53" t="s">
        <v>356</v>
      </c>
      <c r="C53" s="85" t="s">
        <v>345</v>
      </c>
      <c r="D53" t="inlineStr">
        <is>
          <t xml:space="preserve">Checked 10 Sep 2026. Operating VVCD construction website. Named decision maker not publicly verified. Company route: +371 28143031, ericson249@inbox.lv. https://www.vvcd.lv/</t>
        </is>
      </c>
    </row>
    <row r="54" spans="2:3">
      <c r="B54" t="s">
        <v>356</v>
      </c>
      <c r="C54" s="85" t="s">
        <v>346</v>
      </c>
      <c r="D54" t="inlineStr">
        <is>
          <t xml:space="preserve">Checked 10 Sep 2026. Active registered/BIS construction business, Būves ABC SIA, reg. 40203564246; 2025 report listed. Company +371 28866777 / +371 26300791, info@buvesabc.lv; ask for director. Named decision maker not publicly verified. https://abc.lv/infolapa/buves-abc-sia</t>
        </is>
      </c>
    </row>
    <row r="55" spans="2:3">
      <c r="B55" t="s">
        <v>356</v>
      </c>
      <c r="C55" s="76" t="s">
        <v>347</v>
      </c>
      <c r="D55" t="inlineStr">
        <is>
          <t xml:space="preserve">Checked 10 Sep 2026. Active O.K. JOBS SIA, reg. 40203462899. Company +371 23334819, o.k.jobs@outlook.com; ask for owner/director (name not publicly verified). Registry lists no liquidation or suspended activity. https://www.firmas.lv/lv/uznemumi/o-k-jobs/40203462899</t>
        </is>
      </c>
    </row>
    <row r="56" spans="2:3">
      <c r="B56" t="s">
        <v>356</v>
      </c>
      <c r="C56" s="77" t="s">
        <v>348</v>
      </c>
      <c r="D56" t="inlineStr">
        <is>
          <t xml:space="preserve">Checked 10 Sep 2026. Operating construction company website with 2025 projects. Named decision maker not publicly verified. Company route: +371 26430898, info@ancoris.eu. https://ancoris.eu/</t>
        </is>
      </c>
    </row>
    <row r="57" spans="2:3">
      <c r="B57" t="s">
        <v>356</v>
      </c>
      <c r="C57" s="76" t="s">
        <v>349</v>
      </c>
      <c r="D57" t="inlineStr">
        <is>
          <t xml:space="preserve">Checked 10 Sep 2026. Listed member of Latvijas Būvnieki. Company: +371 63077210, vitols@vitols.lv. Dzintars Kalniņš — published recruitment contact, +371 26598519 (2023; senior role/current number to confirm). https://www.latvijasbuvnieki.lv/biedri/biedru-saraksts/ ; https://www.jelgava.lv/wp-content/uploads/2023/10/AKTUALAS_VAKANCES_28.pdf</t>
        </is>
      </c>
    </row>
    <row r="58" spans="2:3">
      <c r="B58" t="s">
        <v>352</v>
      </c>
      <c r="C58" s="77" t="s">
        <v>350</v>
      </c>
      <c r="D58" t="inlineStr">
        <is>
          <t xml:space="preserve">Checked 10 Sep 2026. Operating electrical contractor; SIA ELEKTRO PM, reg. 40003965223. Published company contact: +371 29153788, inta@elektro-pm.lv. Contact's full name/decision authority not publicly verified. https://www.elektro-pm.lv/</t>
        </is>
      </c>
    </row>
    <row r="59" spans="2:3">
      <c r="B59" t="s">
        <v>352</v>
      </c>
      <c r="C59" s="77" t="s">
        <v>353</v>
      </c>
      <c r="D59" t="inlineStr">
        <is>
          <t xml:space="preserve">Checked 10 Sep 2026. Active BIS electrical contractor; DOMA-būve, reg. 46103005212. Andris Trumpekojs — board member since May 2025. Company route +371 29181644, info@domabuve.lv. https://bis.gov.lv/bisp/lv/construction_companies/9034 ; https://b2bhint.com/lv/company/lv/doma-buve--46103005212</t>
        </is>
      </c>
    </row>
    <row r="60" spans="2:3">
      <c r="B60" t="s">
        <v>352</v>
      </c>
      <c r="C60" s="76" t="s">
        <v>354</v>
      </c>
      <c r="D60" t="inlineStr">
        <is>
          <t xml:space="preserve">Checked 10 Sep 2026. Active operations evidenced by 2026 municipal contract. Danijs Štrauss — chairman in 2023 company project document (confirm current): company +371 63291298 / +371 63291197, info@talsuspriegums.lv. https://www.talsunovads.lv/lv/media/25961/download?attachment= ; https://www.talsunovads.lv/lv/iepirkums/buvdarbi-udensvada-un-hidranta-izbuve-eksporta-iela-talsos-projekta-infrastrukturas-izveide-uznemejdarbibas-attistibai-talsu-pilseta-ietvaros</t>
        </is>
      </c>
    </row>
    <row r="61" spans="2:3">
      <c r="B61" t="s">
        <v>352</v>
      </c>
      <c r="C61" s="76" t="s">
        <v>355</v>
      </c>
      <c r="D61" t="inlineStr">
        <is>
          <t xml:space="preserve">Checked 10 Sep 2026. Exact company identity not verified. Search returned other Daugavpils electrical businesses, including ELEKTRO-ALTER, which is separately listed in row 93. Need website or registration number before assigning a decision maker/contact.</t>
        </is>
      </c>
    </row>
    <row r="62" spans="2:3">
      <c r="B62" t="s">
        <v>352</v>
      </c>
      <c r="C62" s="95" t="s">
        <v>153</v>
      </c>
      <c r="D62" t="inlineStr">
        <is>
          <t xml:space="preserve">Checked 10 Sep 2026. Likely sector mismatch: exact-name AS SISTĒMU INOVĀCIJAS, reg. 40003946311, operates chemical research/manufacturing, not electrical contracting. Helēna Čibisova listed as board chair. Confirm intended company before outreach. https://cro.lv/en/ ; https://vissviena.lv/uznemums/40003946311/akciju-sabiedriba-sistemu-inovacijas/</t>
        </is>
      </c>
    </row>
    <row r="63" spans="2:3">
      <c r="B63" t="s">
        <v>352</v>
      </c>
      <c r="C63" s="95" t="s">
        <v>154</v>
      </c>
      <c r="D63" t="inlineStr">
        <is>
          <t xml:space="preserve">Checked 10 Sep 2026. Country mismatch: exact-name match is Lithuanian UAB Baltic Security Systems, reg. 125549723, Vilnius. Aleksandras Masoit — manager. Company +370 52767581, info@bss.lt. Current directory shows operating business; Latvian entity not verified. Confirm intended prospect. https://rekvizitai.vz.lt/imone/baltic_security_systems/ ; https://www.1551.lt/baltic-security-systems-uab-38606/</t>
        </is>
      </c>
    </row>
    <row r="64" spans="2:3">
      <c r="B64" t="s">
        <v>352</v>
      </c>
      <c r="C64" s="95" t="s">
        <v>155</v>
      </c>
      <c r="D64" t="inlineStr">
        <is>
          <t xml:space="preserve">Checked 10 Sep 2026. Operating security-systems business, reg. 40103322206; LIAA profile May 2026. Juris Kazulis — board member: +371 29429601, info@videoprojekts.lv. https://liaa.business.gov.lv/uznemumi/sabiedriba-ar-ierobezotu-atbildibu-videoprojekts-baltija</t>
        </is>
      </c>
    </row>
    <row r="65" spans="1:11">
      <c r="B65" t="s">
        <v>352</v>
      </c>
      <c r="C65" s="95" t="s">
        <v>156</v>
      </c>
      <c r="D65" t="inlineStr">
        <is>
          <t xml:space="preserve">Checked 10 Sep 2026. Operating Apsardzes Alianse brand verified; exact 'Tehnika' legal entity not publicly verified. General business route: +371 60003517, info@alianse.lv. Ask for technical department director; named decision maker unverified. https://apsardzes.alianse.lv/test_drive</t>
        </is>
      </c>
    </row>
    <row r="66" spans="1:11">
      <c r="B66" t="s">
        <v>352</v>
      </c>
      <c r="C66" s="95" t="s">
        <v>157</v>
      </c>
      <c r="D66" t="inlineStr">
        <is>
          <t xml:space="preserve">Checked 10 Sep 2026. Registered SIA SECURITY SOLUTIONS, reg. 40103357602, but current trading activity not established: 2025 turnover EUR 0; registry flags inactive taxpayer. No public business phone/email or named decision maker verified. https://www.firmas.lv/en/companies/security-solutions/40103357602 ; https://saraksts.lv/40103357602</t>
        </is>
      </c>
    </row>
    <row r="67" spans="1:11" ht="111" customHeight="1">
      <c r="B67" s="129" t="s">
        <v>352</v>
      </c>
      <c r="C67" s="130" t="s">
        <v>158</v>
      </c>
      <c r="D67" s="131" t="s">
        <v>374</v>
      </c>
      <c r="E67" s="129"/>
      <c r="F67" s="129"/>
      <c r="G67" s="129"/>
      <c r="H67" s="129"/>
      <c r="I67" s="129"/>
      <c r="J67" s="129"/>
      <c r="K67" s="129" t="s">
        <v>375</v>
      </c>
    </row>
    <row r="68" spans="1:11" ht="121.5" customHeight="1">
      <c r="A68" s="107"/>
      <c r="B68" s="107" t="s">
        <v>352</v>
      </c>
      <c r="C68" s="142" t="s">
        <v>159</v>
      </c>
      <c r="D68" s="113" t="s">
        <v>376</v>
      </c>
      <c r="E68" s="107"/>
      <c r="F68" s="107"/>
      <c r="G68" s="107"/>
      <c r="H68" s="107"/>
      <c r="I68" s="107"/>
      <c r="J68" s="107"/>
      <c r="K68" s="114" t="s">
        <v>385</v>
      </c>
    </row>
    <row r="69" spans="1:11" ht="60.75" customHeight="1">
      <c r="B69" t="s">
        <v>352</v>
      </c>
      <c r="C69" s="95" t="s">
        <v>160</v>
      </c>
      <c r="D69" t="inlineStr">
        <is>
          <t xml:space="preserve">Checked 10 Sep 2026. Exact Latvian company identity not verified. Need website or registration number before assigning contacts; generic search results do not establish Rīgas Elektro as a business.</t>
        </is>
      </c>
    </row>
    <row r="70" spans="1:11">
      <c r="B70" t="s">
        <v>352</v>
      </c>
      <c r="C70" s="95" t="s">
        <v>161</v>
      </c>
      <c r="D70" t="inlineStr">
        <is>
          <t xml:space="preserve">Checked 10 Sep 2026. Exact Latvian company identity not verified. Search finds similarly named foreign companies. Need website or registration number before assigning contacts.</t>
        </is>
      </c>
    </row>
    <row r="71" spans="1:11">
      <c r="B71" t="s">
        <v>352</v>
      </c>
      <c r="C71" s="95" t="s">
        <v>162</v>
      </c>
      <c r="D71" t="inlineStr">
        <is>
          <t xml:space="preserve">Checked 10 Sep 2026. Operating electrical contractor; SIA Mītavas Elektra, reg. 43603009810. Company email: info@mitavaselektra.lv. Named decision maker and commercial phone not publicly verified. https://mitavaselektra.lv/ ; https://mitavaselektra.lv/privatuma-politika-2/</t>
        </is>
      </c>
    </row>
    <row r="72" spans="1:11">
      <c r="B72" t="s">
        <v>352</v>
      </c>
      <c r="C72" s="95" t="s">
        <v>163</v>
      </c>
      <c r="D72" t="inlineStr">
        <is>
          <t xml:space="preserve">Checked 10 Sep 2026. INACTIVE exact-name match: Elektrosistēmas SIA, reg. 40103496210, removed from register 19 June 2018. No current decision-maker contacts verified. Confirm if a different company was intended. https://www.firmas.lv/en/companies/elektrosistemas/40103496210</t>
        </is>
      </c>
    </row>
    <row r="73" spans="1:11">
      <c r="B73" t="s">
        <v>357</v>
      </c>
      <c r="C73" s="95" t="s">
        <v>147</v>
      </c>
      <c r="D73" t="inlineStr">
        <is>
          <t xml:space="preserve">Checked 10 Sep 2026. Operating smoke-control/fire-safety business; SIA DNS automātika, reg. 40103311448. Company route: +371 26670084 / +371 29822364, dumunovadisana@inbox.lv. Named decision maker not publicly verified. https://www.dumunovadisana.lv/kontakti</t>
        </is>
      </c>
    </row>
    <row r="74" spans="1:11">
      <c r="B74" t="s">
        <v>357</v>
      </c>
      <c r="C74" s="95" t="s">
        <v>148</v>
      </c>
      <c r="D74" t="inlineStr">
        <is>
          <t xml:space="preserve">Checked 10 Sep 2026. Operating security business; Rears, reg. 43603042285. Armands Straume — named public-contract contact: +371 29186815, rears@rears.lv (board role unverified). https://www.rears.lv/privatuma-politika ; https://eformsb.pvs.iub.gov.lv/show/3f8c4a26-3ec1-4ecb-9d46-7329ce029010</t>
        </is>
      </c>
    </row>
    <row r="75" spans="1:11">
      <c r="B75" t="s">
        <v>357</v>
      </c>
      <c r="C75" s="95" t="s">
        <v>149</v>
      </c>
      <c r="D75" t="inlineStr">
        <is>
          <t xml:space="preserve">Checked 10 Sep 2026. Active security/IT business; DarkNet, reg. 51203068441; 2025 accounts published. Company +371 29355331, darknet@darknet.lv / info@darknet.lv. Named decision maker not publicly verified. https://balticexport.com/infolapa/darknet-sia ; https://saraksts.lv/51203068441</t>
        </is>
      </c>
    </row>
    <row r="76" spans="1:11">
      <c r="B76" t="s">
        <v>357</v>
      </c>
      <c r="C76" s="95" t="s">
        <v>150</v>
      </c>
      <c r="D76" t="inlineStr">
        <is>
          <t xml:space="preserve">Checked 10 Sep 2026. Active SIA SPRINKLER SERVICE, reg. 40003013346. Office: +371 67226360. Existing construction-sheet row 8 already gives Romualds Špaks, +371 20269727, romualds.spaks@sprinkler.lv (user's prior contact, current role not independently verified). Existing Experiment 1 row 20 has follow-up notes: check before duplicate outreach. https://www.firmas.lv/en/companies/sprinkler-service/40003013346 ; https://sprinkler.lv/lv/contacts</t>
        </is>
      </c>
    </row>
    <row r="77" spans="1:11">
      <c r="B77" t="s">
        <v>357</v>
      </c>
      <c r="C77" s="95" t="s">
        <v>151</v>
      </c>
      <c r="D77" t="inlineStr">
        <is>
          <t xml:space="preserve">Checked 10 Sep 2026. Operating fire-safety supplier; Arcofire, reg. 40103632404. Zintis Zābers — listed board chairman. Office +371 22495752, office@arcofire.com; sales +371 25423463, orders@arcofire.com. https://arcofire.com/contacts/ ; https://overit.lv/uznemums/sabiedriba-ar-ierobezotu-atbildibu-arcofire-40103632404/</t>
        </is>
      </c>
    </row>
    <row r="78" spans="1:11">
      <c r="B78" t="s">
        <v>357</v>
      </c>
      <c r="C78" s="95" t="s">
        <v>152</v>
      </c>
      <c r="D78" t="inlineStr">
        <is>
          <t xml:space="preserve">Checked 10 Sep 2026. Likely match is SIA ISKADA, reg. 40003279893, fire-safety equipment supplier; exact 'Iskada Serviss' entity not verified. Company route: +371 67139564, info@iskada.lv. Confirm entity and ask for director. https://viss.lv/?k=139643</t>
        </is>
      </c>
    </row>
    <row r="79" spans="1:11">
      <c r="B79" t="s">
        <v>352</v>
      </c>
      <c r="C79" s="95" t="s">
        <v>132</v>
      </c>
      <c r="D79" t="inlineStr">
        <is>
          <t xml:space="preserve">Checked 10 Sep 2026. Operating electrical contractor; ELSANA, reg. 40003048441. Mārtiņš Pūce — listed board member; company email elsana@elsana.lv. Direct personal contact not publicly verified. https://www.elsana.lv/lv/kontakti/ ; https://vissviena.lv/uznemums/40003048441/sabiedriba-ar-ierobezotu-atbildibu-elsana/</t>
        </is>
      </c>
    </row>
    <row r="80" spans="1:11">
      <c r="B80" t="s">
        <v>352</v>
      </c>
      <c r="C80" s="95" t="s">
        <v>21</v>
      </c>
      <c r="D80" t="inlineStr">
        <is>
          <t xml:space="preserve">Checked 10 Sep 2026. Operating electrical contractor; SIA OMS, reg. 42103000774. Company +371 63491032, oms@oms.lv. Existing row 12 names Mārtiņš Petris, +371 26177621 (prior user contact, role not independently verified), and records no interest: check before repeat outreach. https://www.oms.lv/kontakti</t>
        </is>
      </c>
    </row>
    <row r="81" spans="2:3">
      <c r="B81" t="s">
        <v>352</v>
      </c>
      <c r="C81" s="95" t="s">
        <v>133</v>
      </c>
      <c r="D81" t="inlineStr">
        <is>
          <t xml:space="preserve">Checked 10 Sep 2026. INACTIVE: SIA Būvenergo A, reg. 43603014154, liquidated 9 October 2024. Do not treat historical staff/office contacts as current prospects. https://www.lursoft.lv/adrese/langervaldes-iela-1-jelgava-lv-3002/strukturvienibas ; https://vissviena.lv/uznemums/40103873847/sabiedriba-ar-ierobezotu-atbildibu-buvenergija/</t>
        </is>
      </c>
    </row>
    <row r="82" spans="2:3">
      <c r="B82" t="s">
        <v>352</v>
      </c>
      <c r="C82" s="95" t="s">
        <v>40</v>
      </c>
      <c r="D82" t="inlineStr">
        <is>
          <t xml:space="preserve">Checked 10 Sep 2026. Operating construction company; SIA LINDBERG, reg. 40203598524; joined builders' association in 2026. Aleksejs Ivanovs — CEO; Edgars Kupcs — COO/CFO. Company +371 29133553, info@lindberg.lv. Direct partnership route: Jevgēnijs Šeršņovs, jevgenijs.sersnovs@lindberg.lv. https://lindberg.lv/ ; https://www.latvijasbuvnieki.lv/lindberg/</t>
        </is>
      </c>
    </row>
    <row r="83" spans="2:3">
      <c r="B83" t="s">
        <v>352</v>
      </c>
      <c r="C83" s="95" t="s">
        <v>134</v>
      </c>
      <c r="D83" t="inlineStr">
        <is>
          <t xml:space="preserve">Checked 10 Sep 2026. Operating electrical contractor; Kulmen, reg. 40203459935. Ernests Kūla — board chairman/owner listed in July 2026. Company +371 25410225, info@kulmen.lv. https://kulmen.lv/lv/kontakti ; https://b2bhint.com/lv/company/lv/kulmen--40203459935</t>
        </is>
      </c>
    </row>
    <row r="84" spans="2:3">
      <c r="B84" t="s">
        <v>352</v>
      </c>
      <c r="C84" s="95" t="s">
        <v>135</v>
      </c>
      <c r="D84" t="inlineStr">
        <is>
          <t xml:space="preserve">Checked 10 Sep 2026. Active registered electrical-design company; Navitas RP, reg. 45403035908. Ralfs Pērsis — board member/owner. Company +371 29856789; website contact form. Direct email not publicly verified. https://navitas.lv/en/kontakti/ ; https://b2bhint.com/lv/company/lv/navitas-rp--45403035908</t>
        </is>
      </c>
    </row>
    <row r="85" spans="2:3">
      <c r="B85" t="s">
        <v>352</v>
      </c>
      <c r="C85" s="95" t="s">
        <v>136</v>
      </c>
      <c r="D85" t="inlineStr">
        <is>
          <t xml:space="preserve">Checked 10 Sep 2026. Operating telecom/low-voltage contractor website; SIA TELEMAKS, reg. 50003616871. Company +371 20377422 / +371 67273383, info@telemaks.lv. Named decision maker not publicly verified. https://www.telemaks.lv/index.php?id=1&amp;lang=lat&amp;page=content</t>
        </is>
      </c>
    </row>
    <row r="86" spans="2:3">
      <c r="B86" t="s">
        <v>352</v>
      </c>
      <c r="C86" s="95" t="s">
        <v>137</v>
      </c>
      <c r="D86" t="inlineStr">
        <is>
          <t xml:space="preserve">Checked 10 Sep 2026. Entity needs confirmation: SIA FTP and SIA FTP Service are distinct names in sources. FTP Service (40103887692) has active BIS registration: +371 67275239, info@ftpcompany.lv; website also gives +371 26669856. Named decision maker not publicly verified. https://bis.gov.lv/bisp/lv/construction_companies/12803 ; https://ftpcompany.lv/contact-us/</t>
        </is>
      </c>
    </row>
    <row r="87" spans="2:3">
      <c r="B87" t="s">
        <v>352</v>
      </c>
      <c r="C87" s="95" t="s">
        <v>138</v>
      </c>
      <c r="D87" t="inlineStr">
        <is>
          <t xml:space="preserve">Checked 10 Sep 2026. Active BIS contractor; SIA Latus SARDZE, reg. 41203003212. Company +371 29466494 / +371 63622986, office@latus-sardze.lv / latuss@inbox.lv. Named decision maker not publicly verified. https://bis.gov.lv/bisp/lv/construction_companies/9292 ; https://latus-sardze.lv/site/lv/kontakti/</t>
        </is>
      </c>
    </row>
    <row r="88" spans="2:3">
      <c r="B88" t="s">
        <v>352</v>
      </c>
      <c r="C88" s="95" t="s">
        <v>139</v>
      </c>
      <c r="D88" t="inlineStr">
        <is>
          <t xml:space="preserve">Checked 10 Sep 2026. Operating solar/electrical contractor; Electrical SIA, reg. 40203309609. Company +371 29329999, info@electrical.lv. Juris Lazars is mentioned by a customer testimonial; decision-making role not publicly verified. https://electrical.lv/kontakti/ ; https://electrical.lv/</t>
        </is>
      </c>
    </row>
    <row r="89" spans="2:3">
      <c r="B89" t="s">
        <v>352</v>
      </c>
      <c r="C89" s="95" t="s">
        <v>140</v>
      </c>
      <c r="D89" t="inlineStr">
        <is>
          <t xml:space="preserve">Checked 10 Sep 2026. Operating electrical contractor; SIA CVS. Jānis Sakniņš — board member, direct +371 26131336. General company phone +371 26670322; website contact form. https://cvs.lv/ ; https://abc.lv/infolapa/cvs-sia</t>
        </is>
      </c>
    </row>
    <row r="90" spans="2:3">
      <c r="B90" t="s">
        <v>352</v>
      </c>
      <c r="C90" s="95" t="s">
        <v>141</v>
      </c>
      <c r="D90" t="inlineStr">
        <is>
          <t xml:space="preserve">Checked 10 Sep 2026. Active BIS electrical contractor; reg. 41503021043. Aleksejs Dzjuba — board member on company contact page: +371 29463859. Company email elpoli@inbox.lv; office +371 65431154. https://www.elpoli.lv/contacts.php ; https://bis.gov.lv/bisp/lv/construction_companies/9850</t>
        </is>
      </c>
    </row>
    <row r="91" spans="2:3">
      <c r="B91" t="s">
        <v>352</v>
      </c>
      <c r="C91" s="95" t="s">
        <v>142</v>
      </c>
      <c r="D91" t="inlineStr">
        <is>
          <t xml:space="preserve">Checked 10 Sep 2026. Active BIS electrical contractor, reg. 40003868619; 2025 accounts listed. Armands Belasiks — board chairman. Company route +371 28627999, sem40@inbox.lv. https://abc.lv/infolapa/salacgrivas-elektromontaznieks-sia ; https://overit.lv/en/company/sabiedriba-ar-ierobezotu-atbildibu-salacgrivas-elektromontaz-40003868619/</t>
        </is>
      </c>
    </row>
    <row r="92" spans="2:3">
      <c r="B92" t="s">
        <v>352</v>
      </c>
      <c r="C92" s="95" t="s">
        <v>143</v>
      </c>
      <c r="D92" t="inlineStr">
        <is>
          <t xml:space="preserve">Checked 10 Sep 2026. Operating electrical contractor; reg. 42103054809. Dans Perševics — board chairman: dans@elnetworks.lv; +371 29481914 (official English page), office +371 63483400. Operational contact: Elvis Grāveris, Riga construction project manager, +371 28800032, elvis@elnetworks.lv. https://elnetworks.lv/kontakti/ ; https://elnetworks.lv/en/contacts/</t>
        </is>
      </c>
    </row>
    <row r="93" spans="2:3">
      <c r="B93" t="s">
        <v>352</v>
      </c>
      <c r="C93" s="95" t="s">
        <v>144</v>
      </c>
      <c r="D93" t="inlineStr">
        <is>
          <t xml:space="preserve">Checked 10 Sep 2026. Active BIS electrical contractor; reg. 41503033589. Company +371 29253749 / +371 65438824, elektro-alter@inbox.lv. Named decision maker not publicly verified. https://bis.gov.lv/bisp/lv/construction_companies/8674 ; https://abc.lv/infolapa/elektroalter-sia</t>
        </is>
      </c>
    </row>
    <row r="94" spans="2:3">
      <c r="B94" t="s">
        <v>352</v>
      </c>
      <c r="C94" s="95" t="s">
        <v>145</v>
      </c>
      <c r="D94" t="inlineStr">
        <is>
          <t xml:space="preserve">Checked 10 Sep 2026. Likely match: SIA Elektro, Tume, reg. 49203003677; active BIS status listed. Company +371 29250380 / +371 63193411, janis@elektro.apollo.lv. Full decision-maker name/role not publicly verified. Confirm Tume company is intended. https://abc.lv/infolapa/elektro-sia</t>
        </is>
      </c>
    </row>
    <row r="95" spans="2:3">
      <c r="B95" t="s">
        <v>352</v>
      </c>
      <c r="C95" s="95" t="s">
        <v>146</v>
      </c>
      <c r="D95" t="inlineStr">
        <is>
          <t xml:space="preserve">Checked 10 Sep 2026. Active BIS contractor; SIA Eltex, reg. 40103303667. Named business email and phone: andis@eltex.lv, +371 29378173. Full name/decision authority not publicly verified. https://bis.gov.lv/bisp/lv/construction_companies/2162</t>
        </is>
      </c>
    </row>
    <row r="96" spans="2:3">
      <c r="B96" t="s">
        <v>360</v>
      </c>
      <c r="C96" s="96" t="s">
        <v>358</v>
      </c>
      <c r="D96" t="inlineStr">
        <is>
          <t xml:space="preserve">Checked 10 Sep 2026. INACTIVE: AVK Sistēmas, reg. 40003706478, liquidated 27 November 2019. No current decision-maker contacts for this entity. https://company.lursoft.lv/avk-sistemas/40003706478</t>
        </is>
      </c>
    </row>
    <row r="97" spans="2:11">
      <c r="B97" t="s">
        <v>360</v>
      </c>
      <c r="C97" s="96" t="s">
        <v>106</v>
      </c>
      <c r="D97" t="inlineStr">
        <is>
          <t xml:space="preserve">Checked 10 Sep 2026. Operating HVAC website; SIA Vikomakss, reg. 50003163481; 2025 annual report filed in 2026. Company +371 29143349 / +371 67287476, vikomakss@vikomakss.lv. Named decision maker not publicly verified. Existing construction-sheet row 31 records 'No projects at the moment'. https://www.vikomakss.lv/lv/kontakti ; https://www.firmas.lv/lv/uznemumi/vikomakss/50003163481</t>
        </is>
      </c>
    </row>
    <row r="98" spans="2:11">
      <c r="B98" t="s">
        <v>360</v>
      </c>
      <c r="C98" s="96" t="s">
        <v>359</v>
      </c>
      <c r="D98" t="inlineStr">
        <is>
          <t xml:space="preserve">Checked 10 Sep 2026. RENAMED: historical Siltums Jums (44103036801) is now MONUM; active projects published August 2026. Evita Domello — board member named February 2026. Office +371 67270085, monum@monum.lv. https://vissviena.lv/uznemums/44103036801/sia-monum/ ; https://monum.lv/kontakti/ ; https://monum.lv/jaunumi/monum-uzsak-pirmo-attistibas-projektu/</t>
        </is>
      </c>
    </row>
    <row r="99" spans="2:11">
      <c r="B99" t="s">
        <v>360</v>
      </c>
      <c r="C99" s="96" t="s">
        <v>16</v>
      </c>
      <c r="D99" t="inlineStr">
        <is>
          <t xml:space="preserve">Checked 10 Sep 2026. Registered plumbing/HVAC company, reg. 40003544247; viewed registry profile reports no liquidation/insolvency entries. Vladimirs Vereteņņikovs — board chairman. Company +371 67563065. Existing row 7 already has contact/history. https://makoro.lv/uznemumi/sia-sano-serviss-40003544247 ; https://www.firmas.lv/lv/uznemumi/sano-serviss/40003544247</t>
        </is>
      </c>
    </row>
    <row r="100" spans="2:11">
      <c r="B100" t="s">
        <v>360</v>
      </c>
      <c r="C100" s="96" t="s">
        <v>17</v>
      </c>
      <c r="D100" t="inlineStr">
        <is>
          <t xml:space="preserve">Checked 10 Sep 2026. Active BIS HVAC contractor, Ventmontāža, reg. 40003550421. Valdis Šulbergs — board member. Published business contact +371 29459766, valdis@ventmontaza.lv. https://bis.gov.lv/bisp/lv/construction_companies/9926 ; https://overit.lv/uznemums/sabiedriba-ar-ierobezotu-atbildibu-ventmontaza-40003550421/</t>
        </is>
      </c>
    </row>
    <row r="101" spans="2:11">
      <c r="B101" t="s">
        <v>360</v>
      </c>
      <c r="C101" s="96" t="s">
        <v>19</v>
      </c>
      <c r="D101" t="inlineStr">
        <is>
          <t xml:space="preserve">Checked 10 Sep 2026. Operating SIA HVAC Solutions, reg. 40203145487. Company +371 26346479 / +371 26414466, info@hvac-s.lv. Existing row 10 has Gatis Svistunovs' email and ongoing conversation: gatis.svistunovs@hvac-s.lv (user-supplied; role not independently verified). https://www.hvacsolutions.lv/kontakti</t>
        </is>
      </c>
    </row>
    <row r="102" spans="2:11">
      <c r="B102" t="s">
        <v>360</v>
      </c>
      <c r="C102" s="96" t="s">
        <v>20</v>
      </c>
      <c r="D102" t="inlineStr">
        <is>
          <t xml:space="preserve">Checked 10 Sep 2026. Operating SIA Akvilon, reg. 50003057361. Grigorijs Markins — production manager/board member: +371 29354755, grigorijs@akvilon.lv. For site operations: Aleksejs Markins, certified construction manager at technical partner Akvilon PRO, +371 26543180, info@akvilonpro.lv. Duplicate of row 11. https://akvilon.eu/lv/kontakti</t>
        </is>
      </c>
    </row>
    <row r="103" spans="2:11">
      <c r="B103" t="s">
        <v>360</v>
      </c>
      <c r="C103" s="96" t="s">
        <v>109</v>
      </c>
      <c r="D103" t="inlineStr">
        <is>
          <t xml:space="preserve">Checked 10 Sep 2026. HVAC match: RemBaltic, reg. 50103171131; 2025 accounts listed, no liquidation/insolvency shown. Company +371 29888884. Named decision maker not publicly verified. Do not confuse with cleaning company reg. 40203246623. https://company.lursoft.lv/rembaltic/50103171131</t>
        </is>
      </c>
    </row>
    <row r="104" spans="2:11">
      <c r="B104" t="s">
        <v>360</v>
      </c>
      <c r="C104" s="96" t="s">
        <v>110</v>
      </c>
      <c r="D104" t="inlineStr">
        <is>
          <t xml:space="preserve">Checked 10 Sep 2026. Operating HVAC/engineering company; SIA MJ-Partneri, reg. 40003923427. Juris Leitāns — board chairman. Company route +371 67817777, mj@mj.lv. https://www.ventilacija24.lv/kontakti/ ; https://mj.lv/par-mums</t>
        </is>
      </c>
    </row>
    <row r="105" spans="2:11" ht="69.75" customHeight="1">
      <c r="B105" s="107" t="s">
        <v>360</v>
      </c>
      <c r="C105" s="142" t="s">
        <v>111</v>
      </c>
      <c r="D105" s="110"/>
      <c r="E105" s="107"/>
      <c r="F105" s="107"/>
      <c r="G105" s="107"/>
      <c r="H105" s="107"/>
      <c r="I105" s="107"/>
      <c r="J105" s="107"/>
      <c r="K105" s="107" t="s">
        <v>382</v>
      </c>
    </row>
    <row r="106" spans="2:11">
      <c r="B106" t="s">
        <v>360</v>
      </c>
      <c r="C106" s="96" t="s">
        <v>112</v>
      </c>
      <c r="D106" t="inlineStr">
        <is>
          <t xml:space="preserve">Checked 10 Sep 2026. Operating HVAC business; FIXT, reg. 40103849510; 2025 revenue published. Jānis Bērziņš — board member. Company +371 28007725, serviss@fixt.lv. https://www.fixt.lv/kontakti ; https://overit.lv/uznemums/sabiedriba-ar-ierobezotu-atbildibu-fixt-40103849510/</t>
        </is>
      </c>
    </row>
    <row r="107" spans="2:11">
      <c r="B107" t="s">
        <v>360</v>
      </c>
      <c r="C107" s="96" t="s">
        <v>22</v>
      </c>
      <c r="D107" t="inlineStr">
        <is>
          <t xml:space="preserve">Checked 10 Sep 2026. Active BIS HVAC contractor; SIA Ventors, reg. 40102027082; 2025 accounts listed. Company +371 67134122, ventors@ventors.lv. Existing row 13 names Mihails Potaševs as chairman (current role to reconfirm). https://abc.lv/infolapa/ventors-sia</t>
        </is>
      </c>
    </row>
    <row r="108" spans="2:11">
      <c r="B108" t="s">
        <v>360</v>
      </c>
      <c r="C108" s="96" t="s">
        <v>113</v>
      </c>
      <c r="D108" t="inlineStr">
        <is>
          <t xml:space="preserve">Checked 10 Sep 2026. Operating HVAC business; SERVISS SIA, reg. 40003834059; 2025 accounts filed June 2026, no liquidation/insolvency listed. Company +371 29139574, info@siaserviss.lv; ask for director. Name not publicly verified. https://abc.lv/infolapa/serviss-sia-275967 ; https://company.lursoft.lv/serviss/40003834059</t>
        </is>
      </c>
    </row>
    <row r="109" spans="2:11">
      <c r="B109" t="s">
        <v>360</v>
      </c>
      <c r="C109" s="96" t="s">
        <v>114</v>
      </c>
      <c r="D109" t="inlineStr">
        <is>
          <t xml:space="preserve">Checked 10 Sep 2026. Operating Concity/Mitsubishi partner; SIA IFC Latvija, reg. 40103596508. Company +371 20498632 / +371 29517107, info@concity.lv. Named decision maker not publicly verified. https://www.concity.lv/</t>
        </is>
      </c>
    </row>
    <row r="110" spans="2:11" ht="60" customHeight="1">
      <c r="B110" s="107" t="s">
        <v>360</v>
      </c>
      <c r="C110" s="142" t="s">
        <v>115</v>
      </c>
      <c r="D110" s="110"/>
      <c r="E110" s="107"/>
      <c r="F110" s="107"/>
      <c r="G110" s="107"/>
      <c r="H110" s="107"/>
      <c r="I110" s="107"/>
      <c r="J110" s="107"/>
      <c r="K110" s="114" t="s">
        <v>383</v>
      </c>
    </row>
    <row r="111" spans="2:11">
      <c r="B111" t="s">
        <v>360</v>
      </c>
      <c r="C111" s="96" t="s">
        <v>116</v>
      </c>
      <c r="D111" t="inlineStr">
        <is>
          <t xml:space="preserve">Checked 10 Sep 2026. Likely sector mismatch: SIA AER, reg. 40103667919, is a tools distributor, not verified as HVAC contractor. Company +371 24881244 / +371 67808845, info@aer.lv. Named decision maker not publicly verified; confirm intended prospect. https://aer.lv/lv/kontakti ; https://www.linkedin.com/company/aer-sia</t>
        </is>
      </c>
    </row>
    <row r="112" spans="2:11">
      <c r="B112" t="s">
        <v>360</v>
      </c>
      <c r="C112" s="96" t="s">
        <v>117</v>
      </c>
      <c r="D112" t="inlineStr">
        <is>
          <t xml:space="preserve">Checked 10 Sep 2026. Exact Latvian HVAC company not verified from supplied name. Need website or registration number; no unrelated contacts assigned.</t>
        </is>
      </c>
    </row>
    <row r="113" spans="2:11">
      <c r="B113" t="s">
        <v>360</v>
      </c>
      <c r="C113" s="96" t="s">
        <v>118</v>
      </c>
      <c r="D113" t="inlineStr">
        <is>
          <t xml:space="preserve">Checked 10 Sep 2026. Operating Baltic HVAC distributor with Latvian office. Group board members Urmas Malmet and Karl Leinus are listed by Airwave OÜ. Latvia company route +371 67566607, info@airwave.lv; local decision maker not publicly verified. https://www.airwave.lv/kontakti/ ; https://www.awbaltic.com/contact-us-2/</t>
        </is>
      </c>
    </row>
    <row r="114" spans="2:11">
      <c r="B114" t="s">
        <v>360</v>
      </c>
      <c r="C114" s="96" t="s">
        <v>119</v>
      </c>
      <c r="D114" t="inlineStr">
        <is>
          <t xml:space="preserve">Checked 10 Sep 2026. INACTIVE exact-name match: SIA FRIGUS, reg. 40003907649, removed from register 25 February 2016. No current decision-maker contacts verified. FRIGUS JV is a separate entity; confirm if that was intended. https://www.firmas.lv/lv/uznemumi/frigus/40003907649</t>
        </is>
      </c>
    </row>
    <row r="115" spans="2:11">
      <c r="B115" t="s">
        <v>360</v>
      </c>
      <c r="C115" s="96" t="s">
        <v>120</v>
      </c>
      <c r="D115" t="inlineStr">
        <is>
          <t xml:space="preserve">Checked 10 Sep 2026. Operating HVAC supplier/installer; Climate systems, reg. 40103326354; address updated June 2026. Kaspars Ozols — public exhibition contact, +371 29474608, info@climatesystems.lv (decision-making role to confirm). https://www.bt1.lv/ct2/part.php?id=1591&amp;subid=40986 ; https://www.zl.lv/lv/uznemums/climate-systems-sia-284636</t>
        </is>
      </c>
    </row>
    <row r="116" spans="2:11">
      <c r="B116" t="s">
        <v>360</v>
      </c>
      <c r="C116" s="96" t="s">
        <v>121</v>
      </c>
      <c r="D116" t="inlineStr">
        <is>
          <t xml:space="preserve">Checked 10 Sep 2026. Identity/sector unclear: provent.lv is a ventilating floor-underlay product of PEPI RER, while Provent OÜ is Estonian. Latvian HVAC contractor under supplied name not verified. Need website or registration number. https://www.provent.lv/ ; https://provent.ee/kontaktid/</t>
        </is>
      </c>
    </row>
    <row r="117" spans="2:11">
      <c r="B117" t="s">
        <v>360</v>
      </c>
      <c r="C117" s="96" t="s">
        <v>122</v>
      </c>
      <c r="D117" t="inlineStr">
        <is>
          <t xml:space="preserve">Checked 10 Sep 2026. Operating Panasonic distributor/service centre; SIA RIKON AC, reg. 40003959284. Company +371 29159425 / +371 67310975, salons@kondicionieris.lv. Named decision maker not publicly verified. https://www.kondicionieris.lv/lv/kontakti</t>
        </is>
      </c>
    </row>
    <row r="118" spans="2:11">
      <c r="B118" t="s">
        <v>360</v>
      </c>
      <c r="C118" s="96" t="s">
        <v>123</v>
      </c>
      <c r="D118" t="inlineStr">
        <is>
          <t xml:space="preserve">Checked 10 Sep 2026. Operating HVAC installer; SIA Eiroklimats, reg. 48503008119; LIAA profile August 2026. Andris Miežubrālis — board member: +371 26461241. https://www.eiroklimats.lv/kontakti/ ; https://liaa.business.gov.lv/uznemumi/sabiedriba-ar-ierobezotu-atbildibu-eiroklimats</t>
        </is>
      </c>
    </row>
    <row r="119" spans="2:11">
      <c r="B119" t="s">
        <v>360</v>
      </c>
      <c r="C119" s="96" t="s">
        <v>124</v>
      </c>
      <c r="D119" t="inlineStr">
        <is>
          <t xml:space="preserve">Checked 10 Sep 2026. Ambiguous brand/company name. Search finds Komforts shops operated by EVA-SAT and other heating businesses; intended HVAC contractor not established. Need website or registration number. https://komforts.net/</t>
        </is>
      </c>
    </row>
    <row r="120" spans="2:11">
      <c r="B120" t="s">
        <v>360</v>
      </c>
      <c r="C120" s="96" t="s">
        <v>125</v>
      </c>
      <c r="D120" t="inlineStr">
        <is>
          <t xml:space="preserve">Checked 10 Sep 2026. Operating industrial parts/tools supplier and conveyor-belt manufacturer; not primarily HVAC. Valters — published Riga-area sales representative, +371 26007766 (full name/decision authority not verified). Ask for operations/director. https://promehanika.lv/lv/kontakti ; https://www.biltim.lv/dalibnieki-biltim/item/419155/pro-mehanika-sia</t>
        </is>
      </c>
    </row>
    <row r="121" spans="2:11">
      <c r="B121" t="s">
        <v>360</v>
      </c>
      <c r="C121" s="96" t="s">
        <v>126</v>
      </c>
      <c r="D121" t="inlineStr">
        <is>
          <t xml:space="preserve">Checked 10 Sep 2026. Identity ambiguous: search finds CAPITALIS INŽENIERSISTĒMAS and a foreign-company INŽENIERSISTĒMAS representative office. Supplied name does not identify intended HVAC contractor; no decision-maker contact safely assigned. Need website or registration number. https://www.firmas.lv/lv/uznemumi/capitalis-inzeniersistemas/40003573693</t>
        </is>
      </c>
    </row>
    <row r="122" spans="2:11">
      <c r="B122" t="s">
        <v>360</v>
      </c>
      <c r="C122" s="96" t="s">
        <v>127</v>
      </c>
      <c r="D122" t="inlineStr">
        <is>
          <t xml:space="preserve">Checked 10 Sep 2026. INACTIVE under this entity: TERMEX, reg. 40003957349, removed from register through reorganisation on 20 June 2024. Historical termex@termex.lv / +371 67319212 are not verified as current. Identify successor before outreach. https://www.firmas.lv/en/companies/termex/40003957349</t>
        </is>
      </c>
    </row>
    <row r="123" spans="2:11">
      <c r="B123" t="s">
        <v>360</v>
      </c>
      <c r="C123" s="96" t="s">
        <v>128</v>
      </c>
      <c r="D123" t="inlineStr">
        <is>
          <t xml:space="preserve">Checked 10 Sep 2026. Real PS Siltumserviss Rīga, reg. 50203081101; historical municipal maintenance contracts verified. Current operating status and non-emergency business contact not publicly verified. Published 80000610 is an emergency line, unsuitable for sales. https://company.lursoft.lv/siltumserviss-riga/50203081101 ; https://www.rigasudens.lv/lv/udens-efektiva-majsaimnieciba</t>
        </is>
      </c>
    </row>
    <row r="124" spans="2:11">
      <c r="B124" t="s">
        <v>360</v>
      </c>
      <c r="C124" s="96" t="s">
        <v>129</v>
      </c>
      <c r="D124" t="inlineStr">
        <is>
          <t xml:space="preserve">Checked 10 Sep 2026. Real heating contractor SILTUMTEHSERVISS, reg. 42402005862. Company +371 64622280, siltumtehserviss@inbox.lv. Named decision maker not publicly verified. 2025 Competition Council infringement decision found; check current legal position before qualification. https://defro.ptm.lv/partneri-regionos/ ; https://www.vestnesis.lv/op/2025/180.23</t>
        </is>
      </c>
    </row>
    <row r="125" spans="2:11">
      <c r="B125" t="s">
        <v>360</v>
      </c>
      <c r="C125" s="96" t="s">
        <v>130</v>
      </c>
      <c r="D125" t="inlineStr">
        <is>
          <t xml:space="preserve">Checked 10 Sep 2026. Operating environmental engineering business, not HVAC. Arta Bažovska — general director named on company page (confirm current). Company +371 26559949 / +371 29225443, info@venteko.com. https://www.venteko.com/lv/kontakti.html ; https://www.venteko.com/lt/bendrove.html</t>
        </is>
      </c>
    </row>
    <row r="126" spans="2:11">
      <c r="B126" t="s">
        <v>360</v>
      </c>
      <c r="C126" s="96" t="s">
        <v>131</v>
      </c>
      <c r="D126" t="inlineStr">
        <is>
          <t xml:space="preserve">Checked 10 Sep 2026. Exact Latvian HVAC company not verified. Similar-name SIA KLIMA in registry is a pharmacy business, not a safe match. Need website or registration number before assigning contacts. https://www.firmas.lv/lv/uznemumi/klima/50003426191</t>
        </is>
      </c>
    </row>
    <row r="127" spans="2:11" ht="102.75" customHeight="1">
      <c r="B127" s="123"/>
      <c r="C127" s="124" t="s">
        <v>378</v>
      </c>
      <c r="D127" s="124"/>
      <c r="E127" s="123"/>
      <c r="F127" s="123"/>
      <c r="G127" s="123"/>
      <c r="H127" s="123"/>
      <c r="I127" s="123"/>
      <c r="J127" s="123"/>
      <c r="K127" s="125" t="s">
        <v>393</v>
      </c>
    </row>
    <row r="128" spans="2:11" ht="96.75" customHeight="1">
      <c r="B128" s="129"/>
      <c r="C128" s="143" t="s">
        <v>379</v>
      </c>
      <c r="D128" s="143"/>
      <c r="E128" s="129"/>
      <c r="F128" s="129"/>
      <c r="G128" s="129"/>
      <c r="H128" s="129"/>
      <c r="I128" s="129"/>
      <c r="J128" s="129"/>
      <c r="K128" s="144" t="s">
        <v>392</v>
      </c>
    </row>
    <row r="129" spans="1:11" ht="212.25" customHeight="1">
      <c r="B129" s="123"/>
      <c r="C129" s="124" t="s">
        <v>386</v>
      </c>
      <c r="D129" s="124"/>
      <c r="E129" s="123"/>
      <c r="F129" s="123"/>
      <c r="G129" s="123"/>
      <c r="H129" s="123"/>
      <c r="I129" s="123"/>
      <c r="J129" s="123"/>
      <c r="K129" s="125" t="s">
        <v>420</v>
      </c>
    </row>
    <row r="130" spans="1:11" ht="91.5" customHeight="1">
      <c r="C130" s="124" t="s">
        <v>389</v>
      </c>
      <c r="D130" s="124"/>
      <c r="E130" s="123"/>
      <c r="F130" s="123"/>
      <c r="G130" s="123"/>
      <c r="H130" s="123"/>
      <c r="I130" s="123"/>
      <c r="J130" s="123"/>
      <c r="K130" s="125" t="s">
        <v>417</v>
      </c>
    </row>
    <row r="131" spans="1:11" ht="120">
      <c r="B131" s="123"/>
      <c r="C131" s="124" t="s">
        <v>390</v>
      </c>
      <c r="D131" s="124"/>
      <c r="E131" s="123"/>
      <c r="F131" s="123"/>
      <c r="G131" s="123"/>
      <c r="H131" s="123"/>
      <c r="I131" s="123"/>
      <c r="J131" s="123"/>
      <c r="K131" s="125" t="s">
        <v>391</v>
      </c>
    </row>
    <row r="132" spans="1:11" ht="60">
      <c r="B132" s="123"/>
      <c r="C132" s="124" t="s">
        <v>394</v>
      </c>
      <c r="D132" s="124">
        <v>37126554444</v>
      </c>
      <c r="E132" s="123"/>
      <c r="F132" s="123"/>
      <c r="G132" s="123"/>
      <c r="H132" s="123"/>
      <c r="I132" s="123"/>
      <c r="J132" s="123"/>
      <c r="K132" s="125" t="s">
        <v>411</v>
      </c>
    </row>
    <row r="133" spans="1:11" ht="66" customHeight="1">
      <c r="B133" s="107"/>
      <c r="C133" s="110" t="s">
        <v>395</v>
      </c>
      <c r="D133" s="110"/>
      <c r="E133" s="107"/>
      <c r="F133" s="107"/>
      <c r="G133" s="107"/>
      <c r="H133" s="107"/>
      <c r="I133" s="107"/>
      <c r="J133" s="107"/>
      <c r="K133" s="114" t="s">
        <v>396</v>
      </c>
    </row>
    <row r="134" spans="1:11" ht="30">
      <c r="B134" s="107"/>
      <c r="C134" s="110" t="s">
        <v>397</v>
      </c>
      <c r="D134" s="110"/>
      <c r="E134" s="107"/>
      <c r="F134" s="107"/>
      <c r="G134" s="107"/>
      <c r="H134" s="107"/>
      <c r="I134" s="107"/>
      <c r="J134" s="107"/>
      <c r="K134" s="114" t="s">
        <v>418</v>
      </c>
    </row>
    <row r="137" spans="1:11" ht="93" customHeight="1">
      <c r="C137" s="124" t="s">
        <v>398</v>
      </c>
      <c r="D137" s="124"/>
      <c r="E137" s="123"/>
      <c r="F137" s="123"/>
      <c r="G137" s="123"/>
      <c r="H137" s="123"/>
      <c r="I137" s="123"/>
      <c r="J137" s="123"/>
      <c r="K137" s="125" t="s">
        <v>399</v>
      </c>
    </row>
    <row r="138" spans="1:11" ht="75" customHeight="1">
      <c r="C138" s="124" t="s">
        <v>403</v>
      </c>
      <c r="D138" s="124"/>
      <c r="E138" s="123"/>
      <c r="F138" s="123"/>
      <c r="G138" s="123"/>
      <c r="H138" s="123"/>
      <c r="I138" s="123"/>
      <c r="J138" s="123"/>
      <c r="K138" s="125" t="s">
        <v>404</v>
      </c>
    </row>
    <row r="139" spans="1:11" ht="75">
      <c r="A139" s="129"/>
      <c r="B139" s="129"/>
      <c r="C139" s="143" t="s">
        <v>405</v>
      </c>
      <c r="D139" s="143"/>
      <c r="E139" s="129"/>
      <c r="F139" s="129"/>
      <c r="G139" s="129"/>
      <c r="H139" s="129"/>
      <c r="I139" s="129"/>
      <c r="J139" s="129"/>
      <c r="K139" s="144" t="s">
        <v>413</v>
      </c>
    </row>
    <row r="140" spans="1:11" ht="75">
      <c r="A140" s="107"/>
      <c r="B140" s="107"/>
      <c r="C140" s="110" t="s">
        <v>407</v>
      </c>
      <c r="D140" s="110"/>
      <c r="E140" s="107"/>
      <c r="F140" s="107"/>
      <c r="G140" s="107"/>
      <c r="H140" s="107"/>
      <c r="I140" s="107"/>
      <c r="J140" s="107"/>
      <c r="K140" s="114" t="s">
        <v>408</v>
      </c>
    </row>
    <row r="141" spans="1:11" ht="61.5" customHeight="1">
      <c r="A141" s="107"/>
      <c r="B141" s="107"/>
      <c r="C141" s="110" t="s">
        <v>409</v>
      </c>
      <c r="D141" s="110"/>
      <c r="E141" s="107"/>
      <c r="F141" s="107"/>
      <c r="G141" s="107"/>
      <c r="H141" s="107"/>
      <c r="I141" s="107"/>
      <c r="J141" s="107"/>
      <c r="K141" s="114" t="s">
        <v>419</v>
      </c>
    </row>
    <row r="142" spans="1:11" ht="45" customHeight="1">
      <c r="A142" s="123"/>
      <c r="B142" s="123"/>
      <c r="C142" s="145" t="s">
        <v>410</v>
      </c>
      <c r="D142" s="124"/>
      <c r="E142" s="123"/>
      <c r="F142" s="123"/>
      <c r="G142" s="123"/>
      <c r="H142" s="123"/>
      <c r="I142" s="123"/>
      <c r="J142" s="123"/>
      <c r="K142" s="125" t="s">
        <v>416</v>
      </c>
    </row>
  </sheetData>
  <hyperlinks>
    <hyperlink ref="F18" r:id="rId1" xr:uid="{F3A02A3F-8433-4ECA-96B5-1BACC9CEB5AE}"/>
    <hyperlink ref="C25" r:id="rId2" xr:uid="{91D4F019-EEA8-4517-B0FF-0BD9691A75AD}"/>
    <hyperlink ref="C28" r:id="rId3" xr:uid="{12EB0C3F-2981-4717-AA0B-B2676B18DC4B}"/>
    <hyperlink ref="C30" r:id="rId4" xr:uid="{84AAC47B-7C94-42AC-99A4-62E44E98CED3}"/>
    <hyperlink ref="C31" r:id="rId5" xr:uid="{4474AED8-FCC4-4E24-AEC7-774B9D71F680}"/>
    <hyperlink ref="C32" r:id="rId6" xr:uid="{807F583A-EF02-4269-8B48-F07D24F0534B}"/>
    <hyperlink ref="C33" r:id="rId7" xr:uid="{7ECAF9C3-4CD1-4BBA-9894-9DE232104776}"/>
    <hyperlink ref="C34" r:id="rId8" xr:uid="{7E761559-C917-4BC0-BB3B-CCC3206A73C6}"/>
    <hyperlink ref="C35" r:id="rId9" xr:uid="{5E9F98ED-2214-49CB-AE15-6CC05D5122F8}"/>
    <hyperlink ref="C53" r:id="rId10" xr:uid="{1C58DEF9-94E2-46C6-A5D7-4E3074CBFCB5}"/>
    <hyperlink ref="C54" r:id="rId11" xr:uid="{59D4912E-7FF1-4B0C-8405-4B55CABC7598}"/>
    <hyperlink ref="C56" r:id="rId12" xr:uid="{3518336C-2BBB-46AD-AB3E-F451B772A67D}"/>
    <hyperlink ref="C58" r:id="rId13" xr:uid="{EADD1584-47CB-4794-AA34-008A9C4FC203}"/>
    <hyperlink ref="C59" r:id="rId14" xr:uid="{6FD98985-9CC6-4519-AE44-5C3236FE08D7}"/>
    <hyperlink ref="C36" r:id="rId15" xr:uid="{69B42676-626E-49F8-8B44-130F27EF3211}"/>
    <hyperlink ref="C51" r:id="rId16" xr:uid="{4C37BA9B-6A78-4703-B576-65D288A983E0}"/>
  </hyperlinks>
  <pageMargins left="0.7" right="0.7" top="0.75" bottom="0.75" header="0.3" footer="0.3"/>
  <pageSetup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9"/>
  <sheetViews>
    <sheetView topLeftCell="B13" zoomScale="85" zoomScaleNormal="85" workbookViewId="0">
      <selection activeCell="D9" sqref="D9"/>
    </sheetView>
  </sheetViews>
  <sheetFormatPr defaultColWidth="14.42578125" defaultRowHeight="15"/>
  <cols>
    <col min="1" max="1" width="13.5703125" customWidth="1"/>
    <col min="2" max="2" width="16.5703125" customWidth="1"/>
    <col min="3" max="3" width="29.42578125" customWidth="1"/>
    <col min="4" max="4" width="25.42578125" customWidth="1"/>
    <col min="5" max="7" width="15.7109375" customWidth="1"/>
    <col min="8" max="8" width="36.5703125" customWidth="1"/>
    <col min="9" max="9" width="57.7109375" customWidth="1"/>
    <col min="10" max="10" width="44.85546875" customWidth="1"/>
    <col min="11" max="11" width="54.140625" customWidth="1"/>
    <col min="12" max="12" width="20.5703125" customWidth="1"/>
    <col min="13" max="13" width="19.5703125" customWidth="1"/>
    <col min="14" max="27" width="8.7109375" customWidth="1"/>
  </cols>
  <sheetData>
    <row r="1" spans="1:13" ht="74.25" customHeight="1">
      <c r="A1" s="2" t="s">
        <v>0</v>
      </c>
      <c r="B1" s="4" t="s">
        <v>29</v>
      </c>
      <c r="C1" s="6" t="s">
        <v>30</v>
      </c>
      <c r="D1" s="6"/>
      <c r="E1" s="6" t="s">
        <v>31</v>
      </c>
      <c r="F1" s="6" t="s">
        <v>32</v>
      </c>
      <c r="G1" s="6" t="s">
        <v>6</v>
      </c>
      <c r="H1" s="6" t="s">
        <v>33</v>
      </c>
      <c r="I1" s="6" t="s">
        <v>34</v>
      </c>
      <c r="J1" s="6" t="s">
        <v>35</v>
      </c>
      <c r="K1" s="6" t="s">
        <v>36</v>
      </c>
      <c r="L1" s="6" t="s">
        <v>37</v>
      </c>
      <c r="M1" s="9" t="s">
        <v>38</v>
      </c>
    </row>
    <row r="2" spans="1:13">
      <c r="A2" s="10"/>
      <c r="B2" s="11" t="s">
        <v>39</v>
      </c>
      <c r="C2" s="12" t="s">
        <v>40</v>
      </c>
      <c r="D2" s="13">
        <v>1</v>
      </c>
      <c r="E2" s="13">
        <v>0</v>
      </c>
      <c r="F2" s="13">
        <v>0</v>
      </c>
      <c r="G2" s="13"/>
      <c r="H2" s="14"/>
      <c r="I2" s="14"/>
      <c r="J2" s="14"/>
      <c r="K2" s="13"/>
      <c r="L2" s="13"/>
      <c r="M2" s="15"/>
    </row>
    <row r="3" spans="1:13">
      <c r="A3" s="10"/>
      <c r="B3" s="11" t="s">
        <v>39</v>
      </c>
      <c r="C3" s="12" t="s">
        <v>41</v>
      </c>
      <c r="D3" s="13">
        <v>1</v>
      </c>
      <c r="E3" s="13">
        <v>0</v>
      </c>
      <c r="F3" s="13">
        <v>0</v>
      </c>
      <c r="G3" s="13"/>
      <c r="H3" s="14"/>
      <c r="I3" s="14"/>
      <c r="J3" s="14"/>
      <c r="K3" s="13"/>
      <c r="L3" s="13"/>
      <c r="M3" s="15"/>
    </row>
    <row r="4" spans="1:13" ht="91.5" customHeight="1">
      <c r="A4" s="18"/>
      <c r="B4" s="19" t="s">
        <v>39</v>
      </c>
      <c r="C4" s="21" t="s">
        <v>42</v>
      </c>
      <c r="D4" s="22">
        <v>1</v>
      </c>
      <c r="E4" s="22">
        <v>1</v>
      </c>
      <c r="F4" s="22">
        <v>0</v>
      </c>
      <c r="G4" s="22"/>
      <c r="H4" s="23" t="s">
        <v>43</v>
      </c>
      <c r="I4" s="24" t="s">
        <v>44</v>
      </c>
      <c r="J4" s="47" t="s">
        <v>45</v>
      </c>
      <c r="K4" s="22"/>
      <c r="L4" s="22"/>
      <c r="M4" s="25"/>
    </row>
    <row r="5" spans="1:13" ht="30">
      <c r="A5" s="18"/>
      <c r="B5" s="19" t="s">
        <v>39</v>
      </c>
      <c r="C5" s="21" t="s">
        <v>46</v>
      </c>
      <c r="D5" s="22">
        <v>1</v>
      </c>
      <c r="E5" s="22">
        <v>1</v>
      </c>
      <c r="F5" s="22">
        <v>0</v>
      </c>
      <c r="G5" s="22"/>
      <c r="H5" s="23" t="s">
        <v>47</v>
      </c>
      <c r="I5" s="23" t="s">
        <v>48</v>
      </c>
      <c r="J5" s="23"/>
      <c r="K5" s="22"/>
      <c r="L5" s="22"/>
      <c r="M5" s="25"/>
    </row>
    <row r="6" spans="1:13" ht="210" customHeight="1">
      <c r="A6" s="18"/>
      <c r="B6" s="19" t="s">
        <v>39</v>
      </c>
      <c r="C6" s="21" t="s">
        <v>49</v>
      </c>
      <c r="D6" s="22">
        <v>1</v>
      </c>
      <c r="E6" s="22">
        <v>1</v>
      </c>
      <c r="F6" s="22">
        <v>0</v>
      </c>
      <c r="G6" s="22"/>
      <c r="H6" s="23" t="s">
        <v>50</v>
      </c>
      <c r="I6" s="23" t="s">
        <v>51</v>
      </c>
      <c r="J6" s="23"/>
      <c r="K6" s="22" t="s">
        <v>52</v>
      </c>
      <c r="L6" s="22"/>
      <c r="M6" s="25"/>
    </row>
    <row r="7" spans="1:13" ht="33.75" customHeight="1">
      <c r="A7" s="18"/>
      <c r="B7" s="19" t="s">
        <v>39</v>
      </c>
      <c r="C7" s="21" t="s">
        <v>53</v>
      </c>
      <c r="D7" s="22">
        <v>1</v>
      </c>
      <c r="E7" s="22">
        <v>1</v>
      </c>
      <c r="F7" s="22">
        <v>0</v>
      </c>
      <c r="G7" s="22"/>
      <c r="H7" s="23" t="s">
        <v>54</v>
      </c>
      <c r="I7" s="23" t="s">
        <v>55</v>
      </c>
      <c r="J7" s="23"/>
      <c r="K7" s="22"/>
      <c r="L7" s="22"/>
      <c r="M7" s="25"/>
    </row>
    <row r="8" spans="1:13" ht="33" customHeight="1">
      <c r="A8" s="27"/>
      <c r="B8" s="28" t="s">
        <v>39</v>
      </c>
      <c r="C8" s="29" t="s">
        <v>56</v>
      </c>
      <c r="D8" s="30">
        <v>1</v>
      </c>
      <c r="E8" s="30">
        <v>1</v>
      </c>
      <c r="F8" s="30">
        <v>1</v>
      </c>
      <c r="G8" s="30">
        <v>1</v>
      </c>
      <c r="H8" s="31" t="s">
        <v>57</v>
      </c>
      <c r="I8" s="32" t="s">
        <v>58</v>
      </c>
      <c r="J8" s="32"/>
      <c r="K8" s="30" t="s">
        <v>59</v>
      </c>
      <c r="L8" s="30" t="s">
        <v>60</v>
      </c>
      <c r="M8" s="33"/>
    </row>
    <row r="9" spans="1:13" ht="81.75" customHeight="1">
      <c r="A9" s="18"/>
      <c r="B9" s="19" t="s">
        <v>39</v>
      </c>
      <c r="C9" s="21" t="s">
        <v>61</v>
      </c>
      <c r="D9" s="22">
        <v>1</v>
      </c>
      <c r="E9" s="22">
        <v>1</v>
      </c>
      <c r="F9" s="22">
        <v>0</v>
      </c>
      <c r="G9" s="22"/>
      <c r="H9" s="23" t="s">
        <v>62</v>
      </c>
      <c r="I9" s="23" t="s">
        <v>63</v>
      </c>
      <c r="J9" s="23"/>
      <c r="K9" s="23" t="s">
        <v>64</v>
      </c>
      <c r="L9" s="22"/>
      <c r="M9" s="25"/>
    </row>
    <row r="10" spans="1:13">
      <c r="A10" s="10"/>
      <c r="B10" s="11" t="s">
        <v>39</v>
      </c>
      <c r="C10" s="12" t="s">
        <v>65</v>
      </c>
      <c r="D10" s="13">
        <v>1</v>
      </c>
      <c r="E10" s="13">
        <v>0</v>
      </c>
      <c r="F10" s="13">
        <v>0</v>
      </c>
      <c r="G10" s="13"/>
      <c r="H10" s="14"/>
      <c r="I10" s="14"/>
      <c r="J10" s="14"/>
      <c r="K10" s="13"/>
      <c r="L10" s="13"/>
      <c r="M10" s="15"/>
    </row>
    <row r="11" spans="1:13">
      <c r="A11" s="18"/>
      <c r="B11" s="19" t="s">
        <v>39</v>
      </c>
      <c r="C11" s="21" t="s">
        <v>66</v>
      </c>
      <c r="D11" s="22">
        <v>1</v>
      </c>
      <c r="E11" s="22">
        <v>1</v>
      </c>
      <c r="F11" s="22">
        <v>0</v>
      </c>
      <c r="G11" s="22"/>
      <c r="H11" s="23"/>
      <c r="I11" s="23" t="s">
        <v>67</v>
      </c>
      <c r="J11" s="23"/>
      <c r="K11" s="22"/>
      <c r="L11" s="22" t="s">
        <v>68</v>
      </c>
      <c r="M11" s="25"/>
    </row>
    <row r="12" spans="1:13" ht="57.75" customHeight="1">
      <c r="A12" s="10"/>
      <c r="B12" s="11" t="s">
        <v>39</v>
      </c>
      <c r="C12" s="12" t="s">
        <v>69</v>
      </c>
      <c r="D12" s="13">
        <v>1</v>
      </c>
      <c r="E12" s="13">
        <v>1</v>
      </c>
      <c r="F12" s="13">
        <v>0</v>
      </c>
      <c r="G12" s="13"/>
      <c r="H12" s="14" t="s">
        <v>70</v>
      </c>
      <c r="I12" s="14" t="s">
        <v>71</v>
      </c>
      <c r="J12" s="14"/>
      <c r="K12" s="13"/>
      <c r="L12" s="13"/>
      <c r="M12" s="15"/>
    </row>
    <row r="13" spans="1:13" ht="56.25" customHeight="1">
      <c r="A13" s="18"/>
      <c r="B13" s="19" t="s">
        <v>39</v>
      </c>
      <c r="C13" s="21" t="s">
        <v>72</v>
      </c>
      <c r="D13" s="22">
        <v>1</v>
      </c>
      <c r="E13" s="22">
        <v>1</v>
      </c>
      <c r="F13" s="22">
        <v>0</v>
      </c>
      <c r="G13" s="22"/>
      <c r="H13" s="34" t="s">
        <v>73</v>
      </c>
      <c r="I13" s="23" t="s">
        <v>74</v>
      </c>
      <c r="J13" s="23"/>
      <c r="K13" s="22"/>
      <c r="L13" s="22"/>
      <c r="M13" s="25"/>
    </row>
    <row r="14" spans="1:13" ht="15.75" customHeight="1">
      <c r="A14" s="18"/>
      <c r="B14" s="19" t="s">
        <v>39</v>
      </c>
      <c r="C14" s="21" t="s">
        <v>75</v>
      </c>
      <c r="D14" s="22">
        <v>1</v>
      </c>
      <c r="E14" s="22">
        <v>0</v>
      </c>
      <c r="F14" s="22">
        <v>0</v>
      </c>
      <c r="G14" s="22">
        <v>0</v>
      </c>
      <c r="H14" s="23" t="s">
        <v>76</v>
      </c>
      <c r="I14" s="23" t="s">
        <v>77</v>
      </c>
      <c r="J14" s="23"/>
      <c r="K14" s="23" t="s">
        <v>78</v>
      </c>
      <c r="L14" s="22"/>
      <c r="M14" s="25"/>
    </row>
    <row r="15" spans="1:13" ht="15.75" customHeight="1">
      <c r="A15" s="18"/>
      <c r="B15" s="19" t="s">
        <v>39</v>
      </c>
      <c r="C15" s="21" t="s">
        <v>79</v>
      </c>
      <c r="D15" s="22">
        <v>1</v>
      </c>
      <c r="E15" s="22">
        <v>0</v>
      </c>
      <c r="F15" s="22">
        <v>0</v>
      </c>
      <c r="G15" s="22">
        <v>0</v>
      </c>
      <c r="H15" s="23"/>
      <c r="I15" s="23"/>
      <c r="J15" s="23"/>
      <c r="K15" s="22"/>
      <c r="L15" s="22"/>
      <c r="M15" s="25"/>
    </row>
    <row r="16" spans="1:13" ht="15.75" customHeight="1">
      <c r="A16" s="18"/>
      <c r="B16" s="19" t="s">
        <v>39</v>
      </c>
      <c r="C16" s="21" t="s">
        <v>80</v>
      </c>
      <c r="D16" s="22">
        <v>1</v>
      </c>
      <c r="E16" s="22">
        <v>1</v>
      </c>
      <c r="F16" s="22">
        <v>0</v>
      </c>
      <c r="G16" s="22">
        <v>0</v>
      </c>
      <c r="H16" s="23" t="s">
        <v>81</v>
      </c>
      <c r="I16" s="23" t="s">
        <v>82</v>
      </c>
      <c r="J16" s="23"/>
      <c r="K16" s="23"/>
      <c r="L16" s="22"/>
      <c r="M16" s="25"/>
    </row>
    <row r="17" spans="1:27" ht="15.75" customHeight="1">
      <c r="A17" s="10"/>
      <c r="B17" s="11" t="s">
        <v>39</v>
      </c>
      <c r="C17" s="12" t="s">
        <v>83</v>
      </c>
      <c r="D17" s="13">
        <v>1</v>
      </c>
      <c r="E17" s="13">
        <v>0</v>
      </c>
      <c r="F17" s="13"/>
      <c r="G17" s="13"/>
      <c r="H17" s="14"/>
      <c r="I17" s="14" t="s">
        <v>84</v>
      </c>
      <c r="J17" s="14"/>
      <c r="K17" s="13"/>
      <c r="L17" s="13"/>
      <c r="M17" s="15"/>
    </row>
    <row r="18" spans="1:27" ht="15.75" customHeight="1">
      <c r="A18" s="18"/>
      <c r="B18" s="19" t="s">
        <v>39</v>
      </c>
      <c r="C18" s="21" t="s">
        <v>85</v>
      </c>
      <c r="D18" s="22">
        <v>1</v>
      </c>
      <c r="E18" s="22">
        <v>0</v>
      </c>
      <c r="F18" s="22">
        <v>0</v>
      </c>
      <c r="G18" s="22">
        <v>0</v>
      </c>
      <c r="H18" s="23"/>
      <c r="I18" s="23" t="s">
        <v>86</v>
      </c>
      <c r="J18" s="23"/>
      <c r="K18" s="22"/>
      <c r="L18" s="22"/>
      <c r="M18" s="25"/>
    </row>
    <row r="19" spans="1:27" ht="57" customHeight="1">
      <c r="A19" s="27"/>
      <c r="B19" s="28" t="s">
        <v>39</v>
      </c>
      <c r="C19" s="29" t="s">
        <v>87</v>
      </c>
      <c r="D19" s="30">
        <v>1</v>
      </c>
      <c r="E19" s="35">
        <v>1</v>
      </c>
      <c r="F19" s="30">
        <v>0</v>
      </c>
      <c r="G19" s="30">
        <v>0</v>
      </c>
      <c r="H19" s="32" t="s">
        <v>88</v>
      </c>
      <c r="I19" s="32" t="s">
        <v>89</v>
      </c>
      <c r="J19" s="32"/>
      <c r="K19" s="36" t="s">
        <v>90</v>
      </c>
      <c r="L19" s="30"/>
      <c r="M19" s="33"/>
    </row>
    <row r="20" spans="1:27" ht="146.25" customHeight="1">
      <c r="A20" s="10"/>
      <c r="B20" s="11" t="s">
        <v>39</v>
      </c>
      <c r="C20" s="12" t="s">
        <v>91</v>
      </c>
      <c r="D20" s="13">
        <v>1</v>
      </c>
      <c r="E20" s="13">
        <v>1</v>
      </c>
      <c r="F20" s="13">
        <v>0</v>
      </c>
      <c r="G20" s="13">
        <v>0</v>
      </c>
      <c r="H20" s="14" t="s">
        <v>92</v>
      </c>
      <c r="I20" s="37" t="s">
        <v>93</v>
      </c>
      <c r="J20" s="37"/>
      <c r="K20" s="13"/>
      <c r="L20" s="13" t="s">
        <v>68</v>
      </c>
      <c r="M20" s="15"/>
    </row>
    <row r="21" spans="1:27" ht="109.5" customHeight="1">
      <c r="A21" s="10"/>
      <c r="B21" s="11" t="s">
        <v>39</v>
      </c>
      <c r="C21" s="12" t="s">
        <v>94</v>
      </c>
      <c r="D21" s="13">
        <v>1</v>
      </c>
      <c r="E21" s="13">
        <v>1</v>
      </c>
      <c r="F21" s="13">
        <v>0</v>
      </c>
      <c r="G21" s="13">
        <v>0</v>
      </c>
      <c r="H21" s="14" t="s">
        <v>95</v>
      </c>
      <c r="I21" s="14" t="s">
        <v>96</v>
      </c>
      <c r="J21" s="14"/>
      <c r="K21" s="13"/>
      <c r="L21" s="13" t="s">
        <v>97</v>
      </c>
      <c r="M21" s="15"/>
    </row>
    <row r="22" spans="1:27" ht="71.25" customHeight="1">
      <c r="A22" s="18"/>
      <c r="B22" s="19" t="s">
        <v>39</v>
      </c>
      <c r="C22" s="21" t="s">
        <v>98</v>
      </c>
      <c r="D22" s="22">
        <v>1</v>
      </c>
      <c r="E22" s="22">
        <v>1</v>
      </c>
      <c r="F22" s="22"/>
      <c r="G22" s="22"/>
      <c r="H22" s="38" t="s">
        <v>99</v>
      </c>
      <c r="I22" s="14" t="s">
        <v>100</v>
      </c>
      <c r="J22" s="14"/>
      <c r="K22" s="22"/>
      <c r="L22" s="22"/>
      <c r="M22" s="25"/>
    </row>
    <row r="23" spans="1:27" ht="71.25" customHeight="1">
      <c r="C23" s="1" t="s">
        <v>101</v>
      </c>
    </row>
    <row r="24" spans="1:27" ht="71.25" customHeight="1">
      <c r="C24" s="1" t="s">
        <v>102</v>
      </c>
      <c r="D24" s="1" t="s">
        <v>103</v>
      </c>
    </row>
    <row r="25" spans="1:27" ht="71.25" customHeight="1">
      <c r="C25" s="1" t="s">
        <v>104</v>
      </c>
    </row>
    <row r="26" spans="1:27" ht="71.25" customHeight="1">
      <c r="C26" s="1" t="s">
        <v>105</v>
      </c>
    </row>
    <row r="27" spans="1:27" ht="71.25" customHeight="1"/>
    <row r="28" spans="1:27" ht="71.25" customHeight="1"/>
    <row r="29" spans="1:27" ht="71.25" customHeight="1"/>
    <row r="30" spans="1:27" ht="71.25" customHeight="1"/>
    <row r="31" spans="1:27" ht="71.25" customHeight="1">
      <c r="A31" s="39"/>
      <c r="B31" s="39"/>
      <c r="C31" s="39" t="s">
        <v>106</v>
      </c>
      <c r="D31" s="39"/>
      <c r="E31" s="39" t="s">
        <v>107</v>
      </c>
      <c r="F31" s="39"/>
      <c r="G31" s="39"/>
      <c r="H31" s="39"/>
      <c r="I31" s="39" t="s">
        <v>108</v>
      </c>
      <c r="J31" s="39"/>
      <c r="K31" s="39"/>
      <c r="L31" s="39"/>
      <c r="M31" s="39"/>
      <c r="N31" s="39"/>
      <c r="O31" s="39"/>
      <c r="P31" s="39"/>
      <c r="Q31" s="39"/>
      <c r="R31" s="39"/>
      <c r="S31" s="39"/>
      <c r="T31" s="39"/>
      <c r="U31" s="39"/>
      <c r="V31" s="39"/>
      <c r="W31" s="39"/>
      <c r="X31" s="39"/>
      <c r="Y31" s="39"/>
      <c r="Z31" s="39"/>
      <c r="AA31" s="39"/>
    </row>
    <row r="32" spans="1:27" ht="71.25" customHeight="1">
      <c r="C32" s="1"/>
    </row>
    <row r="33" spans="3:3" ht="71.25" customHeight="1">
      <c r="C33" s="1"/>
    </row>
    <row r="34" spans="3:3" ht="71.25" customHeight="1"/>
    <row r="35" spans="3:3" ht="71.25" customHeight="1">
      <c r="C35" s="1"/>
    </row>
    <row r="36" spans="3:3" ht="71.25" customHeight="1"/>
    <row r="37" spans="3:3" ht="71.25" customHeight="1"/>
    <row r="38" spans="3:3" ht="71.25" customHeight="1">
      <c r="C38" s="40" t="s">
        <v>102</v>
      </c>
    </row>
    <row r="39" spans="3:3" ht="71.25" customHeight="1">
      <c r="C39" s="41" t="s">
        <v>104</v>
      </c>
    </row>
    <row r="40" spans="3:3" ht="71.25" customHeight="1">
      <c r="C40" s="40"/>
    </row>
    <row r="41" spans="3:3" ht="71.25" customHeight="1">
      <c r="C41" s="41"/>
    </row>
    <row r="42" spans="3:3" ht="71.25" customHeight="1">
      <c r="C42" s="40"/>
    </row>
    <row r="43" spans="3:3" ht="71.25" customHeight="1">
      <c r="C43" s="41"/>
    </row>
    <row r="44" spans="3:3" ht="71.25" customHeight="1">
      <c r="C44" s="40"/>
    </row>
    <row r="45" spans="3:3" ht="71.25" customHeight="1">
      <c r="C45" s="40"/>
    </row>
    <row r="46" spans="3:3" ht="71.25" customHeight="1">
      <c r="C46" s="41"/>
    </row>
    <row r="47" spans="3:3" ht="71.25" customHeight="1">
      <c r="C47" s="40"/>
    </row>
    <row r="48" spans="3:3" ht="71.25" customHeight="1">
      <c r="C48" s="41" t="s">
        <v>17</v>
      </c>
    </row>
    <row r="49" spans="3:3" ht="71.25" customHeight="1">
      <c r="C49" s="40"/>
    </row>
    <row r="50" spans="3:3" ht="71.25" customHeight="1">
      <c r="C50" s="41" t="s">
        <v>20</v>
      </c>
    </row>
    <row r="51" spans="3:3" ht="71.25" customHeight="1">
      <c r="C51" s="40" t="s">
        <v>109</v>
      </c>
    </row>
    <row r="52" spans="3:3" ht="71.25" customHeight="1">
      <c r="C52" s="41" t="s">
        <v>110</v>
      </c>
    </row>
    <row r="53" spans="3:3" ht="71.25" customHeight="1">
      <c r="C53" s="40" t="s">
        <v>111</v>
      </c>
    </row>
    <row r="54" spans="3:3" ht="71.25" customHeight="1">
      <c r="C54" s="41" t="s">
        <v>112</v>
      </c>
    </row>
    <row r="55" spans="3:3" ht="71.25" customHeight="1"/>
    <row r="56" spans="3:3" ht="71.25" customHeight="1">
      <c r="C56" s="41" t="s">
        <v>23</v>
      </c>
    </row>
    <row r="57" spans="3:3" ht="71.25" customHeight="1">
      <c r="C57" s="40" t="s">
        <v>113</v>
      </c>
    </row>
    <row r="58" spans="3:3" ht="71.25" customHeight="1">
      <c r="C58" s="41" t="s">
        <v>114</v>
      </c>
    </row>
    <row r="59" spans="3:3" ht="71.25" customHeight="1">
      <c r="C59" s="40" t="s">
        <v>115</v>
      </c>
    </row>
    <row r="60" spans="3:3" ht="71.25" customHeight="1">
      <c r="C60" s="41" t="s">
        <v>116</v>
      </c>
    </row>
    <row r="61" spans="3:3" ht="71.25" customHeight="1">
      <c r="C61" s="40" t="s">
        <v>117</v>
      </c>
    </row>
    <row r="62" spans="3:3" ht="71.25" customHeight="1">
      <c r="C62" s="41" t="s">
        <v>118</v>
      </c>
    </row>
    <row r="63" spans="3:3" ht="71.25" customHeight="1">
      <c r="C63" s="40" t="s">
        <v>119</v>
      </c>
    </row>
    <row r="64" spans="3:3" ht="71.25" customHeight="1">
      <c r="C64" s="41" t="s">
        <v>120</v>
      </c>
    </row>
    <row r="65" spans="3:3" ht="71.25" customHeight="1">
      <c r="C65" s="40" t="s">
        <v>121</v>
      </c>
    </row>
    <row r="66" spans="3:3" ht="71.25" customHeight="1">
      <c r="C66" s="41" t="s">
        <v>122</v>
      </c>
    </row>
    <row r="67" spans="3:3" ht="71.25" customHeight="1">
      <c r="C67" s="40" t="s">
        <v>123</v>
      </c>
    </row>
    <row r="68" spans="3:3" ht="71.25" customHeight="1">
      <c r="C68" s="41" t="s">
        <v>124</v>
      </c>
    </row>
    <row r="69" spans="3:3" ht="71.25" customHeight="1">
      <c r="C69" s="40" t="s">
        <v>125</v>
      </c>
    </row>
    <row r="70" spans="3:3" ht="71.25" customHeight="1">
      <c r="C70" s="41" t="s">
        <v>126</v>
      </c>
    </row>
    <row r="71" spans="3:3" ht="71.25" customHeight="1">
      <c r="C71" s="40" t="s">
        <v>127</v>
      </c>
    </row>
    <row r="72" spans="3:3" ht="71.25" customHeight="1">
      <c r="C72" s="41" t="s">
        <v>128</v>
      </c>
    </row>
    <row r="73" spans="3:3" ht="71.25" customHeight="1">
      <c r="C73" s="40" t="s">
        <v>129</v>
      </c>
    </row>
    <row r="74" spans="3:3" ht="71.25" customHeight="1">
      <c r="C74" s="41" t="s">
        <v>130</v>
      </c>
    </row>
    <row r="75" spans="3:3" ht="71.25" customHeight="1">
      <c r="C75" s="40" t="s">
        <v>131</v>
      </c>
    </row>
    <row r="76" spans="3:3" ht="71.25" customHeight="1">
      <c r="C76" s="41" t="s">
        <v>132</v>
      </c>
    </row>
    <row r="77" spans="3:3" ht="71.25" customHeight="1">
      <c r="C77" s="40" t="s">
        <v>21</v>
      </c>
    </row>
    <row r="78" spans="3:3" ht="71.25" customHeight="1">
      <c r="C78" s="41" t="s">
        <v>133</v>
      </c>
    </row>
    <row r="79" spans="3:3" ht="71.25" customHeight="1">
      <c r="C79" s="40" t="s">
        <v>40</v>
      </c>
    </row>
    <row r="80" spans="3:3" ht="71.25" customHeight="1">
      <c r="C80" s="41" t="s">
        <v>134</v>
      </c>
    </row>
    <row r="81" spans="3:3" ht="71.25" customHeight="1">
      <c r="C81" s="40" t="s">
        <v>135</v>
      </c>
    </row>
    <row r="82" spans="3:3" ht="71.25" customHeight="1">
      <c r="C82" s="41" t="s">
        <v>136</v>
      </c>
    </row>
    <row r="83" spans="3:3" ht="71.25" customHeight="1">
      <c r="C83" s="40" t="s">
        <v>137</v>
      </c>
    </row>
    <row r="84" spans="3:3" ht="71.25" customHeight="1">
      <c r="C84" s="41" t="s">
        <v>138</v>
      </c>
    </row>
    <row r="85" spans="3:3" ht="71.25" customHeight="1">
      <c r="C85" s="40" t="s">
        <v>139</v>
      </c>
    </row>
    <row r="86" spans="3:3" ht="71.25" customHeight="1">
      <c r="C86" s="41" t="s">
        <v>140</v>
      </c>
    </row>
    <row r="87" spans="3:3" ht="71.25" customHeight="1">
      <c r="C87" s="40" t="s">
        <v>141</v>
      </c>
    </row>
    <row r="88" spans="3:3" ht="71.25" customHeight="1">
      <c r="C88" s="41" t="s">
        <v>142</v>
      </c>
    </row>
    <row r="89" spans="3:3" ht="71.25" customHeight="1">
      <c r="C89" s="40" t="s">
        <v>143</v>
      </c>
    </row>
    <row r="90" spans="3:3" ht="71.25" customHeight="1">
      <c r="C90" s="41" t="s">
        <v>144</v>
      </c>
    </row>
    <row r="91" spans="3:3" ht="71.25" customHeight="1">
      <c r="C91" s="40" t="s">
        <v>145</v>
      </c>
    </row>
    <row r="92" spans="3:3" ht="71.25" customHeight="1">
      <c r="C92" s="41" t="s">
        <v>146</v>
      </c>
    </row>
    <row r="93" spans="3:3" ht="71.25" customHeight="1">
      <c r="C93" s="40" t="s">
        <v>147</v>
      </c>
    </row>
    <row r="94" spans="3:3" ht="71.25" customHeight="1">
      <c r="C94" s="41" t="s">
        <v>148</v>
      </c>
    </row>
    <row r="95" spans="3:3" ht="71.25" customHeight="1">
      <c r="C95" s="40" t="s">
        <v>149</v>
      </c>
    </row>
    <row r="96" spans="3:3" ht="71.25" customHeight="1">
      <c r="C96" s="41" t="s">
        <v>150</v>
      </c>
    </row>
    <row r="97" spans="3:10" ht="71.25" customHeight="1">
      <c r="C97" s="40" t="s">
        <v>151</v>
      </c>
    </row>
    <row r="98" spans="3:10" ht="71.25" customHeight="1">
      <c r="C98" s="41" t="s">
        <v>152</v>
      </c>
    </row>
    <row r="99" spans="3:10" ht="71.25" customHeight="1">
      <c r="C99" s="40" t="s">
        <v>153</v>
      </c>
    </row>
    <row r="100" spans="3:10" ht="71.25" customHeight="1">
      <c r="C100" s="41" t="s">
        <v>154</v>
      </c>
    </row>
    <row r="101" spans="3:10" ht="71.25" customHeight="1">
      <c r="C101" s="40" t="s">
        <v>155</v>
      </c>
    </row>
    <row r="102" spans="3:10" ht="71.25" customHeight="1">
      <c r="C102" s="41" t="s">
        <v>156</v>
      </c>
    </row>
    <row r="103" spans="3:10" ht="71.25" customHeight="1">
      <c r="C103" s="40" t="s">
        <v>157</v>
      </c>
    </row>
    <row r="104" spans="3:10" ht="71.25" customHeight="1">
      <c r="C104" s="41" t="s">
        <v>158</v>
      </c>
    </row>
    <row r="105" spans="3:10" ht="71.25" customHeight="1">
      <c r="C105" s="40" t="s">
        <v>159</v>
      </c>
    </row>
    <row r="106" spans="3:10" ht="71.25" customHeight="1">
      <c r="C106" s="41" t="s">
        <v>160</v>
      </c>
    </row>
    <row r="107" spans="3:10" ht="71.25" customHeight="1">
      <c r="C107" s="40" t="s">
        <v>161</v>
      </c>
    </row>
    <row r="108" spans="3:10" ht="71.25" customHeight="1">
      <c r="C108" s="41" t="s">
        <v>162</v>
      </c>
    </row>
    <row r="109" spans="3:10" ht="71.25" customHeight="1">
      <c r="C109" s="40" t="s">
        <v>163</v>
      </c>
    </row>
    <row r="110" spans="3:10">
      <c r="C110" s="5" t="s">
        <v>164</v>
      </c>
      <c r="D110" s="1">
        <f>SUM(D2:D22)</f>
        <v>21</v>
      </c>
      <c r="E110" s="1">
        <f t="shared" ref="E110:G110" si="0">SUM(E2:E22)</f>
        <v>14</v>
      </c>
      <c r="F110" s="1">
        <f t="shared" si="0"/>
        <v>1</v>
      </c>
      <c r="G110" s="1">
        <f t="shared" si="0"/>
        <v>1</v>
      </c>
      <c r="H110" s="3"/>
      <c r="I110" s="3"/>
      <c r="J110" s="3"/>
    </row>
    <row r="111" spans="3:10">
      <c r="C111" t="s">
        <v>165</v>
      </c>
      <c r="D111" s="46"/>
      <c r="E111" s="46">
        <f>E110/D110</f>
        <v>0.66666666666666663</v>
      </c>
      <c r="F111" s="46">
        <f>F110/E110</f>
        <v>7.1428571428571425E-2</v>
      </c>
      <c r="G111" s="46">
        <f>G110/F110</f>
        <v>1</v>
      </c>
      <c r="H111" s="3"/>
      <c r="I111" s="3"/>
      <c r="J111" s="3"/>
    </row>
    <row r="112" spans="3:10">
      <c r="H112" s="3"/>
      <c r="I112" s="3"/>
      <c r="J112" s="3"/>
    </row>
    <row r="113" spans="3:10">
      <c r="H113" s="3"/>
      <c r="I113" s="3"/>
      <c r="J113" s="3"/>
    </row>
    <row r="114" spans="3:10">
      <c r="H114" s="3"/>
      <c r="I114" s="3"/>
      <c r="J114" s="3"/>
    </row>
    <row r="115" spans="3:10">
      <c r="H115" s="3"/>
      <c r="I115" s="3"/>
      <c r="J115" s="3"/>
    </row>
    <row r="116" spans="3:10">
      <c r="H116" s="3"/>
      <c r="I116" s="3"/>
      <c r="J116" s="3"/>
    </row>
    <row r="117" spans="3:10">
      <c r="H117" s="3"/>
      <c r="I117" s="3"/>
      <c r="J117" s="3"/>
    </row>
    <row r="118" spans="3:10">
      <c r="H118" s="3"/>
      <c r="I118" s="3"/>
      <c r="J118" s="3"/>
    </row>
    <row r="119" spans="3:10" ht="71.25" customHeight="1">
      <c r="C119" s="42"/>
    </row>
    <row r="120" spans="3:10" ht="71.25" customHeight="1">
      <c r="C120" s="42"/>
    </row>
    <row r="121" spans="3:10" ht="71.25" customHeight="1">
      <c r="C121" s="42"/>
    </row>
    <row r="122" spans="3:10" ht="71.25" customHeight="1">
      <c r="C122" s="42"/>
    </row>
    <row r="123" spans="3:10" ht="71.25" customHeight="1">
      <c r="C123" s="42"/>
    </row>
    <row r="124" spans="3:10" ht="71.25" customHeight="1">
      <c r="C124" s="42"/>
    </row>
    <row r="125" spans="3:10" ht="71.25" customHeight="1">
      <c r="C125" s="42"/>
    </row>
    <row r="126" spans="3:10" ht="71.25" customHeight="1">
      <c r="C126" s="42"/>
    </row>
    <row r="127" spans="3:10" ht="71.25" customHeight="1">
      <c r="C127" s="42"/>
    </row>
    <row r="128" spans="3:10" ht="71.25" customHeight="1">
      <c r="C128" s="42"/>
    </row>
    <row r="129" spans="3:3" ht="71.25" customHeight="1">
      <c r="C129" s="42"/>
    </row>
    <row r="130" spans="3:3" ht="71.25" customHeight="1">
      <c r="C130" s="42"/>
    </row>
    <row r="131" spans="3:3" ht="71.25" customHeight="1">
      <c r="C131" s="42"/>
    </row>
    <row r="132" spans="3:3" ht="71.25" customHeight="1">
      <c r="C132" s="42"/>
    </row>
    <row r="133" spans="3:3" ht="71.25" customHeight="1">
      <c r="C133" s="42"/>
    </row>
    <row r="134" spans="3:3" ht="71.25" customHeight="1">
      <c r="C134" s="42"/>
    </row>
    <row r="135" spans="3:3" ht="71.25" customHeight="1">
      <c r="C135" s="42"/>
    </row>
    <row r="136" spans="3:3" ht="71.25" customHeight="1">
      <c r="C136" s="42"/>
    </row>
    <row r="137" spans="3:3" ht="71.25" customHeight="1">
      <c r="C137" s="42"/>
    </row>
    <row r="138" spans="3:3" ht="71.25" customHeight="1">
      <c r="C138" s="42"/>
    </row>
    <row r="139" spans="3:3" ht="71.25" customHeight="1">
      <c r="C139" s="42"/>
    </row>
    <row r="140" spans="3:3" ht="71.25" customHeight="1">
      <c r="C140" s="42"/>
    </row>
    <row r="141" spans="3:3" ht="71.25" customHeight="1">
      <c r="C141" s="42"/>
    </row>
    <row r="142" spans="3:3" ht="71.25" customHeight="1">
      <c r="C142" s="42"/>
    </row>
    <row r="143" spans="3:3" ht="71.25" customHeight="1">
      <c r="C143" s="42"/>
    </row>
    <row r="144" spans="3:3" ht="71.25" customHeight="1">
      <c r="C144" s="42"/>
    </row>
    <row r="145" spans="3:11" ht="71.25" customHeight="1">
      <c r="C145" s="42"/>
    </row>
    <row r="146" spans="3:11" ht="71.25" customHeight="1">
      <c r="C146" s="42"/>
    </row>
    <row r="147" spans="3:11" ht="71.25" customHeight="1">
      <c r="C147" s="42"/>
    </row>
    <row r="148" spans="3:11" ht="71.25" customHeight="1">
      <c r="C148" s="42"/>
    </row>
    <row r="149" spans="3:11" ht="71.25" customHeight="1">
      <c r="C149" s="42"/>
    </row>
    <row r="150" spans="3:11" ht="71.25" customHeight="1">
      <c r="C150" s="42"/>
    </row>
    <row r="151" spans="3:11" ht="71.25" customHeight="1"/>
    <row r="152" spans="3:11" ht="71.25" customHeight="1"/>
    <row r="153" spans="3:11" ht="71.25" customHeight="1"/>
    <row r="154" spans="3:11" ht="71.25" customHeight="1"/>
    <row r="155" spans="3:11" ht="71.25" customHeight="1"/>
    <row r="156" spans="3:11" ht="71.25" customHeight="1"/>
    <row r="157" spans="3:11" ht="71.25" customHeight="1"/>
    <row r="158" spans="3:11" ht="71.25" customHeight="1"/>
    <row r="159" spans="3:11" ht="15.75" customHeight="1">
      <c r="C159" s="43" t="s">
        <v>164</v>
      </c>
      <c r="D159" s="44">
        <f t="shared" ref="D159:G159" si="1">SUM(D2:D21)</f>
        <v>20</v>
      </c>
      <c r="E159" s="44">
        <f t="shared" si="1"/>
        <v>13</v>
      </c>
      <c r="F159" s="44">
        <f t="shared" si="1"/>
        <v>1</v>
      </c>
      <c r="G159" s="44">
        <f t="shared" si="1"/>
        <v>1</v>
      </c>
      <c r="H159" s="45"/>
      <c r="I159" s="45"/>
      <c r="J159" s="45"/>
      <c r="K159" s="44"/>
    </row>
    <row r="160" spans="3:11" ht="15.75" customHeight="1">
      <c r="C160" s="5" t="s">
        <v>166</v>
      </c>
      <c r="D160" s="26">
        <f>D159/D159</f>
        <v>1</v>
      </c>
      <c r="E160" s="26">
        <f t="shared" ref="E160:G160" si="2">E159/D159</f>
        <v>0.65</v>
      </c>
      <c r="F160" s="26">
        <f t="shared" si="2"/>
        <v>7.6923076923076927E-2</v>
      </c>
      <c r="G160" s="26">
        <f t="shared" si="2"/>
        <v>1</v>
      </c>
      <c r="H160" s="3"/>
      <c r="I160" s="3"/>
      <c r="J160" s="3"/>
    </row>
    <row r="161" spans="3:10" ht="15.75" customHeight="1">
      <c r="C161" s="5"/>
      <c r="H161" s="3"/>
      <c r="I161" s="3"/>
      <c r="J161" s="3"/>
    </row>
    <row r="162" spans="3:10" ht="15.75" customHeight="1">
      <c r="G162" s="26"/>
      <c r="H162" s="3"/>
      <c r="I162" s="3"/>
      <c r="J162" s="3"/>
    </row>
    <row r="163" spans="3:10" ht="15.75" customHeight="1">
      <c r="H163" s="3"/>
      <c r="I163" s="3"/>
      <c r="J163" s="3"/>
    </row>
    <row r="164" spans="3:10" ht="15.75" customHeight="1">
      <c r="H164" s="3"/>
      <c r="I164" s="3"/>
      <c r="J164" s="3"/>
    </row>
    <row r="165" spans="3:10" ht="15.75" customHeight="1">
      <c r="H165" s="3"/>
      <c r="I165" s="3"/>
      <c r="J165" s="3"/>
    </row>
    <row r="166" spans="3:10" ht="15.75" customHeight="1">
      <c r="H166" s="3"/>
      <c r="I166" s="3"/>
      <c r="J166" s="3"/>
    </row>
    <row r="167" spans="3:10" ht="15.75" customHeight="1">
      <c r="H167" s="3"/>
      <c r="I167" s="3"/>
      <c r="J167" s="3"/>
    </row>
    <row r="168" spans="3:10" ht="15.75" customHeight="1">
      <c r="H168" s="3"/>
      <c r="I168" s="3"/>
      <c r="J168" s="3"/>
    </row>
    <row r="169" spans="3:10" ht="15.75" customHeight="1">
      <c r="H169" s="3"/>
      <c r="I169" s="3"/>
      <c r="J169" s="3"/>
    </row>
    <row r="170" spans="3:10" ht="15.75" customHeight="1">
      <c r="H170" s="3"/>
      <c r="I170" s="3"/>
      <c r="J170" s="3"/>
    </row>
    <row r="171" spans="3:10" ht="15.75" customHeight="1">
      <c r="H171" s="3"/>
      <c r="I171" s="3"/>
      <c r="J171" s="3"/>
    </row>
    <row r="172" spans="3:10" ht="15.75" customHeight="1">
      <c r="H172" s="3"/>
      <c r="I172" s="3"/>
      <c r="J172" s="3"/>
    </row>
    <row r="173" spans="3:10" ht="15.75" customHeight="1">
      <c r="H173" s="3"/>
      <c r="I173" s="3"/>
      <c r="J173" s="3"/>
    </row>
    <row r="174" spans="3:10" ht="15.75" customHeight="1">
      <c r="H174" s="3"/>
      <c r="I174" s="3"/>
      <c r="J174" s="3"/>
    </row>
    <row r="175" spans="3:10" ht="15.75" customHeight="1">
      <c r="H175" s="3"/>
      <c r="I175" s="3"/>
      <c r="J175" s="3"/>
    </row>
    <row r="176" spans="3:10" ht="15.75" customHeight="1">
      <c r="H176" s="3"/>
      <c r="I176" s="3"/>
      <c r="J176" s="3"/>
    </row>
    <row r="177" spans="8:10" ht="15.75" customHeight="1">
      <c r="H177" s="3"/>
      <c r="I177" s="3"/>
      <c r="J177" s="3"/>
    </row>
    <row r="178" spans="8:10" ht="15.75" customHeight="1">
      <c r="H178" s="3"/>
      <c r="I178" s="3"/>
      <c r="J178" s="3"/>
    </row>
    <row r="179" spans="8:10" ht="15.75" customHeight="1">
      <c r="H179" s="3"/>
      <c r="I179" s="3"/>
      <c r="J179" s="3"/>
    </row>
    <row r="180" spans="8:10" ht="15.75" customHeight="1">
      <c r="H180" s="3"/>
      <c r="I180" s="3"/>
      <c r="J180" s="3"/>
    </row>
    <row r="181" spans="8:10" ht="15.75" customHeight="1">
      <c r="H181" s="3"/>
      <c r="I181" s="3"/>
      <c r="J181" s="3"/>
    </row>
    <row r="182" spans="8:10" ht="15.75" customHeight="1">
      <c r="H182" s="3"/>
      <c r="I182" s="3"/>
      <c r="J182" s="3"/>
    </row>
    <row r="183" spans="8:10" ht="15.75" customHeight="1">
      <c r="H183" s="3"/>
      <c r="I183" s="3"/>
      <c r="J183" s="3"/>
    </row>
    <row r="184" spans="8:10" ht="15.75" customHeight="1">
      <c r="H184" s="3"/>
      <c r="I184" s="3"/>
      <c r="J184" s="3"/>
    </row>
    <row r="185" spans="8:10" ht="15.75" customHeight="1">
      <c r="H185" s="3"/>
      <c r="I185" s="3"/>
      <c r="J185" s="3"/>
    </row>
    <row r="186" spans="8:10" ht="15.75" customHeight="1">
      <c r="H186" s="3"/>
      <c r="I186" s="3"/>
      <c r="J186" s="3"/>
    </row>
    <row r="187" spans="8:10" ht="15.75" customHeight="1">
      <c r="H187" s="3"/>
      <c r="I187" s="3"/>
      <c r="J187" s="3"/>
    </row>
    <row r="188" spans="8:10" ht="15.75" customHeight="1">
      <c r="H188" s="3"/>
      <c r="I188" s="3"/>
      <c r="J188" s="3"/>
    </row>
    <row r="189" spans="8:10" ht="15.75" customHeight="1">
      <c r="H189" s="3"/>
      <c r="I189" s="3"/>
      <c r="J189" s="3"/>
    </row>
    <row r="190" spans="8:10" ht="15.75" customHeight="1">
      <c r="H190" s="3"/>
      <c r="I190" s="3"/>
      <c r="J190" s="3"/>
    </row>
    <row r="191" spans="8:10" ht="15.75" customHeight="1">
      <c r="H191" s="3"/>
      <c r="I191" s="3"/>
      <c r="J191" s="3"/>
    </row>
    <row r="192" spans="8:10" ht="15.75" customHeight="1">
      <c r="H192" s="3"/>
      <c r="I192" s="3"/>
      <c r="J192" s="3"/>
    </row>
    <row r="193" spans="8:10" ht="15.75" customHeight="1">
      <c r="H193" s="3"/>
      <c r="I193" s="3"/>
      <c r="J193" s="3"/>
    </row>
    <row r="194" spans="8:10" ht="15.75" customHeight="1">
      <c r="H194" s="3"/>
      <c r="I194" s="3"/>
      <c r="J194" s="3"/>
    </row>
    <row r="195" spans="8:10" ht="15.75" customHeight="1">
      <c r="H195" s="3"/>
      <c r="I195" s="3"/>
      <c r="J195" s="3"/>
    </row>
    <row r="196" spans="8:10" ht="15.75" customHeight="1">
      <c r="H196" s="3"/>
      <c r="I196" s="3"/>
      <c r="J196" s="3"/>
    </row>
    <row r="197" spans="8:10" ht="15.75" customHeight="1">
      <c r="H197" s="3"/>
      <c r="I197" s="3"/>
      <c r="J197" s="3"/>
    </row>
    <row r="198" spans="8:10" ht="15.75" customHeight="1">
      <c r="H198" s="3"/>
      <c r="I198" s="3"/>
      <c r="J198" s="3"/>
    </row>
    <row r="199" spans="8:10" ht="15.75" customHeight="1">
      <c r="H199" s="3"/>
      <c r="I199" s="3"/>
      <c r="J199" s="3"/>
    </row>
    <row r="200" spans="8:10" ht="15.75" customHeight="1">
      <c r="H200" s="3"/>
      <c r="I200" s="3"/>
      <c r="J200" s="3"/>
    </row>
    <row r="201" spans="8:10" ht="15.75" customHeight="1">
      <c r="H201" s="3"/>
      <c r="I201" s="3"/>
      <c r="J201" s="3"/>
    </row>
    <row r="202" spans="8:10" ht="15.75" customHeight="1">
      <c r="H202" s="3"/>
      <c r="I202" s="3"/>
      <c r="J202" s="3"/>
    </row>
    <row r="203" spans="8:10" ht="15.75" customHeight="1">
      <c r="H203" s="3"/>
      <c r="I203" s="3"/>
      <c r="J203" s="3"/>
    </row>
    <row r="204" spans="8:10" ht="15.75" customHeight="1">
      <c r="H204" s="3"/>
      <c r="I204" s="3"/>
      <c r="J204" s="3"/>
    </row>
    <row r="205" spans="8:10" ht="15.75" customHeight="1">
      <c r="H205" s="3"/>
      <c r="I205" s="3"/>
      <c r="J205" s="3"/>
    </row>
    <row r="206" spans="8:10" ht="15.75" customHeight="1">
      <c r="H206" s="3"/>
      <c r="I206" s="3"/>
      <c r="J206" s="3"/>
    </row>
    <row r="207" spans="8:10" ht="15.75" customHeight="1">
      <c r="H207" s="3"/>
      <c r="I207" s="3"/>
      <c r="J207" s="3"/>
    </row>
    <row r="208" spans="8:10" ht="15.75" customHeight="1">
      <c r="H208" s="3"/>
      <c r="I208" s="3"/>
      <c r="J208" s="3"/>
    </row>
    <row r="209" spans="8:10" ht="15.75" customHeight="1">
      <c r="H209" s="3"/>
      <c r="I209" s="3"/>
      <c r="J209" s="3"/>
    </row>
    <row r="210" spans="8:10" ht="15.75" customHeight="1">
      <c r="H210" s="3"/>
      <c r="I210" s="3"/>
      <c r="J210" s="3"/>
    </row>
    <row r="211" spans="8:10" ht="15.75" customHeight="1">
      <c r="H211" s="3"/>
      <c r="I211" s="3"/>
      <c r="J211" s="3"/>
    </row>
    <row r="212" spans="8:10" ht="15.75" customHeight="1">
      <c r="H212" s="3"/>
      <c r="I212" s="3"/>
      <c r="J212" s="3"/>
    </row>
    <row r="213" spans="8:10" ht="15.75" customHeight="1">
      <c r="H213" s="3"/>
      <c r="I213" s="3"/>
      <c r="J213" s="3"/>
    </row>
    <row r="214" spans="8:10" ht="15.75" customHeight="1">
      <c r="H214" s="3"/>
      <c r="I214" s="3"/>
      <c r="J214" s="3"/>
    </row>
    <row r="215" spans="8:10" ht="15.75" customHeight="1">
      <c r="H215" s="3"/>
      <c r="I215" s="3"/>
      <c r="J215" s="3"/>
    </row>
    <row r="216" spans="8:10" ht="15.75" customHeight="1">
      <c r="H216" s="3"/>
      <c r="I216" s="3"/>
      <c r="J216" s="3"/>
    </row>
    <row r="217" spans="8:10" ht="15.75" customHeight="1">
      <c r="H217" s="3"/>
      <c r="I217" s="3"/>
      <c r="J217" s="3"/>
    </row>
    <row r="218" spans="8:10" ht="15.75" customHeight="1">
      <c r="H218" s="3"/>
      <c r="I218" s="3"/>
      <c r="J218" s="3"/>
    </row>
    <row r="219" spans="8:10" ht="15.75" customHeight="1">
      <c r="H219" s="3"/>
      <c r="I219" s="3"/>
      <c r="J219" s="3"/>
    </row>
    <row r="220" spans="8:10" ht="15.75" customHeight="1">
      <c r="H220" s="3"/>
      <c r="I220" s="3"/>
      <c r="J220" s="3"/>
    </row>
    <row r="221" spans="8:10" ht="15.75" customHeight="1">
      <c r="H221" s="3"/>
      <c r="I221" s="3"/>
      <c r="J221" s="3"/>
    </row>
    <row r="222" spans="8:10" ht="15.75" customHeight="1">
      <c r="H222" s="3"/>
      <c r="I222" s="3"/>
      <c r="J222" s="3"/>
    </row>
    <row r="223" spans="8:10" ht="15.75" customHeight="1">
      <c r="H223" s="3"/>
      <c r="I223" s="3"/>
      <c r="J223" s="3"/>
    </row>
    <row r="224" spans="8:10" ht="15.75" customHeight="1">
      <c r="H224" s="3"/>
      <c r="I224" s="3"/>
      <c r="J224" s="3"/>
    </row>
    <row r="225" spans="8:10" ht="15.75" customHeight="1">
      <c r="H225" s="3"/>
      <c r="I225" s="3"/>
      <c r="J225" s="3"/>
    </row>
    <row r="226" spans="8:10" ht="15.75" customHeight="1">
      <c r="H226" s="3"/>
      <c r="I226" s="3"/>
      <c r="J226" s="3"/>
    </row>
    <row r="227" spans="8:10" ht="15.75" customHeight="1">
      <c r="H227" s="3"/>
      <c r="I227" s="3"/>
      <c r="J227" s="3"/>
    </row>
    <row r="228" spans="8:10" ht="15.75" customHeight="1">
      <c r="H228" s="3"/>
      <c r="I228" s="3"/>
      <c r="J228" s="3"/>
    </row>
    <row r="229" spans="8:10" ht="15.75" customHeight="1">
      <c r="H229" s="3"/>
      <c r="I229" s="3"/>
      <c r="J229" s="3"/>
    </row>
    <row r="230" spans="8:10" ht="15.75" customHeight="1">
      <c r="H230" s="3"/>
      <c r="I230" s="3"/>
      <c r="J230" s="3"/>
    </row>
    <row r="231" spans="8:10" ht="15.75" customHeight="1">
      <c r="H231" s="3"/>
      <c r="I231" s="3"/>
      <c r="J231" s="3"/>
    </row>
    <row r="232" spans="8:10" ht="15.75" customHeight="1">
      <c r="H232" s="3"/>
      <c r="I232" s="3"/>
      <c r="J232" s="3"/>
    </row>
    <row r="233" spans="8:10" ht="15.75" customHeight="1">
      <c r="H233" s="3"/>
      <c r="I233" s="3"/>
      <c r="J233" s="3"/>
    </row>
    <row r="234" spans="8:10" ht="15.75" customHeight="1">
      <c r="H234" s="3"/>
      <c r="I234" s="3"/>
      <c r="J234" s="3"/>
    </row>
    <row r="235" spans="8:10" ht="15.75" customHeight="1">
      <c r="H235" s="3"/>
      <c r="I235" s="3"/>
      <c r="J235" s="3"/>
    </row>
    <row r="236" spans="8:10" ht="15.75" customHeight="1">
      <c r="H236" s="3"/>
      <c r="I236" s="3"/>
      <c r="J236" s="3"/>
    </row>
    <row r="237" spans="8:10" ht="15.75" customHeight="1">
      <c r="H237" s="3"/>
      <c r="I237" s="3"/>
      <c r="J237" s="3"/>
    </row>
    <row r="238" spans="8:10" ht="15.75" customHeight="1">
      <c r="H238" s="3"/>
      <c r="I238" s="3"/>
      <c r="J238" s="3"/>
    </row>
    <row r="239" spans="8:10" ht="15.75" customHeight="1">
      <c r="H239" s="3"/>
      <c r="I239" s="3"/>
      <c r="J239" s="3"/>
    </row>
    <row r="240" spans="8:10" ht="15.75" customHeight="1">
      <c r="H240" s="3"/>
      <c r="I240" s="3"/>
      <c r="J240" s="3"/>
    </row>
    <row r="241" spans="8:10" ht="15.75" customHeight="1">
      <c r="H241" s="3"/>
      <c r="I241" s="3"/>
      <c r="J241" s="3"/>
    </row>
    <row r="242" spans="8:10" ht="15.75" customHeight="1">
      <c r="H242" s="3"/>
      <c r="I242" s="3"/>
      <c r="J242" s="3"/>
    </row>
    <row r="243" spans="8:10" ht="15.75" customHeight="1">
      <c r="H243" s="3"/>
      <c r="I243" s="3"/>
      <c r="J243" s="3"/>
    </row>
    <row r="244" spans="8:10" ht="15.75" customHeight="1">
      <c r="H244" s="3"/>
      <c r="I244" s="3"/>
      <c r="J244" s="3"/>
    </row>
    <row r="245" spans="8:10" ht="15.75" customHeight="1">
      <c r="H245" s="3"/>
      <c r="I245" s="3"/>
      <c r="J245" s="3"/>
    </row>
    <row r="246" spans="8:10" ht="15.75" customHeight="1">
      <c r="H246" s="3"/>
      <c r="I246" s="3"/>
      <c r="J246" s="3"/>
    </row>
    <row r="247" spans="8:10" ht="15.75" customHeight="1">
      <c r="H247" s="3"/>
      <c r="I247" s="3"/>
      <c r="J247" s="3"/>
    </row>
    <row r="248" spans="8:10" ht="15.75" customHeight="1">
      <c r="H248" s="3"/>
      <c r="I248" s="3"/>
      <c r="J248" s="3"/>
    </row>
    <row r="249" spans="8:10" ht="15.75" customHeight="1">
      <c r="H249" s="3"/>
      <c r="I249" s="3"/>
      <c r="J249" s="3"/>
    </row>
    <row r="250" spans="8:10" ht="15.75" customHeight="1">
      <c r="H250" s="3"/>
      <c r="I250" s="3"/>
      <c r="J250" s="3"/>
    </row>
    <row r="251" spans="8:10" ht="15.75" customHeight="1">
      <c r="H251" s="3"/>
      <c r="I251" s="3"/>
      <c r="J251" s="3"/>
    </row>
    <row r="252" spans="8:10" ht="15.75" customHeight="1">
      <c r="H252" s="3"/>
      <c r="I252" s="3"/>
      <c r="J252" s="3"/>
    </row>
    <row r="253" spans="8:10" ht="15.75" customHeight="1">
      <c r="H253" s="3"/>
      <c r="I253" s="3"/>
      <c r="J253" s="3"/>
    </row>
    <row r="254" spans="8:10" ht="15.75" customHeight="1">
      <c r="H254" s="3"/>
      <c r="I254" s="3"/>
      <c r="J254" s="3"/>
    </row>
    <row r="255" spans="8:10" ht="15.75" customHeight="1">
      <c r="H255" s="3"/>
      <c r="I255" s="3"/>
      <c r="J255" s="3"/>
    </row>
    <row r="256" spans="8:10" ht="15.75" customHeight="1">
      <c r="H256" s="3"/>
      <c r="I256" s="3"/>
      <c r="J256" s="3"/>
    </row>
    <row r="257" spans="8:10" ht="15.75" customHeight="1">
      <c r="H257" s="3"/>
      <c r="I257" s="3"/>
      <c r="J257" s="3"/>
    </row>
    <row r="258" spans="8:10" ht="15.75" customHeight="1">
      <c r="H258" s="3"/>
      <c r="I258" s="3"/>
      <c r="J258" s="3"/>
    </row>
    <row r="259" spans="8:10" ht="15.75" customHeight="1">
      <c r="H259" s="3"/>
      <c r="I259" s="3"/>
      <c r="J259" s="3"/>
    </row>
    <row r="260" spans="8:10" ht="15.75" customHeight="1">
      <c r="H260" s="3"/>
      <c r="I260" s="3"/>
      <c r="J260" s="3"/>
    </row>
    <row r="261" spans="8:10" ht="15.75" customHeight="1">
      <c r="H261" s="3"/>
      <c r="I261" s="3"/>
      <c r="J261" s="3"/>
    </row>
    <row r="262" spans="8:10" ht="15.75" customHeight="1">
      <c r="H262" s="3"/>
      <c r="I262" s="3"/>
      <c r="J262" s="3"/>
    </row>
    <row r="263" spans="8:10" ht="15.75" customHeight="1">
      <c r="H263" s="3"/>
      <c r="I263" s="3"/>
      <c r="J263" s="3"/>
    </row>
    <row r="264" spans="8:10" ht="15.75" customHeight="1">
      <c r="H264" s="3"/>
      <c r="I264" s="3"/>
      <c r="J264" s="3"/>
    </row>
    <row r="265" spans="8:10" ht="15.75" customHeight="1">
      <c r="H265" s="3"/>
      <c r="I265" s="3"/>
      <c r="J265" s="3"/>
    </row>
    <row r="266" spans="8:10" ht="15.75" customHeight="1">
      <c r="H266" s="3"/>
      <c r="I266" s="3"/>
      <c r="J266" s="3"/>
    </row>
    <row r="267" spans="8:10" ht="15.75" customHeight="1">
      <c r="H267" s="3"/>
      <c r="I267" s="3"/>
      <c r="J267" s="3"/>
    </row>
    <row r="268" spans="8:10" ht="15.75" customHeight="1">
      <c r="H268" s="3"/>
      <c r="I268" s="3"/>
      <c r="J268" s="3"/>
    </row>
    <row r="269" spans="8:10" ht="15.75" customHeight="1">
      <c r="H269" s="3"/>
      <c r="I269" s="3"/>
      <c r="J269" s="3"/>
    </row>
    <row r="270" spans="8:10" ht="15.75" customHeight="1">
      <c r="H270" s="3"/>
      <c r="I270" s="3"/>
      <c r="J270" s="3"/>
    </row>
    <row r="271" spans="8:10" ht="15.75" customHeight="1">
      <c r="H271" s="3"/>
      <c r="I271" s="3"/>
      <c r="J271" s="3"/>
    </row>
    <row r="272" spans="8:10" ht="15.75" customHeight="1">
      <c r="H272" s="3"/>
      <c r="I272" s="3"/>
      <c r="J272" s="3"/>
    </row>
    <row r="273" spans="8:10" ht="15.75" customHeight="1">
      <c r="H273" s="3"/>
      <c r="I273" s="3"/>
      <c r="J273" s="3"/>
    </row>
    <row r="274" spans="8:10" ht="15.75" customHeight="1">
      <c r="H274" s="3"/>
      <c r="I274" s="3"/>
      <c r="J274" s="3"/>
    </row>
    <row r="275" spans="8:10" ht="15.75" customHeight="1">
      <c r="H275" s="3"/>
      <c r="I275" s="3"/>
      <c r="J275" s="3"/>
    </row>
    <row r="276" spans="8:10" ht="15.75" customHeight="1">
      <c r="H276" s="3"/>
      <c r="I276" s="3"/>
      <c r="J276" s="3"/>
    </row>
    <row r="277" spans="8:10" ht="15.75" customHeight="1">
      <c r="H277" s="3"/>
      <c r="I277" s="3"/>
      <c r="J277" s="3"/>
    </row>
    <row r="278" spans="8:10" ht="15.75" customHeight="1">
      <c r="H278" s="3"/>
      <c r="I278" s="3"/>
      <c r="J278" s="3"/>
    </row>
    <row r="279" spans="8:10" ht="15.75" customHeight="1">
      <c r="H279" s="3"/>
      <c r="I279" s="3"/>
      <c r="J279" s="3"/>
    </row>
    <row r="280" spans="8:10" ht="15.75" customHeight="1">
      <c r="H280" s="3"/>
      <c r="I280" s="3"/>
      <c r="J280" s="3"/>
    </row>
    <row r="281" spans="8:10" ht="15.75" customHeight="1">
      <c r="H281" s="3"/>
      <c r="I281" s="3"/>
      <c r="J281" s="3"/>
    </row>
    <row r="282" spans="8:10" ht="15.75" customHeight="1">
      <c r="H282" s="3"/>
      <c r="I282" s="3"/>
      <c r="J282" s="3"/>
    </row>
    <row r="283" spans="8:10" ht="15.75" customHeight="1">
      <c r="H283" s="3"/>
      <c r="I283" s="3"/>
      <c r="J283" s="3"/>
    </row>
    <row r="284" spans="8:10" ht="15.75" customHeight="1">
      <c r="H284" s="3"/>
      <c r="I284" s="3"/>
      <c r="J284" s="3"/>
    </row>
    <row r="285" spans="8:10" ht="15.75" customHeight="1">
      <c r="H285" s="3"/>
      <c r="I285" s="3"/>
      <c r="J285" s="3"/>
    </row>
    <row r="286" spans="8:10" ht="15.75" customHeight="1">
      <c r="H286" s="3"/>
      <c r="I286" s="3"/>
      <c r="J286" s="3"/>
    </row>
    <row r="287" spans="8:10" ht="15.75" customHeight="1">
      <c r="H287" s="3"/>
      <c r="I287" s="3"/>
      <c r="J287" s="3"/>
    </row>
    <row r="288" spans="8:10" ht="15.75" customHeight="1">
      <c r="H288" s="3"/>
      <c r="I288" s="3"/>
      <c r="J288" s="3"/>
    </row>
    <row r="289" spans="8:10" ht="15.75" customHeight="1">
      <c r="H289" s="3"/>
      <c r="I289" s="3"/>
      <c r="J289" s="3"/>
    </row>
    <row r="290" spans="8:10" ht="15.75" customHeight="1">
      <c r="H290" s="3"/>
      <c r="I290" s="3"/>
      <c r="J290" s="3"/>
    </row>
    <row r="291" spans="8:10" ht="15.75" customHeight="1">
      <c r="H291" s="3"/>
      <c r="I291" s="3"/>
      <c r="J291" s="3"/>
    </row>
    <row r="292" spans="8:10" ht="15.75" customHeight="1">
      <c r="H292" s="3"/>
      <c r="I292" s="3"/>
      <c r="J292" s="3"/>
    </row>
    <row r="293" spans="8:10" ht="15.75" customHeight="1">
      <c r="H293" s="3"/>
      <c r="I293" s="3"/>
      <c r="J293" s="3"/>
    </row>
    <row r="294" spans="8:10" ht="15.75" customHeight="1">
      <c r="H294" s="3"/>
      <c r="I294" s="3"/>
      <c r="J294" s="3"/>
    </row>
    <row r="295" spans="8:10" ht="15.75" customHeight="1">
      <c r="H295" s="3"/>
      <c r="I295" s="3"/>
      <c r="J295" s="3"/>
    </row>
    <row r="296" spans="8:10" ht="15.75" customHeight="1">
      <c r="H296" s="3"/>
      <c r="I296" s="3"/>
      <c r="J296" s="3"/>
    </row>
    <row r="297" spans="8:10" ht="15.75" customHeight="1">
      <c r="H297" s="3"/>
      <c r="I297" s="3"/>
      <c r="J297" s="3"/>
    </row>
    <row r="298" spans="8:10" ht="15.75" customHeight="1">
      <c r="H298" s="3"/>
      <c r="I298" s="3"/>
      <c r="J298" s="3"/>
    </row>
    <row r="299" spans="8:10" ht="15.75" customHeight="1">
      <c r="H299" s="3"/>
      <c r="I299" s="3"/>
      <c r="J299" s="3"/>
    </row>
    <row r="300" spans="8:10" ht="15.75" customHeight="1">
      <c r="H300" s="3"/>
      <c r="I300" s="3"/>
      <c r="J300" s="3"/>
    </row>
    <row r="301" spans="8:10" ht="15.75" customHeight="1">
      <c r="H301" s="3"/>
      <c r="I301" s="3"/>
      <c r="J301" s="3"/>
    </row>
    <row r="302" spans="8:10" ht="15.75" customHeight="1">
      <c r="H302" s="3"/>
      <c r="I302" s="3"/>
      <c r="J302" s="3"/>
    </row>
    <row r="303" spans="8:10" ht="15.75" customHeight="1">
      <c r="H303" s="3"/>
      <c r="I303" s="3"/>
      <c r="J303" s="3"/>
    </row>
    <row r="304" spans="8:10" ht="15.75" customHeight="1">
      <c r="H304" s="3"/>
      <c r="I304" s="3"/>
      <c r="J304" s="3"/>
    </row>
    <row r="305" spans="8:10" ht="15.75" customHeight="1">
      <c r="H305" s="3"/>
      <c r="I305" s="3"/>
      <c r="J305" s="3"/>
    </row>
    <row r="306" spans="8:10" ht="15.75" customHeight="1">
      <c r="H306" s="3"/>
      <c r="I306" s="3"/>
      <c r="J306" s="3"/>
    </row>
    <row r="307" spans="8:10" ht="15.75" customHeight="1">
      <c r="H307" s="3"/>
      <c r="I307" s="3"/>
      <c r="J307" s="3"/>
    </row>
    <row r="308" spans="8:10" ht="15.75" customHeight="1">
      <c r="H308" s="3"/>
      <c r="I308" s="3"/>
      <c r="J308" s="3"/>
    </row>
    <row r="309" spans="8:10" ht="15.75" customHeight="1">
      <c r="H309" s="3"/>
      <c r="I309" s="3"/>
      <c r="J309" s="3"/>
    </row>
    <row r="310" spans="8:10" ht="15.75" customHeight="1">
      <c r="H310" s="3"/>
      <c r="I310" s="3"/>
      <c r="J310" s="3"/>
    </row>
    <row r="311" spans="8:10" ht="15.75" customHeight="1">
      <c r="H311" s="3"/>
      <c r="I311" s="3"/>
      <c r="J311" s="3"/>
    </row>
    <row r="312" spans="8:10" ht="15.75" customHeight="1">
      <c r="H312" s="3"/>
      <c r="I312" s="3"/>
      <c r="J312" s="3"/>
    </row>
    <row r="313" spans="8:10" ht="15.75" customHeight="1">
      <c r="H313" s="3"/>
      <c r="I313" s="3"/>
      <c r="J313" s="3"/>
    </row>
    <row r="314" spans="8:10" ht="15.75" customHeight="1">
      <c r="H314" s="3"/>
      <c r="I314" s="3"/>
      <c r="J314" s="3"/>
    </row>
    <row r="315" spans="8:10" ht="15.75" customHeight="1">
      <c r="H315" s="3"/>
      <c r="I315" s="3"/>
      <c r="J315" s="3"/>
    </row>
    <row r="316" spans="8:10" ht="15.75" customHeight="1">
      <c r="H316" s="3"/>
      <c r="I316" s="3"/>
      <c r="J316" s="3"/>
    </row>
    <row r="317" spans="8:10" ht="15.75" customHeight="1">
      <c r="H317" s="3"/>
      <c r="I317" s="3"/>
      <c r="J317" s="3"/>
    </row>
    <row r="318" spans="8:10" ht="15.75" customHeight="1">
      <c r="H318" s="3"/>
      <c r="I318" s="3"/>
      <c r="J318" s="3"/>
    </row>
    <row r="319" spans="8:10" ht="15.75" customHeight="1">
      <c r="H319" s="3"/>
      <c r="I319" s="3"/>
      <c r="J319" s="3"/>
    </row>
    <row r="320" spans="8:10" ht="15.75" customHeight="1">
      <c r="H320" s="3"/>
      <c r="I320" s="3"/>
      <c r="J320" s="3"/>
    </row>
    <row r="321" spans="8:10" ht="15.75" customHeight="1">
      <c r="H321" s="3"/>
      <c r="I321" s="3"/>
      <c r="J321" s="3"/>
    </row>
    <row r="322" spans="8:10" ht="15.75" customHeight="1">
      <c r="H322" s="3"/>
      <c r="I322" s="3"/>
      <c r="J322" s="3"/>
    </row>
    <row r="323" spans="8:10" ht="15.75" customHeight="1">
      <c r="H323" s="3"/>
      <c r="I323" s="3"/>
      <c r="J323" s="3"/>
    </row>
    <row r="324" spans="8:10" ht="15.75" customHeight="1">
      <c r="H324" s="3"/>
      <c r="I324" s="3"/>
      <c r="J324" s="3"/>
    </row>
    <row r="325" spans="8:10" ht="15.75" customHeight="1">
      <c r="H325" s="3"/>
      <c r="I325" s="3"/>
      <c r="J325" s="3"/>
    </row>
    <row r="326" spans="8:10" ht="15.75" customHeight="1">
      <c r="H326" s="3"/>
      <c r="I326" s="3"/>
      <c r="J326" s="3"/>
    </row>
    <row r="327" spans="8:10" ht="15.75" customHeight="1">
      <c r="H327" s="3"/>
      <c r="I327" s="3"/>
      <c r="J327" s="3"/>
    </row>
    <row r="328" spans="8:10" ht="15.75" customHeight="1">
      <c r="H328" s="3"/>
      <c r="I328" s="3"/>
      <c r="J328" s="3"/>
    </row>
    <row r="329" spans="8:10" ht="15.75" customHeight="1">
      <c r="H329" s="3"/>
      <c r="I329" s="3"/>
      <c r="J329" s="3"/>
    </row>
    <row r="330" spans="8:10" ht="15.75" customHeight="1">
      <c r="H330" s="3"/>
      <c r="I330" s="3"/>
      <c r="J330" s="3"/>
    </row>
    <row r="331" spans="8:10" ht="15.75" customHeight="1">
      <c r="H331" s="3"/>
      <c r="I331" s="3"/>
      <c r="J331" s="3"/>
    </row>
    <row r="332" spans="8:10" ht="15.75" customHeight="1">
      <c r="H332" s="3"/>
      <c r="I332" s="3"/>
      <c r="J332" s="3"/>
    </row>
    <row r="333" spans="8:10" ht="15.75" customHeight="1">
      <c r="H333" s="3"/>
      <c r="I333" s="3"/>
      <c r="J333" s="3"/>
    </row>
    <row r="334" spans="8:10" ht="15.75" customHeight="1">
      <c r="H334" s="3"/>
      <c r="I334" s="3"/>
      <c r="J334" s="3"/>
    </row>
    <row r="335" spans="8:10" ht="15.75" customHeight="1">
      <c r="H335" s="3"/>
      <c r="I335" s="3"/>
      <c r="J335" s="3"/>
    </row>
    <row r="336" spans="8:10" ht="15.75" customHeight="1">
      <c r="H336" s="3"/>
      <c r="I336" s="3"/>
      <c r="J336" s="3"/>
    </row>
    <row r="337" spans="8:10" ht="15.75" customHeight="1">
      <c r="H337" s="3"/>
      <c r="I337" s="3"/>
      <c r="J337" s="3"/>
    </row>
    <row r="338" spans="8:10" ht="15.75" customHeight="1">
      <c r="H338" s="3"/>
      <c r="I338" s="3"/>
      <c r="J338" s="3"/>
    </row>
    <row r="339" spans="8:10" ht="15.75" customHeight="1">
      <c r="H339" s="3"/>
      <c r="I339" s="3"/>
      <c r="J339" s="3"/>
    </row>
    <row r="340" spans="8:10" ht="15.75" customHeight="1">
      <c r="H340" s="3"/>
      <c r="I340" s="3"/>
      <c r="J340" s="3"/>
    </row>
    <row r="341" spans="8:10" ht="15.75" customHeight="1">
      <c r="H341" s="3"/>
      <c r="I341" s="3"/>
      <c r="J341" s="3"/>
    </row>
    <row r="342" spans="8:10" ht="15.75" customHeight="1">
      <c r="H342" s="3"/>
      <c r="I342" s="3"/>
      <c r="J342" s="3"/>
    </row>
    <row r="343" spans="8:10" ht="15.75" customHeight="1">
      <c r="H343" s="3"/>
      <c r="I343" s="3"/>
      <c r="J343" s="3"/>
    </row>
    <row r="344" spans="8:10" ht="15.75" customHeight="1">
      <c r="H344" s="3"/>
      <c r="I344" s="3"/>
      <c r="J344" s="3"/>
    </row>
    <row r="345" spans="8:10" ht="15.75" customHeight="1">
      <c r="H345" s="3"/>
      <c r="I345" s="3"/>
      <c r="J345" s="3"/>
    </row>
    <row r="346" spans="8:10" ht="15.75" customHeight="1">
      <c r="H346" s="3"/>
      <c r="I346" s="3"/>
      <c r="J346" s="3"/>
    </row>
    <row r="347" spans="8:10" ht="15.75" customHeight="1">
      <c r="H347" s="3"/>
      <c r="I347" s="3"/>
      <c r="J347" s="3"/>
    </row>
    <row r="348" spans="8:10" ht="15.75" customHeight="1">
      <c r="H348" s="3"/>
      <c r="I348" s="3"/>
      <c r="J348" s="3"/>
    </row>
    <row r="349" spans="8:10" ht="15.75" customHeight="1">
      <c r="H349" s="3"/>
      <c r="I349" s="3"/>
      <c r="J349" s="3"/>
    </row>
    <row r="350" spans="8:10" ht="15.75" customHeight="1">
      <c r="H350" s="3"/>
      <c r="I350" s="3"/>
      <c r="J350" s="3"/>
    </row>
    <row r="351" spans="8:10" ht="15.75" customHeight="1">
      <c r="H351" s="3"/>
      <c r="I351" s="3"/>
      <c r="J351" s="3"/>
    </row>
    <row r="352" spans="8:10" ht="15.75" customHeight="1">
      <c r="H352" s="3"/>
      <c r="I352" s="3"/>
      <c r="J352" s="3"/>
    </row>
    <row r="353" spans="8:10" ht="15.75" customHeight="1">
      <c r="H353" s="3"/>
      <c r="I353" s="3"/>
      <c r="J353" s="3"/>
    </row>
    <row r="354" spans="8:10" ht="15.75" customHeight="1">
      <c r="H354" s="3"/>
      <c r="I354" s="3"/>
      <c r="J354" s="3"/>
    </row>
    <row r="355" spans="8:10" ht="15.75" customHeight="1">
      <c r="H355" s="3"/>
      <c r="I355" s="3"/>
      <c r="J355" s="3"/>
    </row>
    <row r="356" spans="8:10" ht="15.75" customHeight="1">
      <c r="H356" s="3"/>
      <c r="I356" s="3"/>
      <c r="J356" s="3"/>
    </row>
    <row r="357" spans="8:10" ht="15.75" customHeight="1">
      <c r="H357" s="3"/>
      <c r="I357" s="3"/>
      <c r="J357" s="3"/>
    </row>
    <row r="358" spans="8:10" ht="15.75" customHeight="1">
      <c r="H358" s="3"/>
      <c r="I358" s="3"/>
      <c r="J358" s="3"/>
    </row>
    <row r="359" spans="8:10" ht="15.75" customHeight="1">
      <c r="H359" s="3"/>
      <c r="I359" s="3"/>
      <c r="J359" s="3"/>
    </row>
    <row r="360" spans="8:10" ht="15.75" customHeight="1">
      <c r="H360" s="3"/>
      <c r="I360" s="3"/>
      <c r="J360" s="3"/>
    </row>
    <row r="361" spans="8:10" ht="15.75" customHeight="1">
      <c r="H361" s="3"/>
      <c r="I361" s="3"/>
      <c r="J361" s="3"/>
    </row>
    <row r="362" spans="8:10" ht="15.75" customHeight="1">
      <c r="H362" s="3"/>
      <c r="I362" s="3"/>
      <c r="J362" s="3"/>
    </row>
    <row r="363" spans="8:10" ht="15.75" customHeight="1">
      <c r="H363" s="3"/>
      <c r="I363" s="3"/>
      <c r="J363" s="3"/>
    </row>
    <row r="364" spans="8:10" ht="15.75" customHeight="1">
      <c r="H364" s="3"/>
      <c r="I364" s="3"/>
      <c r="J364" s="3"/>
    </row>
    <row r="365" spans="8:10" ht="15.75" customHeight="1">
      <c r="H365" s="3"/>
      <c r="I365" s="3"/>
      <c r="J365" s="3"/>
    </row>
    <row r="366" spans="8:10" ht="15.75" customHeight="1">
      <c r="H366" s="3"/>
      <c r="I366" s="3"/>
      <c r="J366" s="3"/>
    </row>
    <row r="367" spans="8:10" ht="15.75" customHeight="1">
      <c r="H367" s="3"/>
      <c r="I367" s="3"/>
      <c r="J367" s="3"/>
    </row>
    <row r="368" spans="8:10" ht="15.75" customHeight="1">
      <c r="H368" s="3"/>
      <c r="I368" s="3"/>
      <c r="J368" s="3"/>
    </row>
    <row r="369" spans="8:10" ht="15.75" customHeight="1">
      <c r="H369" s="3"/>
      <c r="I369" s="3"/>
      <c r="J369" s="3"/>
    </row>
    <row r="370" spans="8:10" ht="15.75" customHeight="1">
      <c r="H370" s="3"/>
      <c r="I370" s="3"/>
      <c r="J370" s="3"/>
    </row>
    <row r="371" spans="8:10" ht="15.75" customHeight="1">
      <c r="H371" s="3"/>
      <c r="I371" s="3"/>
      <c r="J371" s="3"/>
    </row>
    <row r="372" spans="8:10" ht="15.75" customHeight="1">
      <c r="H372" s="3"/>
      <c r="I372" s="3"/>
      <c r="J372" s="3"/>
    </row>
    <row r="373" spans="8:10" ht="15.75" customHeight="1">
      <c r="H373" s="3"/>
      <c r="I373" s="3"/>
      <c r="J373" s="3"/>
    </row>
    <row r="374" spans="8:10" ht="15.75" customHeight="1">
      <c r="H374" s="3"/>
      <c r="I374" s="3"/>
      <c r="J374" s="3"/>
    </row>
    <row r="375" spans="8:10" ht="15.75" customHeight="1">
      <c r="H375" s="3"/>
      <c r="I375" s="3"/>
      <c r="J375" s="3"/>
    </row>
    <row r="376" spans="8:10" ht="15.75" customHeight="1">
      <c r="H376" s="3"/>
      <c r="I376" s="3"/>
      <c r="J376" s="3"/>
    </row>
    <row r="377" spans="8:10" ht="15.75" customHeight="1">
      <c r="H377" s="3"/>
      <c r="I377" s="3"/>
      <c r="J377" s="3"/>
    </row>
    <row r="378" spans="8:10" ht="15.75" customHeight="1">
      <c r="H378" s="3"/>
      <c r="I378" s="3"/>
      <c r="J378" s="3"/>
    </row>
    <row r="379" spans="8:10" ht="15.75" customHeight="1">
      <c r="H379" s="3"/>
      <c r="I379" s="3"/>
      <c r="J379" s="3"/>
    </row>
    <row r="380" spans="8:10" ht="15.75" customHeight="1">
      <c r="H380" s="3"/>
      <c r="I380" s="3"/>
      <c r="J380" s="3"/>
    </row>
    <row r="381" spans="8:10" ht="15.75" customHeight="1">
      <c r="H381" s="3"/>
      <c r="I381" s="3"/>
      <c r="J381" s="3"/>
    </row>
    <row r="382" spans="8:10" ht="15.75" customHeight="1">
      <c r="H382" s="3"/>
      <c r="I382" s="3"/>
      <c r="J382" s="3"/>
    </row>
    <row r="383" spans="8:10" ht="15.75" customHeight="1">
      <c r="H383" s="3"/>
      <c r="I383" s="3"/>
      <c r="J383" s="3"/>
    </row>
    <row r="384" spans="8:10" ht="15.75" customHeight="1">
      <c r="H384" s="3"/>
      <c r="I384" s="3"/>
      <c r="J384" s="3"/>
    </row>
    <row r="385" spans="8:10" ht="15.75" customHeight="1">
      <c r="H385" s="3"/>
      <c r="I385" s="3"/>
      <c r="J385" s="3"/>
    </row>
    <row r="386" spans="8:10" ht="15.75" customHeight="1">
      <c r="H386" s="3"/>
      <c r="I386" s="3"/>
      <c r="J386" s="3"/>
    </row>
    <row r="387" spans="8:10" ht="15.75" customHeight="1">
      <c r="H387" s="3"/>
      <c r="I387" s="3"/>
      <c r="J387" s="3"/>
    </row>
    <row r="388" spans="8:10" ht="15.75" customHeight="1">
      <c r="H388" s="3"/>
      <c r="I388" s="3"/>
      <c r="J388" s="3"/>
    </row>
    <row r="389" spans="8:10" ht="15.75" customHeight="1">
      <c r="H389" s="3"/>
      <c r="I389" s="3"/>
      <c r="J389" s="3"/>
    </row>
    <row r="390" spans="8:10" ht="15.75" customHeight="1">
      <c r="H390" s="3"/>
      <c r="I390" s="3"/>
      <c r="J390" s="3"/>
    </row>
    <row r="391" spans="8:10" ht="15.75" customHeight="1">
      <c r="H391" s="3"/>
      <c r="I391" s="3"/>
      <c r="J391" s="3"/>
    </row>
    <row r="392" spans="8:10" ht="15.75" customHeight="1">
      <c r="H392" s="3"/>
      <c r="I392" s="3"/>
      <c r="J392" s="3"/>
    </row>
    <row r="393" spans="8:10" ht="15.75" customHeight="1">
      <c r="H393" s="3"/>
      <c r="I393" s="3"/>
      <c r="J393" s="3"/>
    </row>
    <row r="394" spans="8:10" ht="15.75" customHeight="1">
      <c r="H394" s="3"/>
      <c r="I394" s="3"/>
      <c r="J394" s="3"/>
    </row>
    <row r="395" spans="8:10" ht="15.75" customHeight="1">
      <c r="H395" s="3"/>
      <c r="I395" s="3"/>
      <c r="J395" s="3"/>
    </row>
    <row r="396" spans="8:10" ht="15.75" customHeight="1">
      <c r="H396" s="3"/>
      <c r="I396" s="3"/>
      <c r="J396" s="3"/>
    </row>
    <row r="397" spans="8:10" ht="15.75" customHeight="1">
      <c r="H397" s="3"/>
      <c r="I397" s="3"/>
      <c r="J397" s="3"/>
    </row>
    <row r="398" spans="8:10" ht="15.75" customHeight="1">
      <c r="H398" s="3"/>
      <c r="I398" s="3"/>
      <c r="J398" s="3"/>
    </row>
    <row r="399" spans="8:10" ht="15.75" customHeight="1">
      <c r="H399" s="3"/>
      <c r="I399" s="3"/>
      <c r="J399" s="3"/>
    </row>
    <row r="400" spans="8:10" ht="15.75" customHeight="1">
      <c r="H400" s="3"/>
      <c r="I400" s="3"/>
      <c r="J400" s="3"/>
    </row>
    <row r="401" spans="8:10" ht="15.75" customHeight="1">
      <c r="H401" s="3"/>
      <c r="I401" s="3"/>
      <c r="J401" s="3"/>
    </row>
    <row r="402" spans="8:10" ht="15.75" customHeight="1">
      <c r="H402" s="3"/>
      <c r="I402" s="3"/>
      <c r="J402" s="3"/>
    </row>
    <row r="403" spans="8:10" ht="15.75" customHeight="1">
      <c r="H403" s="3"/>
      <c r="I403" s="3"/>
      <c r="J403" s="3"/>
    </row>
    <row r="404" spans="8:10" ht="15.75" customHeight="1">
      <c r="H404" s="3"/>
      <c r="I404" s="3"/>
      <c r="J404" s="3"/>
    </row>
    <row r="405" spans="8:10" ht="15.75" customHeight="1">
      <c r="H405" s="3"/>
      <c r="I405" s="3"/>
      <c r="J405" s="3"/>
    </row>
    <row r="406" spans="8:10" ht="15.75" customHeight="1">
      <c r="H406" s="3"/>
      <c r="I406" s="3"/>
      <c r="J406" s="3"/>
    </row>
    <row r="407" spans="8:10" ht="15.75" customHeight="1">
      <c r="H407" s="3"/>
      <c r="I407" s="3"/>
      <c r="J407" s="3"/>
    </row>
    <row r="408" spans="8:10" ht="15.75" customHeight="1">
      <c r="H408" s="3"/>
      <c r="I408" s="3"/>
      <c r="J408" s="3"/>
    </row>
    <row r="409" spans="8:10" ht="15.75" customHeight="1">
      <c r="H409" s="3"/>
      <c r="I409" s="3"/>
      <c r="J409" s="3"/>
    </row>
    <row r="410" spans="8:10" ht="15.75" customHeight="1">
      <c r="H410" s="3"/>
      <c r="I410" s="3"/>
      <c r="J410" s="3"/>
    </row>
    <row r="411" spans="8:10" ht="15.75" customHeight="1">
      <c r="H411" s="3"/>
      <c r="I411" s="3"/>
      <c r="J411" s="3"/>
    </row>
    <row r="412" spans="8:10" ht="15.75" customHeight="1">
      <c r="H412" s="3"/>
      <c r="I412" s="3"/>
      <c r="J412" s="3"/>
    </row>
    <row r="413" spans="8:10" ht="15.75" customHeight="1">
      <c r="H413" s="3"/>
      <c r="I413" s="3"/>
      <c r="J413" s="3"/>
    </row>
    <row r="414" spans="8:10" ht="15.75" customHeight="1">
      <c r="H414" s="3"/>
      <c r="I414" s="3"/>
      <c r="J414" s="3"/>
    </row>
    <row r="415" spans="8:10" ht="15.75" customHeight="1">
      <c r="H415" s="3"/>
      <c r="I415" s="3"/>
      <c r="J415" s="3"/>
    </row>
    <row r="416" spans="8:10" ht="15.75" customHeight="1">
      <c r="H416" s="3"/>
      <c r="I416" s="3"/>
      <c r="J416" s="3"/>
    </row>
    <row r="417" spans="8:10" ht="15.75" customHeight="1">
      <c r="H417" s="3"/>
      <c r="I417" s="3"/>
      <c r="J417" s="3"/>
    </row>
    <row r="418" spans="8:10" ht="15.75" customHeight="1">
      <c r="H418" s="3"/>
      <c r="I418" s="3"/>
      <c r="J418" s="3"/>
    </row>
    <row r="419" spans="8:10" ht="15.75" customHeight="1">
      <c r="H419" s="3"/>
      <c r="I419" s="3"/>
      <c r="J419" s="3"/>
    </row>
    <row r="420" spans="8:10" ht="15.75" customHeight="1">
      <c r="H420" s="3"/>
      <c r="I420" s="3"/>
      <c r="J420" s="3"/>
    </row>
    <row r="421" spans="8:10" ht="15.75" customHeight="1">
      <c r="H421" s="3"/>
      <c r="I421" s="3"/>
      <c r="J421" s="3"/>
    </row>
    <row r="422" spans="8:10" ht="15.75" customHeight="1">
      <c r="H422" s="3"/>
      <c r="I422" s="3"/>
      <c r="J422" s="3"/>
    </row>
    <row r="423" spans="8:10" ht="15.75" customHeight="1">
      <c r="H423" s="3"/>
      <c r="I423" s="3"/>
      <c r="J423" s="3"/>
    </row>
    <row r="424" spans="8:10" ht="15.75" customHeight="1">
      <c r="H424" s="3"/>
      <c r="I424" s="3"/>
      <c r="J424" s="3"/>
    </row>
    <row r="425" spans="8:10" ht="15.75" customHeight="1">
      <c r="H425" s="3"/>
      <c r="I425" s="3"/>
      <c r="J425" s="3"/>
    </row>
    <row r="426" spans="8:10" ht="15.75" customHeight="1">
      <c r="H426" s="3"/>
      <c r="I426" s="3"/>
      <c r="J426" s="3"/>
    </row>
    <row r="427" spans="8:10" ht="15.75" customHeight="1">
      <c r="H427" s="3"/>
      <c r="I427" s="3"/>
      <c r="J427" s="3"/>
    </row>
    <row r="428" spans="8:10" ht="15.75" customHeight="1">
      <c r="H428" s="3"/>
      <c r="I428" s="3"/>
      <c r="J428" s="3"/>
    </row>
    <row r="429" spans="8:10" ht="15.75" customHeight="1">
      <c r="H429" s="3"/>
      <c r="I429" s="3"/>
      <c r="J429" s="3"/>
    </row>
    <row r="430" spans="8:10" ht="15.75" customHeight="1">
      <c r="H430" s="3"/>
      <c r="I430" s="3"/>
      <c r="J430" s="3"/>
    </row>
    <row r="431" spans="8:10" ht="15.75" customHeight="1">
      <c r="H431" s="3"/>
      <c r="I431" s="3"/>
      <c r="J431" s="3"/>
    </row>
    <row r="432" spans="8:10" ht="15.75" customHeight="1">
      <c r="H432" s="3"/>
      <c r="I432" s="3"/>
      <c r="J432" s="3"/>
    </row>
    <row r="433" spans="8:10" ht="15.75" customHeight="1">
      <c r="H433" s="3"/>
      <c r="I433" s="3"/>
      <c r="J433" s="3"/>
    </row>
    <row r="434" spans="8:10" ht="15.75" customHeight="1">
      <c r="H434" s="3"/>
      <c r="I434" s="3"/>
      <c r="J434" s="3"/>
    </row>
    <row r="435" spans="8:10" ht="15.75" customHeight="1">
      <c r="H435" s="3"/>
      <c r="I435" s="3"/>
      <c r="J435" s="3"/>
    </row>
    <row r="436" spans="8:10" ht="15.75" customHeight="1">
      <c r="H436" s="3"/>
      <c r="I436" s="3"/>
      <c r="J436" s="3"/>
    </row>
    <row r="437" spans="8:10" ht="15.75" customHeight="1">
      <c r="H437" s="3"/>
      <c r="I437" s="3"/>
      <c r="J437" s="3"/>
    </row>
    <row r="438" spans="8:10" ht="15.75" customHeight="1">
      <c r="H438" s="3"/>
      <c r="I438" s="3"/>
      <c r="J438" s="3"/>
    </row>
    <row r="439" spans="8:10" ht="15.75" customHeight="1">
      <c r="H439" s="3"/>
      <c r="I439" s="3"/>
      <c r="J439" s="3"/>
    </row>
    <row r="440" spans="8:10" ht="15.75" customHeight="1">
      <c r="H440" s="3"/>
      <c r="I440" s="3"/>
      <c r="J440" s="3"/>
    </row>
    <row r="441" spans="8:10" ht="15.75" customHeight="1">
      <c r="H441" s="3"/>
      <c r="I441" s="3"/>
      <c r="J441" s="3"/>
    </row>
    <row r="442" spans="8:10" ht="15.75" customHeight="1">
      <c r="H442" s="3"/>
      <c r="I442" s="3"/>
      <c r="J442" s="3"/>
    </row>
    <row r="443" spans="8:10" ht="15.75" customHeight="1">
      <c r="H443" s="3"/>
      <c r="I443" s="3"/>
      <c r="J443" s="3"/>
    </row>
    <row r="444" spans="8:10" ht="15.75" customHeight="1">
      <c r="H444" s="3"/>
      <c r="I444" s="3"/>
      <c r="J444" s="3"/>
    </row>
    <row r="445" spans="8:10" ht="15.75" customHeight="1">
      <c r="H445" s="3"/>
      <c r="I445" s="3"/>
      <c r="J445" s="3"/>
    </row>
    <row r="446" spans="8:10" ht="15.75" customHeight="1">
      <c r="H446" s="3"/>
      <c r="I446" s="3"/>
      <c r="J446" s="3"/>
    </row>
    <row r="447" spans="8:10" ht="15.75" customHeight="1">
      <c r="H447" s="3"/>
      <c r="I447" s="3"/>
      <c r="J447" s="3"/>
    </row>
    <row r="448" spans="8:10" ht="15.75" customHeight="1">
      <c r="H448" s="3"/>
      <c r="I448" s="3"/>
      <c r="J448" s="3"/>
    </row>
    <row r="449" spans="8:10" ht="15.75" customHeight="1">
      <c r="H449" s="3"/>
      <c r="I449" s="3"/>
      <c r="J449" s="3"/>
    </row>
    <row r="450" spans="8:10" ht="15.75" customHeight="1">
      <c r="H450" s="3"/>
      <c r="I450" s="3"/>
      <c r="J450" s="3"/>
    </row>
    <row r="451" spans="8:10" ht="15.75" customHeight="1">
      <c r="H451" s="3"/>
      <c r="I451" s="3"/>
      <c r="J451" s="3"/>
    </row>
    <row r="452" spans="8:10" ht="15.75" customHeight="1">
      <c r="H452" s="3"/>
      <c r="I452" s="3"/>
      <c r="J452" s="3"/>
    </row>
    <row r="453" spans="8:10" ht="15.75" customHeight="1">
      <c r="H453" s="3"/>
      <c r="I453" s="3"/>
      <c r="J453" s="3"/>
    </row>
    <row r="454" spans="8:10" ht="15.75" customHeight="1">
      <c r="H454" s="3"/>
      <c r="I454" s="3"/>
      <c r="J454" s="3"/>
    </row>
    <row r="455" spans="8:10" ht="15.75" customHeight="1">
      <c r="H455" s="3"/>
      <c r="I455" s="3"/>
      <c r="J455" s="3"/>
    </row>
    <row r="456" spans="8:10" ht="15.75" customHeight="1">
      <c r="H456" s="3"/>
      <c r="I456" s="3"/>
      <c r="J456" s="3"/>
    </row>
    <row r="457" spans="8:10" ht="15.75" customHeight="1">
      <c r="H457" s="3"/>
      <c r="I457" s="3"/>
      <c r="J457" s="3"/>
    </row>
    <row r="458" spans="8:10" ht="15.75" customHeight="1">
      <c r="H458" s="3"/>
      <c r="I458" s="3"/>
      <c r="J458" s="3"/>
    </row>
    <row r="459" spans="8:10" ht="15.75" customHeight="1">
      <c r="H459" s="3"/>
      <c r="I459" s="3"/>
      <c r="J459" s="3"/>
    </row>
    <row r="460" spans="8:10" ht="15.75" customHeight="1">
      <c r="H460" s="3"/>
      <c r="I460" s="3"/>
      <c r="J460" s="3"/>
    </row>
    <row r="461" spans="8:10" ht="15.75" customHeight="1">
      <c r="H461" s="3"/>
      <c r="I461" s="3"/>
      <c r="J461" s="3"/>
    </row>
    <row r="462" spans="8:10" ht="15.75" customHeight="1">
      <c r="H462" s="3"/>
      <c r="I462" s="3"/>
      <c r="J462" s="3"/>
    </row>
    <row r="463" spans="8:10" ht="15.75" customHeight="1">
      <c r="H463" s="3"/>
      <c r="I463" s="3"/>
      <c r="J463" s="3"/>
    </row>
    <row r="464" spans="8:10" ht="15.75" customHeight="1">
      <c r="H464" s="3"/>
      <c r="I464" s="3"/>
      <c r="J464" s="3"/>
    </row>
    <row r="465" spans="8:10" ht="15.75" customHeight="1">
      <c r="H465" s="3"/>
      <c r="I465" s="3"/>
      <c r="J465" s="3"/>
    </row>
    <row r="466" spans="8:10" ht="15.75" customHeight="1">
      <c r="H466" s="3"/>
      <c r="I466" s="3"/>
      <c r="J466" s="3"/>
    </row>
    <row r="467" spans="8:10" ht="15.75" customHeight="1">
      <c r="H467" s="3"/>
      <c r="I467" s="3"/>
      <c r="J467" s="3"/>
    </row>
    <row r="468" spans="8:10" ht="15.75" customHeight="1">
      <c r="H468" s="3"/>
      <c r="I468" s="3"/>
      <c r="J468" s="3"/>
    </row>
    <row r="469" spans="8:10" ht="15.75" customHeight="1">
      <c r="H469" s="3"/>
      <c r="I469" s="3"/>
      <c r="J469" s="3"/>
    </row>
    <row r="470" spans="8:10" ht="15.75" customHeight="1">
      <c r="H470" s="3"/>
      <c r="I470" s="3"/>
      <c r="J470" s="3"/>
    </row>
    <row r="471" spans="8:10" ht="15.75" customHeight="1">
      <c r="H471" s="3"/>
      <c r="I471" s="3"/>
      <c r="J471" s="3"/>
    </row>
    <row r="472" spans="8:10" ht="15.75" customHeight="1">
      <c r="H472" s="3"/>
      <c r="I472" s="3"/>
      <c r="J472" s="3"/>
    </row>
    <row r="473" spans="8:10" ht="15.75" customHeight="1">
      <c r="H473" s="3"/>
      <c r="I473" s="3"/>
      <c r="J473" s="3"/>
    </row>
    <row r="474" spans="8:10" ht="15.75" customHeight="1">
      <c r="H474" s="3"/>
      <c r="I474" s="3"/>
      <c r="J474" s="3"/>
    </row>
    <row r="475" spans="8:10" ht="15.75" customHeight="1">
      <c r="H475" s="3"/>
      <c r="I475" s="3"/>
      <c r="J475" s="3"/>
    </row>
    <row r="476" spans="8:10" ht="15.75" customHeight="1">
      <c r="H476" s="3"/>
      <c r="I476" s="3"/>
      <c r="J476" s="3"/>
    </row>
    <row r="477" spans="8:10" ht="15.75" customHeight="1">
      <c r="H477" s="3"/>
      <c r="I477" s="3"/>
      <c r="J477" s="3"/>
    </row>
    <row r="478" spans="8:10" ht="15.75" customHeight="1">
      <c r="H478" s="3"/>
      <c r="I478" s="3"/>
      <c r="J478" s="3"/>
    </row>
    <row r="479" spans="8:10" ht="15.75" customHeight="1">
      <c r="H479" s="3"/>
      <c r="I479" s="3"/>
      <c r="J479" s="3"/>
    </row>
    <row r="480" spans="8:10" ht="15.75" customHeight="1">
      <c r="H480" s="3"/>
      <c r="I480" s="3"/>
      <c r="J480" s="3"/>
    </row>
    <row r="481" spans="8:10" ht="15.75" customHeight="1">
      <c r="H481" s="3"/>
      <c r="I481" s="3"/>
      <c r="J481" s="3"/>
    </row>
    <row r="482" spans="8:10" ht="15.75" customHeight="1">
      <c r="H482" s="3"/>
      <c r="I482" s="3"/>
      <c r="J482" s="3"/>
    </row>
    <row r="483" spans="8:10" ht="15.75" customHeight="1">
      <c r="H483" s="3"/>
      <c r="I483" s="3"/>
      <c r="J483" s="3"/>
    </row>
    <row r="484" spans="8:10" ht="15.75" customHeight="1">
      <c r="H484" s="3"/>
      <c r="I484" s="3"/>
      <c r="J484" s="3"/>
    </row>
    <row r="485" spans="8:10" ht="15.75" customHeight="1">
      <c r="H485" s="3"/>
      <c r="I485" s="3"/>
      <c r="J485" s="3"/>
    </row>
    <row r="486" spans="8:10" ht="15.75" customHeight="1">
      <c r="H486" s="3"/>
      <c r="I486" s="3"/>
      <c r="J486" s="3"/>
    </row>
    <row r="487" spans="8:10" ht="15.75" customHeight="1">
      <c r="H487" s="3"/>
      <c r="I487" s="3"/>
      <c r="J487" s="3"/>
    </row>
    <row r="488" spans="8:10" ht="15.75" customHeight="1">
      <c r="H488" s="3"/>
      <c r="I488" s="3"/>
      <c r="J488" s="3"/>
    </row>
    <row r="489" spans="8:10" ht="15.75" customHeight="1">
      <c r="H489" s="3"/>
      <c r="I489" s="3"/>
      <c r="J489" s="3"/>
    </row>
    <row r="490" spans="8:10" ht="15.75" customHeight="1">
      <c r="H490" s="3"/>
      <c r="I490" s="3"/>
      <c r="J490" s="3"/>
    </row>
    <row r="491" spans="8:10" ht="15.75" customHeight="1">
      <c r="H491" s="3"/>
      <c r="I491" s="3"/>
      <c r="J491" s="3"/>
    </row>
    <row r="492" spans="8:10" ht="15.75" customHeight="1">
      <c r="H492" s="3"/>
      <c r="I492" s="3"/>
      <c r="J492" s="3"/>
    </row>
    <row r="493" spans="8:10" ht="15.75" customHeight="1">
      <c r="H493" s="3"/>
      <c r="I493" s="3"/>
      <c r="J493" s="3"/>
    </row>
    <row r="494" spans="8:10" ht="15.75" customHeight="1">
      <c r="H494" s="3"/>
      <c r="I494" s="3"/>
      <c r="J494" s="3"/>
    </row>
    <row r="495" spans="8:10" ht="15.75" customHeight="1">
      <c r="H495" s="3"/>
      <c r="I495" s="3"/>
      <c r="J495" s="3"/>
    </row>
    <row r="496" spans="8:10" ht="15.75" customHeight="1">
      <c r="H496" s="3"/>
      <c r="I496" s="3"/>
      <c r="J496" s="3"/>
    </row>
    <row r="497" spans="8:10" ht="15.75" customHeight="1">
      <c r="H497" s="3"/>
      <c r="I497" s="3"/>
      <c r="J497" s="3"/>
    </row>
    <row r="498" spans="8:10" ht="15.75" customHeight="1">
      <c r="H498" s="3"/>
      <c r="I498" s="3"/>
      <c r="J498" s="3"/>
    </row>
    <row r="499" spans="8:10" ht="15.75" customHeight="1">
      <c r="H499" s="3"/>
      <c r="I499" s="3"/>
      <c r="J499" s="3"/>
    </row>
    <row r="500" spans="8:10" ht="15.75" customHeight="1">
      <c r="H500" s="3"/>
      <c r="I500" s="3"/>
      <c r="J500" s="3"/>
    </row>
    <row r="501" spans="8:10" ht="15.75" customHeight="1">
      <c r="H501" s="3"/>
      <c r="I501" s="3"/>
      <c r="J501" s="3"/>
    </row>
    <row r="502" spans="8:10" ht="15.75" customHeight="1">
      <c r="H502" s="3"/>
      <c r="I502" s="3"/>
      <c r="J502" s="3"/>
    </row>
    <row r="503" spans="8:10" ht="15.75" customHeight="1">
      <c r="H503" s="3"/>
      <c r="I503" s="3"/>
      <c r="J503" s="3"/>
    </row>
    <row r="504" spans="8:10" ht="15.75" customHeight="1">
      <c r="H504" s="3"/>
      <c r="I504" s="3"/>
      <c r="J504" s="3"/>
    </row>
    <row r="505" spans="8:10" ht="15.75" customHeight="1">
      <c r="H505" s="3"/>
      <c r="I505" s="3"/>
      <c r="J505" s="3"/>
    </row>
    <row r="506" spans="8:10" ht="15.75" customHeight="1">
      <c r="H506" s="3"/>
      <c r="I506" s="3"/>
      <c r="J506" s="3"/>
    </row>
    <row r="507" spans="8:10" ht="15.75" customHeight="1">
      <c r="H507" s="3"/>
      <c r="I507" s="3"/>
      <c r="J507" s="3"/>
    </row>
    <row r="508" spans="8:10" ht="15.75" customHeight="1">
      <c r="H508" s="3"/>
      <c r="I508" s="3"/>
      <c r="J508" s="3"/>
    </row>
    <row r="509" spans="8:10" ht="15.75" customHeight="1">
      <c r="H509" s="3"/>
      <c r="I509" s="3"/>
      <c r="J509" s="3"/>
    </row>
    <row r="510" spans="8:10" ht="15.75" customHeight="1">
      <c r="H510" s="3"/>
      <c r="I510" s="3"/>
      <c r="J510" s="3"/>
    </row>
    <row r="511" spans="8:10" ht="15.75" customHeight="1">
      <c r="H511" s="3"/>
      <c r="I511" s="3"/>
      <c r="J511" s="3"/>
    </row>
    <row r="512" spans="8:10" ht="15.75" customHeight="1">
      <c r="H512" s="3"/>
      <c r="I512" s="3"/>
      <c r="J512" s="3"/>
    </row>
    <row r="513" spans="8:10" ht="15.75" customHeight="1">
      <c r="H513" s="3"/>
      <c r="I513" s="3"/>
      <c r="J513" s="3"/>
    </row>
    <row r="514" spans="8:10" ht="15.75" customHeight="1">
      <c r="H514" s="3"/>
      <c r="I514" s="3"/>
      <c r="J514" s="3"/>
    </row>
    <row r="515" spans="8:10" ht="15.75" customHeight="1">
      <c r="H515" s="3"/>
      <c r="I515" s="3"/>
      <c r="J515" s="3"/>
    </row>
    <row r="516" spans="8:10" ht="15.75" customHeight="1">
      <c r="H516" s="3"/>
      <c r="I516" s="3"/>
      <c r="J516" s="3"/>
    </row>
    <row r="517" spans="8:10" ht="15.75" customHeight="1">
      <c r="H517" s="3"/>
      <c r="I517" s="3"/>
      <c r="J517" s="3"/>
    </row>
    <row r="518" spans="8:10" ht="15.75" customHeight="1">
      <c r="H518" s="3"/>
      <c r="I518" s="3"/>
      <c r="J518" s="3"/>
    </row>
    <row r="519" spans="8:10" ht="15.75" customHeight="1">
      <c r="H519" s="3"/>
      <c r="I519" s="3"/>
      <c r="J519" s="3"/>
    </row>
    <row r="520" spans="8:10" ht="15.75" customHeight="1">
      <c r="H520" s="3"/>
      <c r="I520" s="3"/>
      <c r="J520" s="3"/>
    </row>
    <row r="521" spans="8:10" ht="15.75" customHeight="1">
      <c r="H521" s="3"/>
      <c r="I521" s="3"/>
      <c r="J521" s="3"/>
    </row>
    <row r="522" spans="8:10" ht="15.75" customHeight="1">
      <c r="H522" s="3"/>
      <c r="I522" s="3"/>
      <c r="J522" s="3"/>
    </row>
    <row r="523" spans="8:10" ht="15.75" customHeight="1">
      <c r="H523" s="3"/>
      <c r="I523" s="3"/>
      <c r="J523" s="3"/>
    </row>
    <row r="524" spans="8:10" ht="15.75" customHeight="1">
      <c r="H524" s="3"/>
      <c r="I524" s="3"/>
      <c r="J524" s="3"/>
    </row>
    <row r="525" spans="8:10" ht="15.75" customHeight="1">
      <c r="H525" s="3"/>
      <c r="I525" s="3"/>
      <c r="J525" s="3"/>
    </row>
    <row r="526" spans="8:10" ht="15.75" customHeight="1">
      <c r="H526" s="3"/>
      <c r="I526" s="3"/>
      <c r="J526" s="3"/>
    </row>
    <row r="527" spans="8:10" ht="15.75" customHeight="1">
      <c r="H527" s="3"/>
      <c r="I527" s="3"/>
      <c r="J527" s="3"/>
    </row>
    <row r="528" spans="8:10" ht="15.75" customHeight="1">
      <c r="H528" s="3"/>
      <c r="I528" s="3"/>
      <c r="J528" s="3"/>
    </row>
    <row r="529" spans="8:10" ht="15.75" customHeight="1">
      <c r="H529" s="3"/>
      <c r="I529" s="3"/>
      <c r="J529" s="3"/>
    </row>
    <row r="530" spans="8:10" ht="15.75" customHeight="1">
      <c r="H530" s="3"/>
      <c r="I530" s="3"/>
      <c r="J530" s="3"/>
    </row>
    <row r="531" spans="8:10" ht="15.75" customHeight="1">
      <c r="H531" s="3"/>
      <c r="I531" s="3"/>
      <c r="J531" s="3"/>
    </row>
    <row r="532" spans="8:10" ht="15.75" customHeight="1">
      <c r="H532" s="3"/>
      <c r="I532" s="3"/>
      <c r="J532" s="3"/>
    </row>
    <row r="533" spans="8:10" ht="15.75" customHeight="1">
      <c r="H533" s="3"/>
      <c r="I533" s="3"/>
      <c r="J533" s="3"/>
    </row>
    <row r="534" spans="8:10" ht="15.75" customHeight="1">
      <c r="H534" s="3"/>
      <c r="I534" s="3"/>
      <c r="J534" s="3"/>
    </row>
    <row r="535" spans="8:10" ht="15.75" customHeight="1">
      <c r="H535" s="3"/>
      <c r="I535" s="3"/>
      <c r="J535" s="3"/>
    </row>
    <row r="536" spans="8:10" ht="15.75" customHeight="1">
      <c r="H536" s="3"/>
      <c r="I536" s="3"/>
      <c r="J536" s="3"/>
    </row>
    <row r="537" spans="8:10" ht="15.75" customHeight="1">
      <c r="H537" s="3"/>
      <c r="I537" s="3"/>
      <c r="J537" s="3"/>
    </row>
    <row r="538" spans="8:10" ht="15.75" customHeight="1">
      <c r="H538" s="3"/>
      <c r="I538" s="3"/>
      <c r="J538" s="3"/>
    </row>
    <row r="539" spans="8:10" ht="15.75" customHeight="1">
      <c r="H539" s="3"/>
      <c r="I539" s="3"/>
      <c r="J539" s="3"/>
    </row>
    <row r="540" spans="8:10" ht="15.75" customHeight="1">
      <c r="H540" s="3"/>
      <c r="I540" s="3"/>
      <c r="J540" s="3"/>
    </row>
    <row r="541" spans="8:10" ht="15.75" customHeight="1">
      <c r="H541" s="3"/>
      <c r="I541" s="3"/>
      <c r="J541" s="3"/>
    </row>
    <row r="542" spans="8:10" ht="15.75" customHeight="1">
      <c r="H542" s="3"/>
      <c r="I542" s="3"/>
      <c r="J542" s="3"/>
    </row>
    <row r="543" spans="8:10" ht="15.75" customHeight="1">
      <c r="H543" s="3"/>
      <c r="I543" s="3"/>
      <c r="J543" s="3"/>
    </row>
    <row r="544" spans="8:10" ht="15.75" customHeight="1">
      <c r="H544" s="3"/>
      <c r="I544" s="3"/>
      <c r="J544" s="3"/>
    </row>
    <row r="545" spans="8:10" ht="15.75" customHeight="1">
      <c r="H545" s="3"/>
      <c r="I545" s="3"/>
      <c r="J545" s="3"/>
    </row>
    <row r="546" spans="8:10" ht="15.75" customHeight="1">
      <c r="H546" s="3"/>
      <c r="I546" s="3"/>
      <c r="J546" s="3"/>
    </row>
    <row r="547" spans="8:10" ht="15.75" customHeight="1">
      <c r="H547" s="3"/>
      <c r="I547" s="3"/>
      <c r="J547" s="3"/>
    </row>
    <row r="548" spans="8:10" ht="15.75" customHeight="1">
      <c r="H548" s="3"/>
      <c r="I548" s="3"/>
      <c r="J548" s="3"/>
    </row>
    <row r="549" spans="8:10" ht="15.75" customHeight="1">
      <c r="H549" s="3"/>
      <c r="I549" s="3"/>
      <c r="J549" s="3"/>
    </row>
    <row r="550" spans="8:10" ht="15.75" customHeight="1">
      <c r="H550" s="3"/>
      <c r="I550" s="3"/>
      <c r="J550" s="3"/>
    </row>
    <row r="551" spans="8:10" ht="15.75" customHeight="1">
      <c r="H551" s="3"/>
      <c r="I551" s="3"/>
      <c r="J551" s="3"/>
    </row>
    <row r="552" spans="8:10" ht="15.75" customHeight="1">
      <c r="H552" s="3"/>
      <c r="I552" s="3"/>
      <c r="J552" s="3"/>
    </row>
    <row r="553" spans="8:10" ht="15.75" customHeight="1">
      <c r="H553" s="3"/>
      <c r="I553" s="3"/>
      <c r="J553" s="3"/>
    </row>
    <row r="554" spans="8:10" ht="15.75" customHeight="1">
      <c r="H554" s="3"/>
      <c r="I554" s="3"/>
      <c r="J554" s="3"/>
    </row>
    <row r="555" spans="8:10" ht="15.75" customHeight="1">
      <c r="H555" s="3"/>
      <c r="I555" s="3"/>
      <c r="J555" s="3"/>
    </row>
    <row r="556" spans="8:10" ht="15.75" customHeight="1">
      <c r="H556" s="3"/>
      <c r="I556" s="3"/>
      <c r="J556" s="3"/>
    </row>
    <row r="557" spans="8:10" ht="15.75" customHeight="1">
      <c r="H557" s="3"/>
      <c r="I557" s="3"/>
      <c r="J557" s="3"/>
    </row>
    <row r="558" spans="8:10" ht="15.75" customHeight="1">
      <c r="H558" s="3"/>
      <c r="I558" s="3"/>
      <c r="J558" s="3"/>
    </row>
    <row r="559" spans="8:10" ht="15.75" customHeight="1">
      <c r="H559" s="3"/>
      <c r="I559" s="3"/>
      <c r="J559" s="3"/>
    </row>
    <row r="560" spans="8:10" ht="15.75" customHeight="1">
      <c r="H560" s="3"/>
      <c r="I560" s="3"/>
      <c r="J560" s="3"/>
    </row>
    <row r="561" spans="8:10" ht="15.75" customHeight="1">
      <c r="H561" s="3"/>
      <c r="I561" s="3"/>
      <c r="J561" s="3"/>
    </row>
    <row r="562" spans="8:10" ht="15.75" customHeight="1">
      <c r="H562" s="3"/>
      <c r="I562" s="3"/>
      <c r="J562" s="3"/>
    </row>
    <row r="563" spans="8:10" ht="15.75" customHeight="1">
      <c r="H563" s="3"/>
      <c r="I563" s="3"/>
      <c r="J563" s="3"/>
    </row>
    <row r="564" spans="8:10" ht="15.75" customHeight="1">
      <c r="H564" s="3"/>
      <c r="I564" s="3"/>
      <c r="J564" s="3"/>
    </row>
    <row r="565" spans="8:10" ht="15.75" customHeight="1">
      <c r="H565" s="3"/>
      <c r="I565" s="3"/>
      <c r="J565" s="3"/>
    </row>
    <row r="566" spans="8:10" ht="15.75" customHeight="1">
      <c r="H566" s="3"/>
      <c r="I566" s="3"/>
      <c r="J566" s="3"/>
    </row>
    <row r="567" spans="8:10" ht="15.75" customHeight="1">
      <c r="H567" s="3"/>
      <c r="I567" s="3"/>
      <c r="J567" s="3"/>
    </row>
    <row r="568" spans="8:10" ht="15.75" customHeight="1">
      <c r="H568" s="3"/>
      <c r="I568" s="3"/>
      <c r="J568" s="3"/>
    </row>
    <row r="569" spans="8:10" ht="15.75" customHeight="1">
      <c r="H569" s="3"/>
      <c r="I569" s="3"/>
      <c r="J569" s="3"/>
    </row>
    <row r="570" spans="8:10" ht="15.75" customHeight="1">
      <c r="H570" s="3"/>
      <c r="I570" s="3"/>
      <c r="J570" s="3"/>
    </row>
    <row r="571" spans="8:10" ht="15.75" customHeight="1">
      <c r="H571" s="3"/>
      <c r="I571" s="3"/>
      <c r="J571" s="3"/>
    </row>
    <row r="572" spans="8:10" ht="15.75" customHeight="1">
      <c r="H572" s="3"/>
      <c r="I572" s="3"/>
      <c r="J572" s="3"/>
    </row>
    <row r="573" spans="8:10" ht="15.75" customHeight="1">
      <c r="H573" s="3"/>
      <c r="I573" s="3"/>
      <c r="J573" s="3"/>
    </row>
    <row r="574" spans="8:10" ht="15.75" customHeight="1">
      <c r="H574" s="3"/>
      <c r="I574" s="3"/>
      <c r="J574" s="3"/>
    </row>
    <row r="575" spans="8:10" ht="15.75" customHeight="1">
      <c r="H575" s="3"/>
      <c r="I575" s="3"/>
      <c r="J575" s="3"/>
    </row>
    <row r="576" spans="8:10" ht="15.75" customHeight="1">
      <c r="H576" s="3"/>
      <c r="I576" s="3"/>
      <c r="J576" s="3"/>
    </row>
    <row r="577" spans="8:10" ht="15.75" customHeight="1">
      <c r="H577" s="3"/>
      <c r="I577" s="3"/>
      <c r="J577" s="3"/>
    </row>
    <row r="578" spans="8:10" ht="15.75" customHeight="1">
      <c r="H578" s="3"/>
      <c r="I578" s="3"/>
      <c r="J578" s="3"/>
    </row>
    <row r="579" spans="8:10" ht="15.75" customHeight="1">
      <c r="H579" s="3"/>
      <c r="I579" s="3"/>
      <c r="J579" s="3"/>
    </row>
    <row r="580" spans="8:10" ht="15.75" customHeight="1">
      <c r="H580" s="3"/>
      <c r="I580" s="3"/>
      <c r="J580" s="3"/>
    </row>
    <row r="581" spans="8:10" ht="15.75" customHeight="1">
      <c r="H581" s="3"/>
      <c r="I581" s="3"/>
      <c r="J581" s="3"/>
    </row>
    <row r="582" spans="8:10" ht="15.75" customHeight="1">
      <c r="H582" s="3"/>
      <c r="I582" s="3"/>
      <c r="J582" s="3"/>
    </row>
    <row r="583" spans="8:10" ht="15.75" customHeight="1">
      <c r="H583" s="3"/>
      <c r="I583" s="3"/>
      <c r="J583" s="3"/>
    </row>
    <row r="584" spans="8:10" ht="15.75" customHeight="1">
      <c r="H584" s="3"/>
      <c r="I584" s="3"/>
      <c r="J584" s="3"/>
    </row>
    <row r="585" spans="8:10" ht="15.75" customHeight="1">
      <c r="H585" s="3"/>
      <c r="I585" s="3"/>
      <c r="J585" s="3"/>
    </row>
    <row r="586" spans="8:10" ht="15.75" customHeight="1">
      <c r="H586" s="3"/>
      <c r="I586" s="3"/>
      <c r="J586" s="3"/>
    </row>
    <row r="587" spans="8:10" ht="15.75" customHeight="1">
      <c r="H587" s="3"/>
      <c r="I587" s="3"/>
      <c r="J587" s="3"/>
    </row>
    <row r="588" spans="8:10" ht="15.75" customHeight="1">
      <c r="H588" s="3"/>
      <c r="I588" s="3"/>
      <c r="J588" s="3"/>
    </row>
    <row r="589" spans="8:10" ht="15.75" customHeight="1">
      <c r="H589" s="3"/>
      <c r="I589" s="3"/>
      <c r="J589" s="3"/>
    </row>
    <row r="590" spans="8:10" ht="15.75" customHeight="1">
      <c r="H590" s="3"/>
      <c r="I590" s="3"/>
      <c r="J590" s="3"/>
    </row>
    <row r="591" spans="8:10" ht="15.75" customHeight="1">
      <c r="H591" s="3"/>
      <c r="I591" s="3"/>
      <c r="J591" s="3"/>
    </row>
    <row r="592" spans="8:10" ht="15.75" customHeight="1">
      <c r="H592" s="3"/>
      <c r="I592" s="3"/>
      <c r="J592" s="3"/>
    </row>
    <row r="593" spans="8:10" ht="15.75" customHeight="1">
      <c r="H593" s="3"/>
      <c r="I593" s="3"/>
      <c r="J593" s="3"/>
    </row>
    <row r="594" spans="8:10" ht="15.75" customHeight="1">
      <c r="H594" s="3"/>
      <c r="I594" s="3"/>
      <c r="J594" s="3"/>
    </row>
    <row r="595" spans="8:10" ht="15.75" customHeight="1">
      <c r="H595" s="3"/>
      <c r="I595" s="3"/>
      <c r="J595" s="3"/>
    </row>
    <row r="596" spans="8:10" ht="15.75" customHeight="1">
      <c r="H596" s="3"/>
      <c r="I596" s="3"/>
      <c r="J596" s="3"/>
    </row>
    <row r="597" spans="8:10" ht="15.75" customHeight="1">
      <c r="H597" s="3"/>
      <c r="I597" s="3"/>
      <c r="J597" s="3"/>
    </row>
    <row r="598" spans="8:10" ht="15.75" customHeight="1">
      <c r="H598" s="3"/>
      <c r="I598" s="3"/>
      <c r="J598" s="3"/>
    </row>
    <row r="599" spans="8:10" ht="15.75" customHeight="1">
      <c r="H599" s="3"/>
      <c r="I599" s="3"/>
      <c r="J599" s="3"/>
    </row>
    <row r="600" spans="8:10" ht="15.75" customHeight="1">
      <c r="H600" s="3"/>
      <c r="I600" s="3"/>
      <c r="J600" s="3"/>
    </row>
    <row r="601" spans="8:10" ht="15.75" customHeight="1">
      <c r="H601" s="3"/>
      <c r="I601" s="3"/>
      <c r="J601" s="3"/>
    </row>
    <row r="602" spans="8:10" ht="15.75" customHeight="1">
      <c r="H602" s="3"/>
      <c r="I602" s="3"/>
      <c r="J602" s="3"/>
    </row>
    <row r="603" spans="8:10" ht="15.75" customHeight="1">
      <c r="H603" s="3"/>
      <c r="I603" s="3"/>
      <c r="J603" s="3"/>
    </row>
    <row r="604" spans="8:10" ht="15.75" customHeight="1">
      <c r="H604" s="3"/>
      <c r="I604" s="3"/>
      <c r="J604" s="3"/>
    </row>
    <row r="605" spans="8:10" ht="15.75" customHeight="1">
      <c r="H605" s="3"/>
      <c r="I605" s="3"/>
      <c r="J605" s="3"/>
    </row>
    <row r="606" spans="8:10" ht="15.75" customHeight="1">
      <c r="H606" s="3"/>
      <c r="I606" s="3"/>
      <c r="J606" s="3"/>
    </row>
    <row r="607" spans="8:10" ht="15.75" customHeight="1">
      <c r="H607" s="3"/>
      <c r="I607" s="3"/>
      <c r="J607" s="3"/>
    </row>
    <row r="608" spans="8:10" ht="15.75" customHeight="1">
      <c r="H608" s="3"/>
      <c r="I608" s="3"/>
      <c r="J608" s="3"/>
    </row>
    <row r="609" spans="8:10" ht="15.75" customHeight="1">
      <c r="H609" s="3"/>
      <c r="I609" s="3"/>
      <c r="J609" s="3"/>
    </row>
    <row r="610" spans="8:10" ht="15.75" customHeight="1">
      <c r="H610" s="3"/>
      <c r="I610" s="3"/>
      <c r="J610" s="3"/>
    </row>
    <row r="611" spans="8:10" ht="15.75" customHeight="1">
      <c r="H611" s="3"/>
      <c r="I611" s="3"/>
      <c r="J611" s="3"/>
    </row>
    <row r="612" spans="8:10" ht="15.75" customHeight="1">
      <c r="H612" s="3"/>
      <c r="I612" s="3"/>
      <c r="J612" s="3"/>
    </row>
    <row r="613" spans="8:10" ht="15.75" customHeight="1">
      <c r="H613" s="3"/>
      <c r="I613" s="3"/>
      <c r="J613" s="3"/>
    </row>
    <row r="614" spans="8:10" ht="15.75" customHeight="1">
      <c r="H614" s="3"/>
      <c r="I614" s="3"/>
      <c r="J614" s="3"/>
    </row>
    <row r="615" spans="8:10" ht="15.75" customHeight="1">
      <c r="H615" s="3"/>
      <c r="I615" s="3"/>
      <c r="J615" s="3"/>
    </row>
    <row r="616" spans="8:10" ht="15.75" customHeight="1">
      <c r="H616" s="3"/>
      <c r="I616" s="3"/>
      <c r="J616" s="3"/>
    </row>
    <row r="617" spans="8:10" ht="15.75" customHeight="1">
      <c r="H617" s="3"/>
      <c r="I617" s="3"/>
      <c r="J617" s="3"/>
    </row>
    <row r="618" spans="8:10" ht="15.75" customHeight="1">
      <c r="H618" s="3"/>
      <c r="I618" s="3"/>
      <c r="J618" s="3"/>
    </row>
    <row r="619" spans="8:10" ht="15.75" customHeight="1">
      <c r="H619" s="3"/>
      <c r="I619" s="3"/>
      <c r="J619" s="3"/>
    </row>
    <row r="620" spans="8:10" ht="15.75" customHeight="1">
      <c r="H620" s="3"/>
      <c r="I620" s="3"/>
      <c r="J620" s="3"/>
    </row>
    <row r="621" spans="8:10" ht="15.75" customHeight="1">
      <c r="H621" s="3"/>
      <c r="I621" s="3"/>
      <c r="J621" s="3"/>
    </row>
    <row r="622" spans="8:10" ht="15.75" customHeight="1">
      <c r="H622" s="3"/>
      <c r="I622" s="3"/>
      <c r="J622" s="3"/>
    </row>
    <row r="623" spans="8:10" ht="15.75" customHeight="1">
      <c r="H623" s="3"/>
      <c r="I623" s="3"/>
      <c r="J623" s="3"/>
    </row>
    <row r="624" spans="8:10" ht="15.75" customHeight="1">
      <c r="H624" s="3"/>
      <c r="I624" s="3"/>
      <c r="J624" s="3"/>
    </row>
    <row r="625" spans="8:10" ht="15.75" customHeight="1">
      <c r="H625" s="3"/>
      <c r="I625" s="3"/>
      <c r="J625" s="3"/>
    </row>
    <row r="626" spans="8:10" ht="15.75" customHeight="1">
      <c r="H626" s="3"/>
      <c r="I626" s="3"/>
      <c r="J626" s="3"/>
    </row>
    <row r="627" spans="8:10" ht="15.75" customHeight="1">
      <c r="H627" s="3"/>
      <c r="I627" s="3"/>
      <c r="J627" s="3"/>
    </row>
    <row r="628" spans="8:10" ht="15.75" customHeight="1">
      <c r="H628" s="3"/>
      <c r="I628" s="3"/>
      <c r="J628" s="3"/>
    </row>
    <row r="629" spans="8:10" ht="15.75" customHeight="1">
      <c r="H629" s="3"/>
      <c r="I629" s="3"/>
      <c r="J629" s="3"/>
    </row>
    <row r="630" spans="8:10" ht="15.75" customHeight="1">
      <c r="H630" s="3"/>
      <c r="I630" s="3"/>
      <c r="J630" s="3"/>
    </row>
    <row r="631" spans="8:10" ht="15.75" customHeight="1">
      <c r="H631" s="3"/>
      <c r="I631" s="3"/>
      <c r="J631" s="3"/>
    </row>
    <row r="632" spans="8:10" ht="15.75" customHeight="1">
      <c r="H632" s="3"/>
      <c r="I632" s="3"/>
      <c r="J632" s="3"/>
    </row>
    <row r="633" spans="8:10" ht="15.75" customHeight="1">
      <c r="H633" s="3"/>
      <c r="I633" s="3"/>
      <c r="J633" s="3"/>
    </row>
    <row r="634" spans="8:10" ht="15.75" customHeight="1">
      <c r="H634" s="3"/>
      <c r="I634" s="3"/>
      <c r="J634" s="3"/>
    </row>
    <row r="635" spans="8:10" ht="15.75" customHeight="1">
      <c r="H635" s="3"/>
      <c r="I635" s="3"/>
      <c r="J635" s="3"/>
    </row>
    <row r="636" spans="8:10" ht="15.75" customHeight="1">
      <c r="H636" s="3"/>
      <c r="I636" s="3"/>
      <c r="J636" s="3"/>
    </row>
    <row r="637" spans="8:10" ht="15.75" customHeight="1">
      <c r="H637" s="3"/>
      <c r="I637" s="3"/>
      <c r="J637" s="3"/>
    </row>
    <row r="638" spans="8:10" ht="15.75" customHeight="1">
      <c r="H638" s="3"/>
      <c r="I638" s="3"/>
      <c r="J638" s="3"/>
    </row>
    <row r="639" spans="8:10" ht="15.75" customHeight="1">
      <c r="H639" s="3"/>
      <c r="I639" s="3"/>
      <c r="J639" s="3"/>
    </row>
    <row r="640" spans="8:10" ht="15.75" customHeight="1">
      <c r="H640" s="3"/>
      <c r="I640" s="3"/>
      <c r="J640" s="3"/>
    </row>
    <row r="641" spans="8:10" ht="15.75" customHeight="1">
      <c r="H641" s="3"/>
      <c r="I641" s="3"/>
      <c r="J641" s="3"/>
    </row>
    <row r="642" spans="8:10" ht="15.75" customHeight="1">
      <c r="H642" s="3"/>
      <c r="I642" s="3"/>
      <c r="J642" s="3"/>
    </row>
    <row r="643" spans="8:10" ht="15.75" customHeight="1">
      <c r="H643" s="3"/>
      <c r="I643" s="3"/>
      <c r="J643" s="3"/>
    </row>
    <row r="644" spans="8:10" ht="15.75" customHeight="1">
      <c r="H644" s="3"/>
      <c r="I644" s="3"/>
      <c r="J644" s="3"/>
    </row>
    <row r="645" spans="8:10" ht="15.75" customHeight="1">
      <c r="H645" s="3"/>
      <c r="I645" s="3"/>
      <c r="J645" s="3"/>
    </row>
    <row r="646" spans="8:10" ht="15.75" customHeight="1">
      <c r="H646" s="3"/>
      <c r="I646" s="3"/>
      <c r="J646" s="3"/>
    </row>
    <row r="647" spans="8:10" ht="15.75" customHeight="1">
      <c r="H647" s="3"/>
      <c r="I647" s="3"/>
      <c r="J647" s="3"/>
    </row>
    <row r="648" spans="8:10" ht="15.75" customHeight="1">
      <c r="H648" s="3"/>
      <c r="I648" s="3"/>
      <c r="J648" s="3"/>
    </row>
    <row r="649" spans="8:10" ht="15.75" customHeight="1">
      <c r="H649" s="3"/>
      <c r="I649" s="3"/>
      <c r="J649" s="3"/>
    </row>
    <row r="650" spans="8:10" ht="15.75" customHeight="1">
      <c r="H650" s="3"/>
      <c r="I650" s="3"/>
      <c r="J650" s="3"/>
    </row>
    <row r="651" spans="8:10" ht="15.75" customHeight="1">
      <c r="H651" s="3"/>
      <c r="I651" s="3"/>
      <c r="J651" s="3"/>
    </row>
    <row r="652" spans="8:10" ht="15.75" customHeight="1">
      <c r="H652" s="3"/>
      <c r="I652" s="3"/>
      <c r="J652" s="3"/>
    </row>
    <row r="653" spans="8:10" ht="15.75" customHeight="1">
      <c r="H653" s="3"/>
      <c r="I653" s="3"/>
      <c r="J653" s="3"/>
    </row>
    <row r="654" spans="8:10" ht="15.75" customHeight="1">
      <c r="H654" s="3"/>
      <c r="I654" s="3"/>
      <c r="J654" s="3"/>
    </row>
    <row r="655" spans="8:10" ht="15.75" customHeight="1">
      <c r="H655" s="3"/>
      <c r="I655" s="3"/>
      <c r="J655" s="3"/>
    </row>
    <row r="656" spans="8:10" ht="15.75" customHeight="1">
      <c r="H656" s="3"/>
      <c r="I656" s="3"/>
      <c r="J656" s="3"/>
    </row>
    <row r="657" spans="8:10" ht="15.75" customHeight="1">
      <c r="H657" s="3"/>
      <c r="I657" s="3"/>
      <c r="J657" s="3"/>
    </row>
    <row r="658" spans="8:10" ht="15.75" customHeight="1">
      <c r="H658" s="3"/>
      <c r="I658" s="3"/>
      <c r="J658" s="3"/>
    </row>
    <row r="659" spans="8:10" ht="15.75" customHeight="1">
      <c r="H659" s="3"/>
      <c r="I659" s="3"/>
      <c r="J659" s="3"/>
    </row>
    <row r="660" spans="8:10" ht="15.75" customHeight="1">
      <c r="H660" s="3"/>
      <c r="I660" s="3"/>
      <c r="J660" s="3"/>
    </row>
    <row r="661" spans="8:10" ht="15.75" customHeight="1">
      <c r="H661" s="3"/>
      <c r="I661" s="3"/>
      <c r="J661" s="3"/>
    </row>
    <row r="662" spans="8:10" ht="15.75" customHeight="1">
      <c r="H662" s="3"/>
      <c r="I662" s="3"/>
      <c r="J662" s="3"/>
    </row>
    <row r="663" spans="8:10" ht="15.75" customHeight="1">
      <c r="H663" s="3"/>
      <c r="I663" s="3"/>
      <c r="J663" s="3"/>
    </row>
    <row r="664" spans="8:10" ht="15.75" customHeight="1">
      <c r="H664" s="3"/>
      <c r="I664" s="3"/>
      <c r="J664" s="3"/>
    </row>
    <row r="665" spans="8:10" ht="15.75" customHeight="1">
      <c r="H665" s="3"/>
      <c r="I665" s="3"/>
      <c r="J665" s="3"/>
    </row>
    <row r="666" spans="8:10" ht="15.75" customHeight="1">
      <c r="H666" s="3"/>
      <c r="I666" s="3"/>
      <c r="J666" s="3"/>
    </row>
    <row r="667" spans="8:10" ht="15.75" customHeight="1">
      <c r="H667" s="3"/>
      <c r="I667" s="3"/>
      <c r="J667" s="3"/>
    </row>
    <row r="668" spans="8:10" ht="15.75" customHeight="1">
      <c r="H668" s="3"/>
      <c r="I668" s="3"/>
      <c r="J668" s="3"/>
    </row>
    <row r="669" spans="8:10" ht="15.75" customHeight="1">
      <c r="H669" s="3"/>
      <c r="I669" s="3"/>
      <c r="J669" s="3"/>
    </row>
    <row r="670" spans="8:10" ht="15.75" customHeight="1">
      <c r="H670" s="3"/>
      <c r="I670" s="3"/>
      <c r="J670" s="3"/>
    </row>
    <row r="671" spans="8:10" ht="15.75" customHeight="1">
      <c r="H671" s="3"/>
      <c r="I671" s="3"/>
      <c r="J671" s="3"/>
    </row>
    <row r="672" spans="8:10" ht="15.75" customHeight="1">
      <c r="H672" s="3"/>
      <c r="I672" s="3"/>
      <c r="J672" s="3"/>
    </row>
    <row r="673" spans="8:10" ht="15.75" customHeight="1">
      <c r="H673" s="3"/>
      <c r="I673" s="3"/>
      <c r="J673" s="3"/>
    </row>
    <row r="674" spans="8:10" ht="15.75" customHeight="1">
      <c r="H674" s="3"/>
      <c r="I674" s="3"/>
      <c r="J674" s="3"/>
    </row>
    <row r="675" spans="8:10" ht="15.75" customHeight="1">
      <c r="H675" s="3"/>
      <c r="I675" s="3"/>
      <c r="J675" s="3"/>
    </row>
    <row r="676" spans="8:10" ht="15.75" customHeight="1">
      <c r="H676" s="3"/>
      <c r="I676" s="3"/>
      <c r="J676" s="3"/>
    </row>
    <row r="677" spans="8:10" ht="15.75" customHeight="1">
      <c r="H677" s="3"/>
      <c r="I677" s="3"/>
      <c r="J677" s="3"/>
    </row>
    <row r="678" spans="8:10" ht="15.75" customHeight="1">
      <c r="H678" s="3"/>
      <c r="I678" s="3"/>
      <c r="J678" s="3"/>
    </row>
    <row r="679" spans="8:10" ht="15.75" customHeight="1">
      <c r="H679" s="3"/>
      <c r="I679" s="3"/>
      <c r="J679" s="3"/>
    </row>
    <row r="680" spans="8:10" ht="15.75" customHeight="1">
      <c r="H680" s="3"/>
      <c r="I680" s="3"/>
      <c r="J680" s="3"/>
    </row>
    <row r="681" spans="8:10" ht="15.75" customHeight="1">
      <c r="H681" s="3"/>
      <c r="I681" s="3"/>
      <c r="J681" s="3"/>
    </row>
    <row r="682" spans="8:10" ht="15.75" customHeight="1">
      <c r="H682" s="3"/>
      <c r="I682" s="3"/>
      <c r="J682" s="3"/>
    </row>
    <row r="683" spans="8:10" ht="15.75" customHeight="1">
      <c r="H683" s="3"/>
      <c r="I683" s="3"/>
      <c r="J683" s="3"/>
    </row>
    <row r="684" spans="8:10" ht="15.75" customHeight="1">
      <c r="H684" s="3"/>
      <c r="I684" s="3"/>
      <c r="J684" s="3"/>
    </row>
    <row r="685" spans="8:10" ht="15.75" customHeight="1">
      <c r="H685" s="3"/>
      <c r="I685" s="3"/>
      <c r="J685" s="3"/>
    </row>
    <row r="686" spans="8:10" ht="15.75" customHeight="1">
      <c r="H686" s="3"/>
      <c r="I686" s="3"/>
      <c r="J686" s="3"/>
    </row>
    <row r="687" spans="8:10" ht="15.75" customHeight="1">
      <c r="H687" s="3"/>
      <c r="I687" s="3"/>
      <c r="J687" s="3"/>
    </row>
    <row r="688" spans="8:10" ht="15.75" customHeight="1">
      <c r="H688" s="3"/>
      <c r="I688" s="3"/>
      <c r="J688" s="3"/>
    </row>
    <row r="689" spans="8:10" ht="15.75" customHeight="1">
      <c r="H689" s="3"/>
      <c r="I689" s="3"/>
      <c r="J689" s="3"/>
    </row>
    <row r="690" spans="8:10" ht="15.75" customHeight="1">
      <c r="H690" s="3"/>
      <c r="I690" s="3"/>
      <c r="J690" s="3"/>
    </row>
    <row r="691" spans="8:10" ht="15.75" customHeight="1">
      <c r="H691" s="3"/>
      <c r="I691" s="3"/>
      <c r="J691" s="3"/>
    </row>
    <row r="692" spans="8:10" ht="15.75" customHeight="1">
      <c r="H692" s="3"/>
      <c r="I692" s="3"/>
      <c r="J692" s="3"/>
    </row>
    <row r="693" spans="8:10" ht="15.75" customHeight="1">
      <c r="H693" s="3"/>
      <c r="I693" s="3"/>
      <c r="J693" s="3"/>
    </row>
    <row r="694" spans="8:10" ht="15.75" customHeight="1">
      <c r="H694" s="3"/>
      <c r="I694" s="3"/>
      <c r="J694" s="3"/>
    </row>
    <row r="695" spans="8:10" ht="15.75" customHeight="1">
      <c r="H695" s="3"/>
      <c r="I695" s="3"/>
      <c r="J695" s="3"/>
    </row>
    <row r="696" spans="8:10" ht="15.75" customHeight="1">
      <c r="H696" s="3"/>
      <c r="I696" s="3"/>
      <c r="J696" s="3"/>
    </row>
    <row r="697" spans="8:10" ht="15.75" customHeight="1">
      <c r="H697" s="3"/>
      <c r="I697" s="3"/>
      <c r="J697" s="3"/>
    </row>
    <row r="698" spans="8:10" ht="15.75" customHeight="1">
      <c r="H698" s="3"/>
      <c r="I698" s="3"/>
      <c r="J698" s="3"/>
    </row>
    <row r="699" spans="8:10" ht="15.75" customHeight="1">
      <c r="H699" s="3"/>
      <c r="I699" s="3"/>
      <c r="J699" s="3"/>
    </row>
    <row r="700" spans="8:10" ht="15.75" customHeight="1">
      <c r="H700" s="3"/>
      <c r="I700" s="3"/>
      <c r="J700" s="3"/>
    </row>
    <row r="701" spans="8:10" ht="15.75" customHeight="1">
      <c r="H701" s="3"/>
      <c r="I701" s="3"/>
      <c r="J701" s="3"/>
    </row>
    <row r="702" spans="8:10" ht="15.75" customHeight="1">
      <c r="H702" s="3"/>
      <c r="I702" s="3"/>
      <c r="J702" s="3"/>
    </row>
    <row r="703" spans="8:10" ht="15.75" customHeight="1">
      <c r="H703" s="3"/>
      <c r="I703" s="3"/>
      <c r="J703" s="3"/>
    </row>
    <row r="704" spans="8:10" ht="15.75" customHeight="1">
      <c r="H704" s="3"/>
      <c r="I704" s="3"/>
      <c r="J704" s="3"/>
    </row>
    <row r="705" spans="8:10" ht="15.75" customHeight="1">
      <c r="H705" s="3"/>
      <c r="I705" s="3"/>
      <c r="J705" s="3"/>
    </row>
    <row r="706" spans="8:10" ht="15.75" customHeight="1">
      <c r="H706" s="3"/>
      <c r="I706" s="3"/>
      <c r="J706" s="3"/>
    </row>
    <row r="707" spans="8:10" ht="15.75" customHeight="1">
      <c r="H707" s="3"/>
      <c r="I707" s="3"/>
      <c r="J707" s="3"/>
    </row>
    <row r="708" spans="8:10" ht="15.75" customHeight="1">
      <c r="H708" s="3"/>
      <c r="I708" s="3"/>
      <c r="J708" s="3"/>
    </row>
    <row r="709" spans="8:10" ht="15.75" customHeight="1">
      <c r="H709" s="3"/>
      <c r="I709" s="3"/>
      <c r="J709" s="3"/>
    </row>
    <row r="710" spans="8:10" ht="15.75" customHeight="1">
      <c r="H710" s="3"/>
      <c r="I710" s="3"/>
      <c r="J710" s="3"/>
    </row>
    <row r="711" spans="8:10" ht="15.75" customHeight="1">
      <c r="H711" s="3"/>
      <c r="I711" s="3"/>
      <c r="J711" s="3"/>
    </row>
    <row r="712" spans="8:10" ht="15.75" customHeight="1">
      <c r="H712" s="3"/>
      <c r="I712" s="3"/>
      <c r="J712" s="3"/>
    </row>
    <row r="713" spans="8:10" ht="15.75" customHeight="1">
      <c r="H713" s="3"/>
      <c r="I713" s="3"/>
      <c r="J713" s="3"/>
    </row>
    <row r="714" spans="8:10" ht="15.75" customHeight="1">
      <c r="H714" s="3"/>
      <c r="I714" s="3"/>
      <c r="J714" s="3"/>
    </row>
    <row r="715" spans="8:10" ht="15.75" customHeight="1">
      <c r="H715" s="3"/>
      <c r="I715" s="3"/>
      <c r="J715" s="3"/>
    </row>
    <row r="716" spans="8:10" ht="15.75" customHeight="1">
      <c r="H716" s="3"/>
      <c r="I716" s="3"/>
      <c r="J716" s="3"/>
    </row>
    <row r="717" spans="8:10" ht="15.75" customHeight="1">
      <c r="H717" s="3"/>
      <c r="I717" s="3"/>
      <c r="J717" s="3"/>
    </row>
    <row r="718" spans="8:10" ht="15.75" customHeight="1">
      <c r="H718" s="3"/>
      <c r="I718" s="3"/>
      <c r="J718" s="3"/>
    </row>
    <row r="719" spans="8:10" ht="15.75" customHeight="1">
      <c r="H719" s="3"/>
      <c r="I719" s="3"/>
      <c r="J719" s="3"/>
    </row>
    <row r="720" spans="8:10" ht="15.75" customHeight="1">
      <c r="H720" s="3"/>
      <c r="I720" s="3"/>
      <c r="J720" s="3"/>
    </row>
    <row r="721" spans="8:10" ht="15.75" customHeight="1">
      <c r="H721" s="3"/>
      <c r="I721" s="3"/>
      <c r="J721" s="3"/>
    </row>
    <row r="722" spans="8:10" ht="15.75" customHeight="1">
      <c r="H722" s="3"/>
      <c r="I722" s="3"/>
      <c r="J722" s="3"/>
    </row>
    <row r="723" spans="8:10" ht="15.75" customHeight="1">
      <c r="H723" s="3"/>
      <c r="I723" s="3"/>
      <c r="J723" s="3"/>
    </row>
    <row r="724" spans="8:10" ht="15.75" customHeight="1">
      <c r="H724" s="3"/>
      <c r="I724" s="3"/>
      <c r="J724" s="3"/>
    </row>
    <row r="725" spans="8:10" ht="15.75" customHeight="1">
      <c r="H725" s="3"/>
      <c r="I725" s="3"/>
      <c r="J725" s="3"/>
    </row>
    <row r="726" spans="8:10" ht="15.75" customHeight="1">
      <c r="H726" s="3"/>
      <c r="I726" s="3"/>
      <c r="J726" s="3"/>
    </row>
    <row r="727" spans="8:10" ht="15.75" customHeight="1">
      <c r="H727" s="3"/>
      <c r="I727" s="3"/>
      <c r="J727" s="3"/>
    </row>
    <row r="728" spans="8:10" ht="15.75" customHeight="1">
      <c r="H728" s="3"/>
      <c r="I728" s="3"/>
      <c r="J728" s="3"/>
    </row>
    <row r="729" spans="8:10" ht="15.75" customHeight="1">
      <c r="H729" s="3"/>
      <c r="I729" s="3"/>
      <c r="J729" s="3"/>
    </row>
    <row r="730" spans="8:10" ht="15.75" customHeight="1">
      <c r="H730" s="3"/>
      <c r="I730" s="3"/>
      <c r="J730" s="3"/>
    </row>
    <row r="731" spans="8:10" ht="15.75" customHeight="1">
      <c r="H731" s="3"/>
      <c r="I731" s="3"/>
      <c r="J731" s="3"/>
    </row>
    <row r="732" spans="8:10" ht="15.75" customHeight="1">
      <c r="H732" s="3"/>
      <c r="I732" s="3"/>
      <c r="J732" s="3"/>
    </row>
    <row r="733" spans="8:10" ht="15.75" customHeight="1">
      <c r="H733" s="3"/>
      <c r="I733" s="3"/>
      <c r="J733" s="3"/>
    </row>
    <row r="734" spans="8:10" ht="15.75" customHeight="1">
      <c r="H734" s="3"/>
      <c r="I734" s="3"/>
      <c r="J734" s="3"/>
    </row>
    <row r="735" spans="8:10" ht="15.75" customHeight="1">
      <c r="H735" s="3"/>
      <c r="I735" s="3"/>
      <c r="J735" s="3"/>
    </row>
    <row r="736" spans="8:10" ht="15.75" customHeight="1">
      <c r="H736" s="3"/>
      <c r="I736" s="3"/>
      <c r="J736" s="3"/>
    </row>
    <row r="737" spans="8:10" ht="15.75" customHeight="1">
      <c r="H737" s="3"/>
      <c r="I737" s="3"/>
      <c r="J737" s="3"/>
    </row>
    <row r="738" spans="8:10" ht="15.75" customHeight="1">
      <c r="H738" s="3"/>
      <c r="I738" s="3"/>
      <c r="J738" s="3"/>
    </row>
    <row r="739" spans="8:10" ht="15.75" customHeight="1">
      <c r="H739" s="3"/>
      <c r="I739" s="3"/>
      <c r="J739" s="3"/>
    </row>
    <row r="740" spans="8:10" ht="15.75" customHeight="1">
      <c r="H740" s="3"/>
      <c r="I740" s="3"/>
      <c r="J740" s="3"/>
    </row>
    <row r="741" spans="8:10" ht="15.75" customHeight="1">
      <c r="H741" s="3"/>
      <c r="I741" s="3"/>
      <c r="J741" s="3"/>
    </row>
    <row r="742" spans="8:10" ht="15.75" customHeight="1">
      <c r="H742" s="3"/>
      <c r="I742" s="3"/>
      <c r="J742" s="3"/>
    </row>
    <row r="743" spans="8:10" ht="15.75" customHeight="1">
      <c r="H743" s="3"/>
      <c r="I743" s="3"/>
      <c r="J743" s="3"/>
    </row>
    <row r="744" spans="8:10" ht="15.75" customHeight="1">
      <c r="H744" s="3"/>
      <c r="I744" s="3"/>
      <c r="J744" s="3"/>
    </row>
    <row r="745" spans="8:10" ht="15.75" customHeight="1">
      <c r="H745" s="3"/>
      <c r="I745" s="3"/>
      <c r="J745" s="3"/>
    </row>
    <row r="746" spans="8:10" ht="15.75" customHeight="1">
      <c r="H746" s="3"/>
      <c r="I746" s="3"/>
      <c r="J746" s="3"/>
    </row>
    <row r="747" spans="8:10" ht="15.75" customHeight="1">
      <c r="H747" s="3"/>
      <c r="I747" s="3"/>
      <c r="J747" s="3"/>
    </row>
    <row r="748" spans="8:10" ht="15.75" customHeight="1">
      <c r="H748" s="3"/>
      <c r="I748" s="3"/>
      <c r="J748" s="3"/>
    </row>
    <row r="749" spans="8:10" ht="15.75" customHeight="1">
      <c r="H749" s="3"/>
      <c r="I749" s="3"/>
      <c r="J749" s="3"/>
    </row>
    <row r="750" spans="8:10" ht="15.75" customHeight="1">
      <c r="H750" s="3"/>
      <c r="I750" s="3"/>
      <c r="J750" s="3"/>
    </row>
    <row r="751" spans="8:10" ht="15.75" customHeight="1">
      <c r="H751" s="3"/>
      <c r="I751" s="3"/>
      <c r="J751" s="3"/>
    </row>
    <row r="752" spans="8:10" ht="15.75" customHeight="1">
      <c r="H752" s="3"/>
      <c r="I752" s="3"/>
      <c r="J752" s="3"/>
    </row>
    <row r="753" spans="8:10" ht="15.75" customHeight="1">
      <c r="H753" s="3"/>
      <c r="I753" s="3"/>
      <c r="J753" s="3"/>
    </row>
    <row r="754" spans="8:10" ht="15.75" customHeight="1">
      <c r="H754" s="3"/>
      <c r="I754" s="3"/>
      <c r="J754" s="3"/>
    </row>
    <row r="755" spans="8:10" ht="15.75" customHeight="1">
      <c r="H755" s="3"/>
      <c r="I755" s="3"/>
      <c r="J755" s="3"/>
    </row>
    <row r="756" spans="8:10" ht="15.75" customHeight="1">
      <c r="H756" s="3"/>
      <c r="I756" s="3"/>
      <c r="J756" s="3"/>
    </row>
    <row r="757" spans="8:10" ht="15.75" customHeight="1">
      <c r="H757" s="3"/>
      <c r="I757" s="3"/>
      <c r="J757" s="3"/>
    </row>
    <row r="758" spans="8:10" ht="15.75" customHeight="1">
      <c r="H758" s="3"/>
      <c r="I758" s="3"/>
      <c r="J758" s="3"/>
    </row>
    <row r="759" spans="8:10" ht="15.75" customHeight="1">
      <c r="H759" s="3"/>
      <c r="I759" s="3"/>
      <c r="J759" s="3"/>
    </row>
    <row r="760" spans="8:10" ht="15.75" customHeight="1">
      <c r="H760" s="3"/>
      <c r="I760" s="3"/>
      <c r="J760" s="3"/>
    </row>
    <row r="761" spans="8:10" ht="15.75" customHeight="1">
      <c r="H761" s="3"/>
      <c r="I761" s="3"/>
      <c r="J761" s="3"/>
    </row>
    <row r="762" spans="8:10" ht="15.75" customHeight="1">
      <c r="H762" s="3"/>
      <c r="I762" s="3"/>
      <c r="J762" s="3"/>
    </row>
    <row r="763" spans="8:10" ht="15.75" customHeight="1">
      <c r="H763" s="3"/>
      <c r="I763" s="3"/>
      <c r="J763" s="3"/>
    </row>
    <row r="764" spans="8:10" ht="15.75" customHeight="1">
      <c r="H764" s="3"/>
      <c r="I764" s="3"/>
      <c r="J764" s="3"/>
    </row>
    <row r="765" spans="8:10" ht="15.75" customHeight="1">
      <c r="H765" s="3"/>
      <c r="I765" s="3"/>
      <c r="J765" s="3"/>
    </row>
    <row r="766" spans="8:10" ht="15.75" customHeight="1">
      <c r="H766" s="3"/>
      <c r="I766" s="3"/>
      <c r="J766" s="3"/>
    </row>
    <row r="767" spans="8:10" ht="15.75" customHeight="1">
      <c r="H767" s="3"/>
      <c r="I767" s="3"/>
      <c r="J767" s="3"/>
    </row>
    <row r="768" spans="8:10" ht="15.75" customHeight="1">
      <c r="H768" s="3"/>
      <c r="I768" s="3"/>
      <c r="J768" s="3"/>
    </row>
    <row r="769" spans="8:10" ht="15.75" customHeight="1">
      <c r="H769" s="3"/>
      <c r="I769" s="3"/>
      <c r="J769" s="3"/>
    </row>
    <row r="770" spans="8:10" ht="15.75" customHeight="1">
      <c r="H770" s="3"/>
      <c r="I770" s="3"/>
      <c r="J770" s="3"/>
    </row>
    <row r="771" spans="8:10" ht="15.75" customHeight="1">
      <c r="H771" s="3"/>
      <c r="I771" s="3"/>
      <c r="J771" s="3"/>
    </row>
    <row r="772" spans="8:10" ht="15.75" customHeight="1">
      <c r="H772" s="3"/>
      <c r="I772" s="3"/>
      <c r="J772" s="3"/>
    </row>
    <row r="773" spans="8:10" ht="15.75" customHeight="1">
      <c r="H773" s="3"/>
      <c r="I773" s="3"/>
      <c r="J773" s="3"/>
    </row>
    <row r="774" spans="8:10" ht="15.75" customHeight="1">
      <c r="H774" s="3"/>
      <c r="I774" s="3"/>
      <c r="J774" s="3"/>
    </row>
    <row r="775" spans="8:10" ht="15.75" customHeight="1">
      <c r="H775" s="3"/>
      <c r="I775" s="3"/>
      <c r="J775" s="3"/>
    </row>
    <row r="776" spans="8:10" ht="15.75" customHeight="1">
      <c r="H776" s="3"/>
      <c r="I776" s="3"/>
      <c r="J776" s="3"/>
    </row>
    <row r="777" spans="8:10" ht="15.75" customHeight="1">
      <c r="H777" s="3"/>
      <c r="I777" s="3"/>
      <c r="J777" s="3"/>
    </row>
    <row r="778" spans="8:10" ht="15.75" customHeight="1">
      <c r="H778" s="3"/>
      <c r="I778" s="3"/>
      <c r="J778" s="3"/>
    </row>
    <row r="779" spans="8:10" ht="15.75" customHeight="1">
      <c r="H779" s="3"/>
      <c r="I779" s="3"/>
      <c r="J779" s="3"/>
    </row>
    <row r="780" spans="8:10" ht="15.75" customHeight="1">
      <c r="H780" s="3"/>
      <c r="I780" s="3"/>
      <c r="J780" s="3"/>
    </row>
    <row r="781" spans="8:10" ht="15.75" customHeight="1">
      <c r="H781" s="3"/>
      <c r="I781" s="3"/>
      <c r="J781" s="3"/>
    </row>
    <row r="782" spans="8:10" ht="15.75" customHeight="1">
      <c r="H782" s="3"/>
      <c r="I782" s="3"/>
      <c r="J782" s="3"/>
    </row>
    <row r="783" spans="8:10" ht="15.75" customHeight="1">
      <c r="H783" s="3"/>
      <c r="I783" s="3"/>
      <c r="J783" s="3"/>
    </row>
    <row r="784" spans="8:10" ht="15.75" customHeight="1">
      <c r="H784" s="3"/>
      <c r="I784" s="3"/>
      <c r="J784" s="3"/>
    </row>
    <row r="785" spans="8:10" ht="15.75" customHeight="1">
      <c r="H785" s="3"/>
      <c r="I785" s="3"/>
      <c r="J785" s="3"/>
    </row>
    <row r="786" spans="8:10" ht="15.75" customHeight="1">
      <c r="H786" s="3"/>
      <c r="I786" s="3"/>
      <c r="J786" s="3"/>
    </row>
    <row r="787" spans="8:10" ht="15.75" customHeight="1">
      <c r="H787" s="3"/>
      <c r="I787" s="3"/>
      <c r="J787" s="3"/>
    </row>
    <row r="788" spans="8:10" ht="15.75" customHeight="1">
      <c r="H788" s="3"/>
      <c r="I788" s="3"/>
      <c r="J788" s="3"/>
    </row>
    <row r="789" spans="8:10" ht="15.75" customHeight="1">
      <c r="H789" s="3"/>
      <c r="I789" s="3"/>
      <c r="J789" s="3"/>
    </row>
    <row r="790" spans="8:10" ht="15.75" customHeight="1">
      <c r="H790" s="3"/>
      <c r="I790" s="3"/>
      <c r="J790" s="3"/>
    </row>
    <row r="791" spans="8:10" ht="15.75" customHeight="1">
      <c r="H791" s="3"/>
      <c r="I791" s="3"/>
      <c r="J791" s="3"/>
    </row>
    <row r="792" spans="8:10" ht="15.75" customHeight="1">
      <c r="H792" s="3"/>
      <c r="I792" s="3"/>
      <c r="J792" s="3"/>
    </row>
    <row r="793" spans="8:10" ht="15.75" customHeight="1">
      <c r="H793" s="3"/>
      <c r="I793" s="3"/>
      <c r="J793" s="3"/>
    </row>
    <row r="794" spans="8:10" ht="15.75" customHeight="1">
      <c r="H794" s="3"/>
      <c r="I794" s="3"/>
      <c r="J794" s="3"/>
    </row>
    <row r="795" spans="8:10" ht="15.75" customHeight="1">
      <c r="H795" s="3"/>
      <c r="I795" s="3"/>
      <c r="J795" s="3"/>
    </row>
    <row r="796" spans="8:10" ht="15.75" customHeight="1">
      <c r="H796" s="3"/>
      <c r="I796" s="3"/>
      <c r="J796" s="3"/>
    </row>
    <row r="797" spans="8:10" ht="15.75" customHeight="1">
      <c r="H797" s="3"/>
      <c r="I797" s="3"/>
      <c r="J797" s="3"/>
    </row>
    <row r="798" spans="8:10" ht="15.75" customHeight="1">
      <c r="H798" s="3"/>
      <c r="I798" s="3"/>
      <c r="J798" s="3"/>
    </row>
    <row r="799" spans="8:10" ht="15.75" customHeight="1">
      <c r="H799" s="3"/>
      <c r="I799" s="3"/>
      <c r="J799" s="3"/>
    </row>
    <row r="800" spans="8:10" ht="15.75" customHeight="1">
      <c r="H800" s="3"/>
      <c r="I800" s="3"/>
      <c r="J800" s="3"/>
    </row>
    <row r="801" spans="8:10" ht="15.75" customHeight="1">
      <c r="H801" s="3"/>
      <c r="I801" s="3"/>
      <c r="J801" s="3"/>
    </row>
    <row r="802" spans="8:10" ht="15.75" customHeight="1">
      <c r="H802" s="3"/>
      <c r="I802" s="3"/>
      <c r="J802" s="3"/>
    </row>
    <row r="803" spans="8:10" ht="15.75" customHeight="1">
      <c r="H803" s="3"/>
      <c r="I803" s="3"/>
      <c r="J803" s="3"/>
    </row>
    <row r="804" spans="8:10" ht="15.75" customHeight="1">
      <c r="H804" s="3"/>
      <c r="I804" s="3"/>
      <c r="J804" s="3"/>
    </row>
    <row r="805" spans="8:10" ht="15.75" customHeight="1">
      <c r="H805" s="3"/>
      <c r="I805" s="3"/>
      <c r="J805" s="3"/>
    </row>
    <row r="806" spans="8:10" ht="15.75" customHeight="1">
      <c r="H806" s="3"/>
      <c r="I806" s="3"/>
      <c r="J806" s="3"/>
    </row>
    <row r="807" spans="8:10" ht="15.75" customHeight="1">
      <c r="H807" s="3"/>
      <c r="I807" s="3"/>
      <c r="J807" s="3"/>
    </row>
    <row r="808" spans="8:10" ht="15.75" customHeight="1">
      <c r="H808" s="3"/>
      <c r="I808" s="3"/>
      <c r="J808" s="3"/>
    </row>
    <row r="809" spans="8:10" ht="15.75" customHeight="1">
      <c r="H809" s="3"/>
      <c r="I809" s="3"/>
      <c r="J809" s="3"/>
    </row>
    <row r="810" spans="8:10" ht="15.75" customHeight="1">
      <c r="H810" s="3"/>
      <c r="I810" s="3"/>
      <c r="J810" s="3"/>
    </row>
    <row r="811" spans="8:10" ht="15.75" customHeight="1">
      <c r="H811" s="3"/>
      <c r="I811" s="3"/>
      <c r="J811" s="3"/>
    </row>
    <row r="812" spans="8:10" ht="15.75" customHeight="1">
      <c r="H812" s="3"/>
      <c r="I812" s="3"/>
      <c r="J812" s="3"/>
    </row>
    <row r="813" spans="8:10" ht="15.75" customHeight="1">
      <c r="H813" s="3"/>
      <c r="I813" s="3"/>
      <c r="J813" s="3"/>
    </row>
    <row r="814" spans="8:10" ht="15.75" customHeight="1">
      <c r="H814" s="3"/>
      <c r="I814" s="3"/>
      <c r="J814" s="3"/>
    </row>
    <row r="815" spans="8:10" ht="15.75" customHeight="1">
      <c r="H815" s="3"/>
      <c r="I815" s="3"/>
      <c r="J815" s="3"/>
    </row>
    <row r="816" spans="8:10" ht="15.75" customHeight="1">
      <c r="H816" s="3"/>
      <c r="I816" s="3"/>
      <c r="J816" s="3"/>
    </row>
    <row r="817" spans="8:10" ht="15.75" customHeight="1">
      <c r="H817" s="3"/>
      <c r="I817" s="3"/>
      <c r="J817" s="3"/>
    </row>
    <row r="818" spans="8:10" ht="15.75" customHeight="1">
      <c r="H818" s="3"/>
      <c r="I818" s="3"/>
      <c r="J818" s="3"/>
    </row>
    <row r="819" spans="8:10" ht="15.75" customHeight="1">
      <c r="H819" s="3"/>
      <c r="I819" s="3"/>
      <c r="J819" s="3"/>
    </row>
    <row r="820" spans="8:10" ht="15.75" customHeight="1">
      <c r="H820" s="3"/>
      <c r="I820" s="3"/>
      <c r="J820" s="3"/>
    </row>
    <row r="821" spans="8:10" ht="15.75" customHeight="1">
      <c r="H821" s="3"/>
      <c r="I821" s="3"/>
      <c r="J821" s="3"/>
    </row>
    <row r="822" spans="8:10" ht="15.75" customHeight="1">
      <c r="H822" s="3"/>
      <c r="I822" s="3"/>
      <c r="J822" s="3"/>
    </row>
    <row r="823" spans="8:10" ht="15.75" customHeight="1">
      <c r="H823" s="3"/>
      <c r="I823" s="3"/>
      <c r="J823" s="3"/>
    </row>
    <row r="824" spans="8:10" ht="15.75" customHeight="1">
      <c r="H824" s="3"/>
      <c r="I824" s="3"/>
      <c r="J824" s="3"/>
    </row>
    <row r="825" spans="8:10" ht="15.75" customHeight="1">
      <c r="H825" s="3"/>
      <c r="I825" s="3"/>
      <c r="J825" s="3"/>
    </row>
    <row r="826" spans="8:10" ht="15.75" customHeight="1">
      <c r="H826" s="3"/>
      <c r="I826" s="3"/>
      <c r="J826" s="3"/>
    </row>
    <row r="827" spans="8:10" ht="15.75" customHeight="1">
      <c r="H827" s="3"/>
      <c r="I827" s="3"/>
      <c r="J827" s="3"/>
    </row>
    <row r="828" spans="8:10" ht="15.75" customHeight="1">
      <c r="H828" s="3"/>
      <c r="I828" s="3"/>
      <c r="J828" s="3"/>
    </row>
    <row r="829" spans="8:10" ht="15.75" customHeight="1">
      <c r="H829" s="3"/>
      <c r="I829" s="3"/>
      <c r="J829" s="3"/>
    </row>
    <row r="830" spans="8:10" ht="15.75" customHeight="1">
      <c r="H830" s="3"/>
      <c r="I830" s="3"/>
      <c r="J830" s="3"/>
    </row>
    <row r="831" spans="8:10" ht="15.75" customHeight="1">
      <c r="H831" s="3"/>
      <c r="I831" s="3"/>
      <c r="J831" s="3"/>
    </row>
    <row r="832" spans="8:10" ht="15.75" customHeight="1">
      <c r="H832" s="3"/>
      <c r="I832" s="3"/>
      <c r="J832" s="3"/>
    </row>
    <row r="833" spans="8:10" ht="15.75" customHeight="1">
      <c r="H833" s="3"/>
      <c r="I833" s="3"/>
      <c r="J833" s="3"/>
    </row>
    <row r="834" spans="8:10" ht="15.75" customHeight="1">
      <c r="H834" s="3"/>
      <c r="I834" s="3"/>
      <c r="J834" s="3"/>
    </row>
    <row r="835" spans="8:10" ht="15.75" customHeight="1">
      <c r="H835" s="3"/>
      <c r="I835" s="3"/>
      <c r="J835" s="3"/>
    </row>
    <row r="836" spans="8:10" ht="15.75" customHeight="1">
      <c r="H836" s="3"/>
      <c r="I836" s="3"/>
      <c r="J836" s="3"/>
    </row>
    <row r="837" spans="8:10" ht="15.75" customHeight="1">
      <c r="H837" s="3"/>
      <c r="I837" s="3"/>
      <c r="J837" s="3"/>
    </row>
    <row r="838" spans="8:10" ht="15.75" customHeight="1">
      <c r="H838" s="3"/>
      <c r="I838" s="3"/>
      <c r="J838" s="3"/>
    </row>
    <row r="839" spans="8:10" ht="15.75" customHeight="1">
      <c r="H839" s="3"/>
      <c r="I839" s="3"/>
      <c r="J839" s="3"/>
    </row>
    <row r="840" spans="8:10" ht="15.75" customHeight="1">
      <c r="H840" s="3"/>
      <c r="I840" s="3"/>
      <c r="J840" s="3"/>
    </row>
    <row r="841" spans="8:10" ht="15.75" customHeight="1">
      <c r="H841" s="3"/>
      <c r="I841" s="3"/>
      <c r="J841" s="3"/>
    </row>
    <row r="842" spans="8:10" ht="15.75" customHeight="1">
      <c r="H842" s="3"/>
      <c r="I842" s="3"/>
      <c r="J842" s="3"/>
    </row>
    <row r="843" spans="8:10" ht="15.75" customHeight="1">
      <c r="H843" s="3"/>
      <c r="I843" s="3"/>
      <c r="J843" s="3"/>
    </row>
    <row r="844" spans="8:10" ht="15.75" customHeight="1">
      <c r="H844" s="3"/>
      <c r="I844" s="3"/>
      <c r="J844" s="3"/>
    </row>
    <row r="845" spans="8:10" ht="15.75" customHeight="1">
      <c r="H845" s="3"/>
      <c r="I845" s="3"/>
      <c r="J845" s="3"/>
    </row>
    <row r="846" spans="8:10" ht="15.75" customHeight="1">
      <c r="H846" s="3"/>
      <c r="I846" s="3"/>
      <c r="J846" s="3"/>
    </row>
    <row r="847" spans="8:10" ht="15.75" customHeight="1">
      <c r="H847" s="3"/>
      <c r="I847" s="3"/>
      <c r="J847" s="3"/>
    </row>
    <row r="848" spans="8:10" ht="15.75" customHeight="1">
      <c r="H848" s="3"/>
      <c r="I848" s="3"/>
      <c r="J848" s="3"/>
    </row>
    <row r="849" spans="8:10" ht="15.75" customHeight="1">
      <c r="H849" s="3"/>
      <c r="I849" s="3"/>
      <c r="J849" s="3"/>
    </row>
    <row r="850" spans="8:10" ht="15.75" customHeight="1">
      <c r="H850" s="3"/>
      <c r="I850" s="3"/>
      <c r="J850" s="3"/>
    </row>
    <row r="851" spans="8:10" ht="15.75" customHeight="1">
      <c r="H851" s="3"/>
      <c r="I851" s="3"/>
      <c r="J851" s="3"/>
    </row>
    <row r="852" spans="8:10" ht="15.75" customHeight="1">
      <c r="H852" s="3"/>
      <c r="I852" s="3"/>
      <c r="J852" s="3"/>
    </row>
    <row r="853" spans="8:10" ht="15.75" customHeight="1">
      <c r="H853" s="3"/>
      <c r="I853" s="3"/>
      <c r="J853" s="3"/>
    </row>
    <row r="854" spans="8:10" ht="15.75" customHeight="1">
      <c r="H854" s="3"/>
      <c r="I854" s="3"/>
      <c r="J854" s="3"/>
    </row>
    <row r="855" spans="8:10" ht="15.75" customHeight="1">
      <c r="H855" s="3"/>
      <c r="I855" s="3"/>
      <c r="J855" s="3"/>
    </row>
    <row r="856" spans="8:10" ht="15.75" customHeight="1">
      <c r="H856" s="3"/>
      <c r="I856" s="3"/>
      <c r="J856" s="3"/>
    </row>
    <row r="857" spans="8:10" ht="15.75" customHeight="1">
      <c r="H857" s="3"/>
      <c r="I857" s="3"/>
      <c r="J857" s="3"/>
    </row>
    <row r="858" spans="8:10" ht="15.75" customHeight="1">
      <c r="H858" s="3"/>
      <c r="I858" s="3"/>
      <c r="J858" s="3"/>
    </row>
    <row r="859" spans="8:10" ht="15.75" customHeight="1">
      <c r="H859" s="3"/>
      <c r="I859" s="3"/>
      <c r="J859" s="3"/>
    </row>
    <row r="860" spans="8:10" ht="15.75" customHeight="1">
      <c r="H860" s="3"/>
      <c r="I860" s="3"/>
      <c r="J860" s="3"/>
    </row>
    <row r="861" spans="8:10" ht="15.75" customHeight="1">
      <c r="H861" s="3"/>
      <c r="I861" s="3"/>
      <c r="J861" s="3"/>
    </row>
    <row r="862" spans="8:10" ht="15.75" customHeight="1">
      <c r="H862" s="3"/>
      <c r="I862" s="3"/>
      <c r="J862" s="3"/>
    </row>
    <row r="863" spans="8:10" ht="15.75" customHeight="1">
      <c r="H863" s="3"/>
      <c r="I863" s="3"/>
      <c r="J863" s="3"/>
    </row>
    <row r="864" spans="8:10" ht="15.75" customHeight="1">
      <c r="H864" s="3"/>
      <c r="I864" s="3"/>
      <c r="J864" s="3"/>
    </row>
    <row r="865" spans="8:10" ht="15.75" customHeight="1">
      <c r="H865" s="3"/>
      <c r="I865" s="3"/>
      <c r="J865" s="3"/>
    </row>
    <row r="866" spans="8:10" ht="15.75" customHeight="1">
      <c r="H866" s="3"/>
      <c r="I866" s="3"/>
      <c r="J866" s="3"/>
    </row>
    <row r="867" spans="8:10" ht="15.75" customHeight="1">
      <c r="H867" s="3"/>
      <c r="I867" s="3"/>
      <c r="J867" s="3"/>
    </row>
    <row r="868" spans="8:10" ht="15.75" customHeight="1">
      <c r="H868" s="3"/>
      <c r="I868" s="3"/>
      <c r="J868" s="3"/>
    </row>
    <row r="869" spans="8:10" ht="15.75" customHeight="1">
      <c r="H869" s="3"/>
      <c r="I869" s="3"/>
      <c r="J869" s="3"/>
    </row>
    <row r="870" spans="8:10" ht="15.75" customHeight="1">
      <c r="H870" s="3"/>
      <c r="I870" s="3"/>
      <c r="J870" s="3"/>
    </row>
    <row r="871" spans="8:10" ht="15.75" customHeight="1">
      <c r="H871" s="3"/>
      <c r="I871" s="3"/>
      <c r="J871" s="3"/>
    </row>
    <row r="872" spans="8:10" ht="15.75" customHeight="1">
      <c r="H872" s="3"/>
      <c r="I872" s="3"/>
      <c r="J872" s="3"/>
    </row>
    <row r="873" spans="8:10" ht="15.75" customHeight="1">
      <c r="H873" s="3"/>
      <c r="I873" s="3"/>
      <c r="J873" s="3"/>
    </row>
    <row r="874" spans="8:10" ht="15.75" customHeight="1">
      <c r="H874" s="3"/>
      <c r="I874" s="3"/>
      <c r="J874" s="3"/>
    </row>
    <row r="875" spans="8:10" ht="15.75" customHeight="1">
      <c r="H875" s="3"/>
      <c r="I875" s="3"/>
      <c r="J875" s="3"/>
    </row>
    <row r="876" spans="8:10" ht="15.75" customHeight="1">
      <c r="H876" s="3"/>
      <c r="I876" s="3"/>
      <c r="J876" s="3"/>
    </row>
    <row r="877" spans="8:10" ht="15.75" customHeight="1">
      <c r="H877" s="3"/>
      <c r="I877" s="3"/>
      <c r="J877" s="3"/>
    </row>
    <row r="878" spans="8:10" ht="15.75" customHeight="1">
      <c r="H878" s="3"/>
      <c r="I878" s="3"/>
      <c r="J878" s="3"/>
    </row>
    <row r="879" spans="8:10" ht="15.75" customHeight="1">
      <c r="H879" s="3"/>
      <c r="I879" s="3"/>
      <c r="J879" s="3"/>
    </row>
    <row r="880" spans="8:10" ht="15.75" customHeight="1">
      <c r="H880" s="3"/>
      <c r="I880" s="3"/>
      <c r="J880" s="3"/>
    </row>
    <row r="881" spans="8:10" ht="15.75" customHeight="1">
      <c r="H881" s="3"/>
      <c r="I881" s="3"/>
      <c r="J881" s="3"/>
    </row>
    <row r="882" spans="8:10" ht="15.75" customHeight="1">
      <c r="H882" s="3"/>
      <c r="I882" s="3"/>
      <c r="J882" s="3"/>
    </row>
    <row r="883" spans="8:10" ht="15.75" customHeight="1">
      <c r="H883" s="3"/>
      <c r="I883" s="3"/>
      <c r="J883" s="3"/>
    </row>
    <row r="884" spans="8:10" ht="15.75" customHeight="1">
      <c r="H884" s="3"/>
      <c r="I884" s="3"/>
      <c r="J884" s="3"/>
    </row>
    <row r="885" spans="8:10" ht="15.75" customHeight="1">
      <c r="H885" s="3"/>
      <c r="I885" s="3"/>
      <c r="J885" s="3"/>
    </row>
    <row r="886" spans="8:10" ht="15.75" customHeight="1">
      <c r="H886" s="3"/>
      <c r="I886" s="3"/>
      <c r="J886" s="3"/>
    </row>
    <row r="887" spans="8:10" ht="15.75" customHeight="1">
      <c r="H887" s="3"/>
      <c r="I887" s="3"/>
      <c r="J887" s="3"/>
    </row>
    <row r="888" spans="8:10" ht="15.75" customHeight="1">
      <c r="H888" s="3"/>
      <c r="I888" s="3"/>
      <c r="J888" s="3"/>
    </row>
    <row r="889" spans="8:10" ht="15.75" customHeight="1">
      <c r="H889" s="3"/>
      <c r="I889" s="3"/>
      <c r="J889" s="3"/>
    </row>
    <row r="890" spans="8:10" ht="15.75" customHeight="1">
      <c r="H890" s="3"/>
      <c r="I890" s="3"/>
      <c r="J890" s="3"/>
    </row>
    <row r="891" spans="8:10" ht="15.75" customHeight="1">
      <c r="H891" s="3"/>
      <c r="I891" s="3"/>
      <c r="J891" s="3"/>
    </row>
    <row r="892" spans="8:10" ht="15.75" customHeight="1">
      <c r="H892" s="3"/>
      <c r="I892" s="3"/>
      <c r="J892" s="3"/>
    </row>
    <row r="893" spans="8:10" ht="15.75" customHeight="1">
      <c r="H893" s="3"/>
      <c r="I893" s="3"/>
      <c r="J893" s="3"/>
    </row>
    <row r="894" spans="8:10" ht="15.75" customHeight="1">
      <c r="H894" s="3"/>
      <c r="I894" s="3"/>
      <c r="J894" s="3"/>
    </row>
    <row r="895" spans="8:10" ht="15.75" customHeight="1">
      <c r="H895" s="3"/>
      <c r="I895" s="3"/>
      <c r="J895" s="3"/>
    </row>
    <row r="896" spans="8:10" ht="15.75" customHeight="1">
      <c r="H896" s="3"/>
      <c r="I896" s="3"/>
      <c r="J896" s="3"/>
    </row>
    <row r="897" spans="8:10" ht="15.75" customHeight="1">
      <c r="H897" s="3"/>
      <c r="I897" s="3"/>
      <c r="J897" s="3"/>
    </row>
    <row r="898" spans="8:10" ht="15.75" customHeight="1">
      <c r="H898" s="3"/>
      <c r="I898" s="3"/>
      <c r="J898" s="3"/>
    </row>
    <row r="899" spans="8:10" ht="15.75" customHeight="1">
      <c r="H899" s="3"/>
      <c r="I899" s="3"/>
      <c r="J899" s="3"/>
    </row>
    <row r="900" spans="8:10" ht="15.75" customHeight="1">
      <c r="H900" s="3"/>
      <c r="I900" s="3"/>
      <c r="J900" s="3"/>
    </row>
    <row r="901" spans="8:10" ht="15.75" customHeight="1">
      <c r="H901" s="3"/>
      <c r="I901" s="3"/>
      <c r="J901" s="3"/>
    </row>
    <row r="902" spans="8:10" ht="15.75" customHeight="1">
      <c r="H902" s="3"/>
      <c r="I902" s="3"/>
      <c r="J902" s="3"/>
    </row>
    <row r="903" spans="8:10" ht="15.75" customHeight="1">
      <c r="H903" s="3"/>
      <c r="I903" s="3"/>
      <c r="J903" s="3"/>
    </row>
    <row r="904" spans="8:10" ht="15.75" customHeight="1">
      <c r="H904" s="3"/>
      <c r="I904" s="3"/>
      <c r="J904" s="3"/>
    </row>
    <row r="905" spans="8:10" ht="15.75" customHeight="1">
      <c r="H905" s="3"/>
      <c r="I905" s="3"/>
      <c r="J905" s="3"/>
    </row>
    <row r="906" spans="8:10" ht="15.75" customHeight="1">
      <c r="H906" s="3"/>
      <c r="I906" s="3"/>
      <c r="J906" s="3"/>
    </row>
    <row r="907" spans="8:10" ht="15.75" customHeight="1">
      <c r="H907" s="3"/>
      <c r="I907" s="3"/>
      <c r="J907" s="3"/>
    </row>
    <row r="908" spans="8:10" ht="15.75" customHeight="1">
      <c r="H908" s="3"/>
      <c r="I908" s="3"/>
      <c r="J908" s="3"/>
    </row>
    <row r="909" spans="8:10" ht="15.75" customHeight="1">
      <c r="H909" s="3"/>
      <c r="I909" s="3"/>
      <c r="J909" s="3"/>
    </row>
    <row r="910" spans="8:10" ht="15.75" customHeight="1">
      <c r="H910" s="3"/>
      <c r="I910" s="3"/>
      <c r="J910" s="3"/>
    </row>
    <row r="911" spans="8:10" ht="15.75" customHeight="1">
      <c r="H911" s="3"/>
      <c r="I911" s="3"/>
      <c r="J911" s="3"/>
    </row>
    <row r="912" spans="8:10" ht="15.75" customHeight="1">
      <c r="H912" s="3"/>
      <c r="I912" s="3"/>
      <c r="J912" s="3"/>
    </row>
    <row r="913" spans="8:10" ht="15.75" customHeight="1">
      <c r="H913" s="3"/>
      <c r="I913" s="3"/>
      <c r="J913" s="3"/>
    </row>
    <row r="914" spans="8:10" ht="15.75" customHeight="1">
      <c r="H914" s="3"/>
      <c r="I914" s="3"/>
      <c r="J914" s="3"/>
    </row>
    <row r="915" spans="8:10" ht="15.75" customHeight="1">
      <c r="H915" s="3"/>
      <c r="I915" s="3"/>
      <c r="J915" s="3"/>
    </row>
    <row r="916" spans="8:10" ht="15.75" customHeight="1">
      <c r="H916" s="3"/>
      <c r="I916" s="3"/>
      <c r="J916" s="3"/>
    </row>
    <row r="917" spans="8:10" ht="15.75" customHeight="1">
      <c r="H917" s="3"/>
      <c r="I917" s="3"/>
      <c r="J917" s="3"/>
    </row>
    <row r="918" spans="8:10" ht="15.75" customHeight="1">
      <c r="H918" s="3"/>
      <c r="I918" s="3"/>
      <c r="J918" s="3"/>
    </row>
    <row r="919" spans="8:10" ht="15.75" customHeight="1">
      <c r="H919" s="3"/>
      <c r="I919" s="3"/>
      <c r="J919" s="3"/>
    </row>
    <row r="920" spans="8:10" ht="15.75" customHeight="1">
      <c r="H920" s="3"/>
      <c r="I920" s="3"/>
      <c r="J920" s="3"/>
    </row>
    <row r="921" spans="8:10" ht="15.75" customHeight="1">
      <c r="H921" s="3"/>
      <c r="I921" s="3"/>
      <c r="J921" s="3"/>
    </row>
    <row r="922" spans="8:10" ht="15.75" customHeight="1">
      <c r="H922" s="3"/>
      <c r="I922" s="3"/>
      <c r="J922" s="3"/>
    </row>
    <row r="923" spans="8:10" ht="15.75" customHeight="1">
      <c r="H923" s="3"/>
      <c r="I923" s="3"/>
      <c r="J923" s="3"/>
    </row>
    <row r="924" spans="8:10" ht="15.75" customHeight="1">
      <c r="H924" s="3"/>
      <c r="I924" s="3"/>
      <c r="J924" s="3"/>
    </row>
    <row r="925" spans="8:10" ht="15.75" customHeight="1">
      <c r="H925" s="3"/>
      <c r="I925" s="3"/>
      <c r="J925" s="3"/>
    </row>
    <row r="926" spans="8:10" ht="15.75" customHeight="1">
      <c r="H926" s="3"/>
      <c r="I926" s="3"/>
      <c r="J926" s="3"/>
    </row>
    <row r="927" spans="8:10" ht="15.75" customHeight="1">
      <c r="H927" s="3"/>
      <c r="I927" s="3"/>
      <c r="J927" s="3"/>
    </row>
    <row r="928" spans="8:10" ht="15.75" customHeight="1">
      <c r="H928" s="3"/>
      <c r="I928" s="3"/>
      <c r="J928" s="3"/>
    </row>
    <row r="929" spans="8:10" ht="15.75" customHeight="1">
      <c r="H929" s="3"/>
      <c r="I929" s="3"/>
      <c r="J929" s="3"/>
    </row>
    <row r="930" spans="8:10" ht="15.75" customHeight="1">
      <c r="H930" s="3"/>
      <c r="I930" s="3"/>
      <c r="J930" s="3"/>
    </row>
    <row r="931" spans="8:10" ht="15.75" customHeight="1">
      <c r="H931" s="3"/>
      <c r="I931" s="3"/>
      <c r="J931" s="3"/>
    </row>
    <row r="932" spans="8:10" ht="15.75" customHeight="1">
      <c r="H932" s="3"/>
      <c r="I932" s="3"/>
      <c r="J932" s="3"/>
    </row>
    <row r="933" spans="8:10" ht="15.75" customHeight="1">
      <c r="H933" s="3"/>
      <c r="I933" s="3"/>
      <c r="J933" s="3"/>
    </row>
    <row r="934" spans="8:10" ht="15.75" customHeight="1">
      <c r="H934" s="3"/>
      <c r="I934" s="3"/>
      <c r="J934" s="3"/>
    </row>
    <row r="935" spans="8:10" ht="15.75" customHeight="1">
      <c r="H935" s="3"/>
      <c r="I935" s="3"/>
      <c r="J935" s="3"/>
    </row>
    <row r="936" spans="8:10" ht="15.75" customHeight="1">
      <c r="H936" s="3"/>
      <c r="I936" s="3"/>
      <c r="J936" s="3"/>
    </row>
    <row r="937" spans="8:10" ht="15.75" customHeight="1">
      <c r="H937" s="3"/>
      <c r="I937" s="3"/>
      <c r="J937" s="3"/>
    </row>
    <row r="938" spans="8:10" ht="15.75" customHeight="1">
      <c r="H938" s="3"/>
      <c r="I938" s="3"/>
      <c r="J938" s="3"/>
    </row>
    <row r="939" spans="8:10" ht="15.75" customHeight="1">
      <c r="H939" s="3"/>
      <c r="I939" s="3"/>
      <c r="J939" s="3"/>
    </row>
    <row r="940" spans="8:10" ht="15.75" customHeight="1">
      <c r="H940" s="3"/>
      <c r="I940" s="3"/>
      <c r="J940" s="3"/>
    </row>
    <row r="941" spans="8:10" ht="15.75" customHeight="1">
      <c r="H941" s="3"/>
      <c r="I941" s="3"/>
      <c r="J941" s="3"/>
    </row>
    <row r="942" spans="8:10" ht="15.75" customHeight="1">
      <c r="H942" s="3"/>
      <c r="I942" s="3"/>
      <c r="J942" s="3"/>
    </row>
    <row r="943" spans="8:10" ht="15.75" customHeight="1">
      <c r="H943" s="3"/>
      <c r="I943" s="3"/>
      <c r="J943" s="3"/>
    </row>
    <row r="944" spans="8:10" ht="15.75" customHeight="1">
      <c r="H944" s="3"/>
      <c r="I944" s="3"/>
      <c r="J944" s="3"/>
    </row>
    <row r="945" spans="8:10" ht="15.75" customHeight="1">
      <c r="H945" s="3"/>
      <c r="I945" s="3"/>
      <c r="J945" s="3"/>
    </row>
    <row r="946" spans="8:10" ht="15.75" customHeight="1">
      <c r="H946" s="3"/>
      <c r="I946" s="3"/>
      <c r="J946" s="3"/>
    </row>
    <row r="947" spans="8:10" ht="15.75" customHeight="1">
      <c r="H947" s="3"/>
      <c r="I947" s="3"/>
      <c r="J947" s="3"/>
    </row>
    <row r="948" spans="8:10" ht="15.75" customHeight="1">
      <c r="H948" s="3"/>
      <c r="I948" s="3"/>
      <c r="J948" s="3"/>
    </row>
    <row r="949" spans="8:10" ht="15.75" customHeight="1">
      <c r="H949" s="3"/>
      <c r="I949" s="3"/>
      <c r="J949" s="3"/>
    </row>
    <row r="950" spans="8:10" ht="15.75" customHeight="1">
      <c r="H950" s="3"/>
      <c r="I950" s="3"/>
      <c r="J950" s="3"/>
    </row>
    <row r="951" spans="8:10" ht="15.75" customHeight="1">
      <c r="H951" s="3"/>
      <c r="I951" s="3"/>
      <c r="J951" s="3"/>
    </row>
    <row r="952" spans="8:10" ht="15.75" customHeight="1">
      <c r="H952" s="3"/>
      <c r="I952" s="3"/>
      <c r="J952" s="3"/>
    </row>
    <row r="953" spans="8:10" ht="15.75" customHeight="1">
      <c r="H953" s="3"/>
      <c r="I953" s="3"/>
      <c r="J953" s="3"/>
    </row>
    <row r="954" spans="8:10" ht="15.75" customHeight="1">
      <c r="H954" s="3"/>
      <c r="I954" s="3"/>
      <c r="J954" s="3"/>
    </row>
    <row r="955" spans="8:10" ht="15.75" customHeight="1">
      <c r="H955" s="3"/>
      <c r="I955" s="3"/>
      <c r="J955" s="3"/>
    </row>
    <row r="956" spans="8:10" ht="15.75" customHeight="1">
      <c r="H956" s="3"/>
      <c r="I956" s="3"/>
      <c r="J956" s="3"/>
    </row>
    <row r="957" spans="8:10" ht="15.75" customHeight="1">
      <c r="H957" s="3"/>
      <c r="I957" s="3"/>
      <c r="J957" s="3"/>
    </row>
    <row r="958" spans="8:10" ht="15.75" customHeight="1">
      <c r="H958" s="3"/>
      <c r="I958" s="3"/>
      <c r="J958" s="3"/>
    </row>
    <row r="959" spans="8:10" ht="15.75" customHeight="1">
      <c r="H959" s="3"/>
      <c r="I959" s="3"/>
      <c r="J959" s="3"/>
    </row>
    <row r="960" spans="8:10" ht="15.75" customHeight="1">
      <c r="H960" s="3"/>
      <c r="I960" s="3"/>
      <c r="J960" s="3"/>
    </row>
    <row r="961" spans="8:10" ht="15.75" customHeight="1">
      <c r="H961" s="3"/>
      <c r="I961" s="3"/>
      <c r="J961" s="3"/>
    </row>
    <row r="962" spans="8:10" ht="15.75" customHeight="1">
      <c r="H962" s="3"/>
      <c r="I962" s="3"/>
      <c r="J962" s="3"/>
    </row>
    <row r="963" spans="8:10" ht="15.75" customHeight="1">
      <c r="H963" s="3"/>
      <c r="I963" s="3"/>
      <c r="J963" s="3"/>
    </row>
    <row r="964" spans="8:10" ht="15.75" customHeight="1">
      <c r="H964" s="3"/>
      <c r="I964" s="3"/>
      <c r="J964" s="3"/>
    </row>
    <row r="965" spans="8:10" ht="15.75" customHeight="1">
      <c r="H965" s="3"/>
      <c r="I965" s="3"/>
      <c r="J965" s="3"/>
    </row>
    <row r="966" spans="8:10" ht="15.75" customHeight="1">
      <c r="H966" s="3"/>
      <c r="I966" s="3"/>
      <c r="J966" s="3"/>
    </row>
    <row r="967" spans="8:10" ht="15.75" customHeight="1">
      <c r="H967" s="3"/>
      <c r="I967" s="3"/>
      <c r="J967" s="3"/>
    </row>
    <row r="968" spans="8:10" ht="15.75" customHeight="1">
      <c r="H968" s="3"/>
      <c r="I968" s="3"/>
      <c r="J968" s="3"/>
    </row>
    <row r="969" spans="8:10" ht="15.75" customHeight="1">
      <c r="H969" s="3"/>
      <c r="I969" s="3"/>
      <c r="J969" s="3"/>
    </row>
    <row r="970" spans="8:10" ht="15.75" customHeight="1">
      <c r="H970" s="3"/>
      <c r="I970" s="3"/>
      <c r="J970" s="3"/>
    </row>
    <row r="971" spans="8:10" ht="15.75" customHeight="1">
      <c r="H971" s="3"/>
      <c r="I971" s="3"/>
      <c r="J971" s="3"/>
    </row>
    <row r="972" spans="8:10" ht="15.75" customHeight="1">
      <c r="H972" s="3"/>
      <c r="I972" s="3"/>
      <c r="J972" s="3"/>
    </row>
    <row r="973" spans="8:10" ht="15.75" customHeight="1">
      <c r="H973" s="3"/>
      <c r="I973" s="3"/>
      <c r="J973" s="3"/>
    </row>
    <row r="974" spans="8:10" ht="15.75" customHeight="1">
      <c r="H974" s="3"/>
      <c r="I974" s="3"/>
      <c r="J974" s="3"/>
    </row>
    <row r="975" spans="8:10" ht="15.75" customHeight="1">
      <c r="H975" s="3"/>
      <c r="I975" s="3"/>
      <c r="J975" s="3"/>
    </row>
    <row r="976" spans="8:10" ht="15.75" customHeight="1">
      <c r="H976" s="3"/>
      <c r="I976" s="3"/>
      <c r="J976" s="3"/>
    </row>
    <row r="977" spans="8:10" ht="15.75" customHeight="1">
      <c r="H977" s="3"/>
      <c r="I977" s="3"/>
      <c r="J977" s="3"/>
    </row>
    <row r="978" spans="8:10" ht="15.75" customHeight="1">
      <c r="H978" s="3"/>
      <c r="I978" s="3"/>
      <c r="J978" s="3"/>
    </row>
    <row r="979" spans="8:10" ht="15.75" customHeight="1">
      <c r="H979" s="3"/>
      <c r="I979" s="3"/>
      <c r="J979" s="3"/>
    </row>
    <row r="980" spans="8:10" ht="15.75" customHeight="1">
      <c r="H980" s="3"/>
      <c r="I980" s="3"/>
      <c r="J980" s="3"/>
    </row>
    <row r="981" spans="8:10" ht="15.75" customHeight="1">
      <c r="H981" s="3"/>
      <c r="I981" s="3"/>
      <c r="J981" s="3"/>
    </row>
    <row r="982" spans="8:10" ht="15.75" customHeight="1">
      <c r="H982" s="3"/>
      <c r="I982" s="3"/>
      <c r="J982" s="3"/>
    </row>
    <row r="983" spans="8:10" ht="15.75" customHeight="1">
      <c r="H983" s="3"/>
      <c r="I983" s="3"/>
      <c r="J983" s="3"/>
    </row>
    <row r="984" spans="8:10" ht="15.75" customHeight="1">
      <c r="H984" s="3"/>
      <c r="I984" s="3"/>
      <c r="J984" s="3"/>
    </row>
    <row r="985" spans="8:10" ht="15.75" customHeight="1">
      <c r="H985" s="3"/>
      <c r="I985" s="3"/>
      <c r="J985" s="3"/>
    </row>
    <row r="986" spans="8:10" ht="15.75" customHeight="1">
      <c r="H986" s="3"/>
      <c r="I986" s="3"/>
      <c r="J986" s="3"/>
    </row>
    <row r="987" spans="8:10" ht="15.75" customHeight="1">
      <c r="H987" s="3"/>
      <c r="I987" s="3"/>
      <c r="J987" s="3"/>
    </row>
    <row r="988" spans="8:10" ht="15.75" customHeight="1">
      <c r="H988" s="3"/>
      <c r="I988" s="3"/>
      <c r="J988" s="3"/>
    </row>
    <row r="989" spans="8:10" ht="15.75" customHeight="1">
      <c r="H989" s="3"/>
      <c r="I989" s="3"/>
      <c r="J989" s="3"/>
    </row>
    <row r="990" spans="8:10" ht="15.75" customHeight="1">
      <c r="H990" s="3"/>
      <c r="I990" s="3"/>
      <c r="J990" s="3"/>
    </row>
    <row r="991" spans="8:10" ht="15.75" customHeight="1">
      <c r="H991" s="3"/>
      <c r="I991" s="3"/>
      <c r="J991" s="3"/>
    </row>
    <row r="992" spans="8:10" ht="15.75" customHeight="1">
      <c r="H992" s="3"/>
      <c r="I992" s="3"/>
      <c r="J992" s="3"/>
    </row>
    <row r="993" spans="8:10" ht="15.75" customHeight="1">
      <c r="H993" s="3"/>
      <c r="I993" s="3"/>
      <c r="J993" s="3"/>
    </row>
    <row r="994" spans="8:10" ht="15.75" customHeight="1">
      <c r="H994" s="3"/>
      <c r="I994" s="3"/>
      <c r="J994" s="3"/>
    </row>
    <row r="995" spans="8:10" ht="15.75" customHeight="1">
      <c r="H995" s="3"/>
      <c r="I995" s="3"/>
      <c r="J995" s="3"/>
    </row>
    <row r="996" spans="8:10" ht="15.75" customHeight="1">
      <c r="H996" s="3"/>
      <c r="I996" s="3"/>
      <c r="J996" s="3"/>
    </row>
    <row r="997" spans="8:10" ht="15.75" customHeight="1">
      <c r="H997" s="3"/>
      <c r="I997" s="3"/>
      <c r="J997" s="3"/>
    </row>
    <row r="998" spans="8:10" ht="15.75" customHeight="1">
      <c r="H998" s="3"/>
      <c r="I998" s="3"/>
      <c r="J998" s="3"/>
    </row>
    <row r="999" spans="8:10" ht="15.75" customHeight="1">
      <c r="H999" s="3"/>
      <c r="I999" s="3"/>
      <c r="J999" s="3"/>
    </row>
  </sheetData>
  <hyperlinks>
    <hyperlink ref="H8" r:id="rId1" xr:uid="{00000000-0004-0000-0100-000000000000}"/>
    <hyperlink ref="H13" r:id="rId2" xr:uid="{00000000-0004-0000-0100-000001000000}"/>
    <hyperlink ref="H22"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1000"/>
  <sheetViews>
    <sheetView workbookViewId="0">
      <selection activeCell="H14" sqref="H14"/>
    </sheetView>
  </sheetViews>
  <sheetFormatPr defaultColWidth="14.42578125" defaultRowHeight="15"/>
  <cols>
    <col min="1" max="1" width="18.85546875" customWidth="1"/>
    <col min="2" max="26" width="8.7109375" customWidth="1"/>
  </cols>
  <sheetData>
    <row r="2" spans="1:7">
      <c r="A2" s="1" t="s">
        <v>167</v>
      </c>
      <c r="C2" s="1" t="s">
        <v>31</v>
      </c>
      <c r="D2" s="1" t="s">
        <v>32</v>
      </c>
      <c r="F2" s="3"/>
    </row>
    <row r="3" spans="1:7">
      <c r="A3" s="5" t="s">
        <v>168</v>
      </c>
      <c r="B3" s="7">
        <v>1</v>
      </c>
      <c r="C3" s="7">
        <v>1</v>
      </c>
      <c r="D3" s="7">
        <v>1</v>
      </c>
      <c r="E3" s="7"/>
      <c r="F3" s="8"/>
      <c r="G3" s="1" t="s">
        <v>169</v>
      </c>
    </row>
    <row r="4" spans="1:7">
      <c r="A4" s="5" t="s">
        <v>170</v>
      </c>
      <c r="B4" s="1">
        <v>1</v>
      </c>
      <c r="C4" s="1">
        <v>1</v>
      </c>
      <c r="F4" s="3"/>
      <c r="G4" s="1" t="s">
        <v>171</v>
      </c>
    </row>
    <row r="5" spans="1:7">
      <c r="A5" s="5" t="s">
        <v>172</v>
      </c>
      <c r="B5" s="1">
        <v>1</v>
      </c>
      <c r="C5" s="1">
        <v>0</v>
      </c>
      <c r="F5" s="3"/>
    </row>
    <row r="6" spans="1:7">
      <c r="A6" s="5" t="s">
        <v>173</v>
      </c>
      <c r="B6" s="1">
        <v>1</v>
      </c>
      <c r="C6" s="1">
        <v>1</v>
      </c>
      <c r="D6" s="1">
        <v>0</v>
      </c>
      <c r="F6" s="3"/>
    </row>
    <row r="7" spans="1:7">
      <c r="A7" s="5" t="s">
        <v>174</v>
      </c>
      <c r="B7" s="1">
        <v>1</v>
      </c>
      <c r="C7" s="1">
        <v>1</v>
      </c>
      <c r="D7" s="1">
        <v>0</v>
      </c>
      <c r="F7" s="3"/>
    </row>
    <row r="8" spans="1:7">
      <c r="A8" s="5" t="s">
        <v>175</v>
      </c>
      <c r="B8" s="7">
        <v>1</v>
      </c>
      <c r="C8" s="7">
        <v>1</v>
      </c>
      <c r="D8" s="7">
        <v>1</v>
      </c>
      <c r="E8" s="7"/>
      <c r="F8" s="8"/>
      <c r="G8" s="1" t="s">
        <v>176</v>
      </c>
    </row>
    <row r="9" spans="1:7">
      <c r="A9" s="5" t="s">
        <v>177</v>
      </c>
      <c r="B9" s="1">
        <v>1</v>
      </c>
      <c r="F9" s="3"/>
    </row>
    <row r="10" spans="1:7">
      <c r="A10" s="5" t="s">
        <v>178</v>
      </c>
      <c r="B10" s="1">
        <v>1</v>
      </c>
      <c r="C10" s="1">
        <v>0</v>
      </c>
      <c r="F10" s="3"/>
    </row>
    <row r="11" spans="1:7">
      <c r="A11" s="5" t="s">
        <v>179</v>
      </c>
      <c r="B11" s="1">
        <v>1</v>
      </c>
      <c r="C11" s="1">
        <v>1</v>
      </c>
      <c r="D11" s="1">
        <v>0</v>
      </c>
      <c r="F11" s="3"/>
    </row>
    <row r="12" spans="1:7">
      <c r="A12" s="5" t="s">
        <v>180</v>
      </c>
      <c r="B12" s="7">
        <v>1</v>
      </c>
      <c r="C12" s="7">
        <v>1</v>
      </c>
      <c r="D12" s="7">
        <v>1</v>
      </c>
      <c r="E12" s="7"/>
      <c r="F12" s="8"/>
    </row>
    <row r="13" spans="1:7">
      <c r="A13" s="5" t="s">
        <v>181</v>
      </c>
      <c r="B13" s="1">
        <v>1</v>
      </c>
      <c r="C13" s="1">
        <v>1</v>
      </c>
      <c r="D13" s="1">
        <v>0</v>
      </c>
      <c r="F13" s="3"/>
    </row>
    <row r="14" spans="1:7">
      <c r="A14" s="5" t="s">
        <v>182</v>
      </c>
      <c r="B14" s="1">
        <v>1</v>
      </c>
      <c r="C14" s="1">
        <v>1</v>
      </c>
      <c r="D14" s="1">
        <v>0</v>
      </c>
      <c r="F14" s="3"/>
    </row>
    <row r="15" spans="1:7">
      <c r="F15" s="3"/>
    </row>
    <row r="16" spans="1:7">
      <c r="F16" s="3"/>
    </row>
    <row r="17" spans="1:7">
      <c r="A17" s="16">
        <v>46238</v>
      </c>
      <c r="F17" s="3"/>
    </row>
    <row r="18" spans="1:7">
      <c r="A18" s="5" t="s">
        <v>183</v>
      </c>
      <c r="B18" s="17">
        <v>1</v>
      </c>
      <c r="C18" s="17">
        <v>1</v>
      </c>
      <c r="D18" s="17"/>
      <c r="E18" s="17"/>
      <c r="F18" s="20"/>
      <c r="G18" s="1" t="s">
        <v>184</v>
      </c>
    </row>
    <row r="19" spans="1:7">
      <c r="A19" s="5" t="s">
        <v>185</v>
      </c>
      <c r="B19" s="1">
        <v>1</v>
      </c>
      <c r="C19" s="1">
        <v>0</v>
      </c>
      <c r="F19" s="3"/>
      <c r="G19" s="1" t="s">
        <v>186</v>
      </c>
    </row>
    <row r="20" spans="1:7">
      <c r="A20" s="5" t="s">
        <v>187</v>
      </c>
      <c r="B20" s="17">
        <v>1</v>
      </c>
      <c r="C20" s="17">
        <v>0</v>
      </c>
      <c r="D20" s="17">
        <v>0</v>
      </c>
      <c r="E20" s="17">
        <v>0</v>
      </c>
      <c r="F20" s="20"/>
      <c r="G20" s="1" t="s">
        <v>188</v>
      </c>
    </row>
    <row r="21" spans="1:7" ht="15.75" customHeight="1">
      <c r="F21" s="3"/>
    </row>
    <row r="22" spans="1:7" ht="15.75" customHeight="1">
      <c r="F22" s="3"/>
    </row>
    <row r="23" spans="1:7" ht="15.75" customHeight="1">
      <c r="A23" s="5" t="s">
        <v>164</v>
      </c>
      <c r="B23" s="1">
        <f t="shared" ref="B23:E23" si="0">SUM(B3:B19)</f>
        <v>14</v>
      </c>
      <c r="C23" s="1">
        <f t="shared" si="0"/>
        <v>10</v>
      </c>
      <c r="D23" s="1">
        <f t="shared" si="0"/>
        <v>3</v>
      </c>
      <c r="E23" s="1">
        <f t="shared" si="0"/>
        <v>0</v>
      </c>
      <c r="F23" s="3"/>
    </row>
    <row r="24" spans="1:7" ht="15.75" customHeight="1">
      <c r="A24" s="5" t="s">
        <v>166</v>
      </c>
      <c r="B24" s="26">
        <f>B23/B23</f>
        <v>1</v>
      </c>
      <c r="C24" s="26">
        <f t="shared" ref="C24:D24" si="1">C23/B23</f>
        <v>0.7142857142857143</v>
      </c>
      <c r="D24" s="26">
        <f t="shared" si="1"/>
        <v>0.3</v>
      </c>
      <c r="E24" s="26"/>
      <c r="F24" s="3"/>
    </row>
    <row r="25" spans="1:7" ht="15.75" customHeight="1">
      <c r="F25" s="3"/>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Experiment 1</vt:lpstr>
      <vt:lpstr>WorksRecorded - construction</vt:lpstr>
      <vt:lpstr>WorksRecorded - production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Vjaceslavs Gromatovics</cp:lastModifiedBy>
  <dcterms:created xsi:type="dcterms:W3CDTF">2026-08-18T09:45:26Z</dcterms:created>
  <dcterms:modified xsi:type="dcterms:W3CDTF">2026-09-10T09:29:49Z</dcterms:modified>
</cp:coreProperties>
</file>