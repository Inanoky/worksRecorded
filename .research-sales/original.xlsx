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worksRecorded\Sales\Marketing experiments\"/>
    </mc:Choice>
  </mc:AlternateContent>
  <xr:revisionPtr revIDLastSave="0" documentId="13_ncr:1_{E56AD86A-87D1-49B6-9F23-42E2B3382A48}" xr6:coauthVersionLast="47" xr6:coauthVersionMax="47" xr10:uidLastSave="{00000000-0000-0000-0000-000000000000}"/>
  <bookViews>
    <workbookView xWindow="-120" yWindow="-120" windowWidth="29040" windowHeight="15720" xr2:uid="{00000000-000D-0000-FFFF-FFFF00000000}"/>
  </bookViews>
  <sheets>
    <sheet name="Experiment 1" sheetId="3" r:id="rId1"/>
    <sheet name="WorksRecorded - construction" sheetId="1" r:id="rId2"/>
    <sheet name="WorksRecorded - productio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 l="1"/>
  <c r="D23" i="2"/>
  <c r="D24" i="2" s="1"/>
  <c r="C23" i="2"/>
  <c r="C24" i="2" s="1"/>
  <c r="B23" i="2"/>
  <c r="B24" i="2" s="1"/>
  <c r="F160" i="1"/>
  <c r="E160" i="1"/>
  <c r="D160" i="1"/>
  <c r="G159" i="1"/>
  <c r="G160" i="1" s="1"/>
  <c r="F159" i="1"/>
  <c r="E159" i="1"/>
  <c r="D159" i="1"/>
  <c r="F111" i="1"/>
  <c r="E111" i="1"/>
  <c r="G110" i="1"/>
  <c r="G111" i="1" s="1"/>
  <c r="F110" i="1"/>
  <c r="E110" i="1"/>
  <c r="D110" i="1"/>
</calcChain>
</file>

<file path=xl/sharedStrings.xml><?xml version="1.0" encoding="utf-8"?>
<sst xmlns="http://schemas.openxmlformats.org/spreadsheetml/2006/main" count="652" uniqueCount="425">
  <si>
    <t>Date</t>
  </si>
  <si>
    <t xml:space="preserve">Company </t>
  </si>
  <si>
    <t>Contact</t>
  </si>
  <si>
    <t>Email sent</t>
  </si>
  <si>
    <t xml:space="preserve">Reached by call </t>
  </si>
  <si>
    <t>Demo</t>
  </si>
  <si>
    <t>Offer</t>
  </si>
  <si>
    <t>Trial</t>
  </si>
  <si>
    <t>Purchase</t>
  </si>
  <si>
    <t>Comments</t>
  </si>
  <si>
    <t>Confirm problem</t>
  </si>
  <si>
    <t>Problem severity</t>
  </si>
  <si>
    <t>Painful enoguh to pay?</t>
  </si>
  <si>
    <t>Lafivents</t>
  </si>
  <si>
    <t>SANART</t>
  </si>
  <si>
    <t>ENERĢIJA-G</t>
  </si>
  <si>
    <t>SANO Serviss</t>
  </si>
  <si>
    <t>Ventmontāža</t>
  </si>
  <si>
    <t>AJ Power</t>
  </si>
  <si>
    <t>HVAC Solutions</t>
  </si>
  <si>
    <t>AKVILON</t>
  </si>
  <si>
    <t>OMS</t>
  </si>
  <si>
    <t>Ventors</t>
  </si>
  <si>
    <t>BaltService</t>
  </si>
  <si>
    <t>NIC Ozols</t>
  </si>
  <si>
    <t>Firetex</t>
  </si>
  <si>
    <t>Latakva Fire Solutions</t>
  </si>
  <si>
    <t>PRParks Latvija</t>
  </si>
  <si>
    <t>KNESS Baltic</t>
  </si>
  <si>
    <t>Responsible</t>
  </si>
  <si>
    <t>Company</t>
  </si>
  <si>
    <t>Reached by call</t>
  </si>
  <si>
    <t>Meeting</t>
  </si>
  <si>
    <t>Contacts</t>
  </si>
  <si>
    <t>Result</t>
  </si>
  <si>
    <t>Reason for rejection</t>
  </si>
  <si>
    <t>Thoughts</t>
  </si>
  <si>
    <t>Angle</t>
  </si>
  <si>
    <t>Sales cycle time</t>
  </si>
  <si>
    <t>VG</t>
  </si>
  <si>
    <t>Lindberg</t>
  </si>
  <si>
    <t>Dhg</t>
  </si>
  <si>
    <t>Dasgroup</t>
  </si>
  <si>
    <t>Artjoms, 24558342 - Ir interse, varām sazvanīties 29.07.2026 otrā dinas puse.
30.07.2026 - Promised will call after 17:00</t>
  </si>
  <si>
    <t xml:space="preserve">
04.08.2026 - Tried to call again, no answer. </t>
  </si>
  <si>
    <t>Couldn’t reach again</t>
  </si>
  <si>
    <t>Restaurators</t>
  </si>
  <si>
    <t>davis@restaurators.lv ; valdis@restaurators.lv'</t>
  </si>
  <si>
    <t>Not interested, already all proccesse are digitalized</t>
  </si>
  <si>
    <t>Anzage</t>
  </si>
  <si>
    <t>Edijs Veinbergs
Valdes priekšsēdētājs
 +371 26568529
edijs@anzage.lv
Ēriks Lebedoks
Ēriks Lebedoks
Valdes loceklis
 +371 26423563
eriks@anzage.lv</t>
  </si>
  <si>
    <t>Not interested, they say the use BIS</t>
  </si>
  <si>
    <t>Clearly I didn't explain good enough</t>
  </si>
  <si>
    <t>Gravejs</t>
  </si>
  <si>
    <t>"info@gravejs.lv" &lt;info@gravejs.lv&gt;</t>
  </si>
  <si>
    <t>Got to the receptionist, he said will forward my email to releveant person.</t>
  </si>
  <si>
    <t>Sprinklers</t>
  </si>
  <si>
    <t>romualds.spaks@sprinkler.lv : Mobile: +371 20269727</t>
  </si>
  <si>
    <t xml:space="preserve">Meeting wast 31.07.2026. Nice meeting, interested, send price offer. </t>
  </si>
  <si>
    <t xml:space="preserve">I think they have already offer and wanter to compare . </t>
  </si>
  <si>
    <t>Report from workers</t>
  </si>
  <si>
    <t>Ekoteh</t>
  </si>
  <si>
    <t xml:space="preserve"> 29536561 - Didzis Oskars. </t>
  </si>
  <si>
    <t xml:space="preserve">Called 04.08.2026. He gave me contact : 29536561 - Didzis Oskars.  RixBuild - apmerinā (3 gadi lieto). Laika grafiks, EDLUS. Reķini, forma 2 forma 2. Bikus.  didzis@echotech.lv </t>
  </si>
  <si>
    <t>I think they misunderstood what exactly we are offering, he was thinking about BIS and about project management. Also again they are general contractors.</t>
  </si>
  <si>
    <t>Vitbuve</t>
  </si>
  <si>
    <t>a7betons</t>
  </si>
  <si>
    <t>Pure digitalization failed. Said no interes</t>
  </si>
  <si>
    <t>Programming</t>
  </si>
  <si>
    <t>Driller.lv</t>
  </si>
  <si>
    <t>27012312, Juri (s?)</t>
  </si>
  <si>
    <t>Is interesed, asked to send email, I am waiting for an ansser. Called again in a couple of days, he said : sorry,no time</t>
  </si>
  <si>
    <t>dimteh.lv</t>
  </si>
  <si>
    <t>info@dimteh.lv ; 
22352039</t>
  </si>
  <si>
    <t>1) Need to call again. 2) Not inetersetd, using papers and excel and all good. Also asked if he need to digitalize something also, no interes.</t>
  </si>
  <si>
    <t xml:space="preserve">Montāžnieks DE </t>
  </si>
  <si>
    <t>Uģis Klaužs — director and board member
Best contact for WorksRecorded
Public phone: +371 29126530
Email: md@mde.lv
Another associated email: info@eldita.lv
He left Montāžnieks D and became a board member of Montāžnieks DE. Source</t>
  </si>
  <si>
    <t xml:space="preserve"> Refused to continue dialog. Not happy to hear me trying to reach Ugis, well, I politely wished a good day. </t>
  </si>
  <si>
    <t xml:space="preserve">Ok, so most likely they have a team of small individiuals rujnning around the site. We can try izmaksas angle or work record angle. Is it possible to combine this angle so client can choose the one more appropriate to him? 
</t>
  </si>
  <si>
    <t>Glass Construction</t>
  </si>
  <si>
    <t>Sastatņu Serviss</t>
  </si>
  <si>
    <t>Role: Board member at JD MĀRKETINGS
Mobile: +371 29496862
Email: juris@sastatnes.lv
Also publicly listed as chairman of the board of SIA “Sastatņu serviss”
Mobile: +371 29494491
Email: dairis@sastatnes.lv</t>
  </si>
  <si>
    <t>We have 2 teams, we have nothing to control, cik cimdes ir nopirkts, montāža brigades. - Sastanes centrs.</t>
  </si>
  <si>
    <t>Roofmaster</t>
  </si>
  <si>
    <t>Call no luck</t>
  </si>
  <si>
    <t>itpiling.lv</t>
  </si>
  <si>
    <t>No point of reaching out, way too big company</t>
  </si>
  <si>
    <t>jumtusegumcentrs.lv</t>
  </si>
  <si>
    <t>Sandis  +29106160</t>
  </si>
  <si>
    <t xml:space="preserve"> They don't use new systems currently. Showed some interest in trying, asked to send info in WhatsApp what I did. Need to check up on him if he had time to check our offer. </t>
  </si>
  <si>
    <t xml:space="preserve">For this one I also tried to contact project manager, who quite nicely directed to me himself to the owner. </t>
  </si>
  <si>
    <t xml:space="preserve">rsga.lv </t>
  </si>
  <si>
    <t>Kaspars Priede
Board Member since 29 May 2026 + Project/Product Manager
+371 20694678 · info@rsga.lv - 09:00</t>
  </si>
  <si>
    <t xml:space="preserve">Called them on 07.08, they asked to call 09:00 in Monday, called - no answer. Ok. Quite interesting, that custom made solution was interesting, he was listenign. We were talking for like 10 minuts. But I think it is quite tricky to move further, no concrete actions. Wiht product it is easier to move in to meeting I think. Also i should have aimed for a Teams meeting. Asked for gramatvēdibas pakalpojums Tildes jumis. Was aware of BIS, was aware of darba stundas, I think he was quite surprised that I opened from custom made solutions. 
</t>
  </si>
  <si>
    <t>Eiropas Jumti</t>
  </si>
  <si>
    <t>PersonRoleContactPriorityDzintars PetrovsOwner 100% + Board Member + beneficial owner+371 29880716 · - call 10:00 . Was really good actually when I said we are programmers.</t>
  </si>
  <si>
    <t>For this guys lets try "Kādu sistēmu jūs pašlaik izmantojat, lai uzskaitītu objektā veiktos darbus?". Called once, he asked to call back in 35 min, called back in 35 min, he didn't pick up.</t>
  </si>
  <si>
    <t>Work records</t>
  </si>
  <si>
    <t>Uretek Baltic</t>
  </si>
  <si>
    <t>info@uretek.lv;  +371 2544 0919</t>
  </si>
  <si>
    <t xml:space="preserve">Dialog was structured quite well, I handled objections of me not knowing business (Described what they do), also that they have already system  (reporting from workstie was missing), then also that workers don't have time (that we report with voice to save time), then he gave and said not interestd. So I thnk well handled call. </t>
  </si>
  <si>
    <t>Rigensi</t>
  </si>
  <si>
    <t>Hydro Balt</t>
  </si>
  <si>
    <t>Bit bad information</t>
  </si>
  <si>
    <t>Betonētājs</t>
  </si>
  <si>
    <t>Baltic Scaffold</t>
  </si>
  <si>
    <t>VIKOMAKSS</t>
  </si>
  <si>
    <t>Edgars Zvans</t>
  </si>
  <si>
    <t>No projetcs at the moment</t>
  </si>
  <si>
    <t>RemBaltic</t>
  </si>
  <si>
    <t>MJ Partneri</t>
  </si>
  <si>
    <t>K-Tehnoloģijas</t>
  </si>
  <si>
    <t>FiXT</t>
  </si>
  <si>
    <t>Serviss</t>
  </si>
  <si>
    <t>IFC Latvija</t>
  </si>
  <si>
    <t>Flumina</t>
  </si>
  <si>
    <t>AER</t>
  </si>
  <si>
    <t>Baltijas Klimats</t>
  </si>
  <si>
    <t>Airwave</t>
  </si>
  <si>
    <t>Frigus</t>
  </si>
  <si>
    <t>Climate Systems</t>
  </si>
  <si>
    <t>Provent</t>
  </si>
  <si>
    <t>Rikon AC</t>
  </si>
  <si>
    <t>Eiroklimats</t>
  </si>
  <si>
    <t>Komforts</t>
  </si>
  <si>
    <t>Pro Mehānika</t>
  </si>
  <si>
    <t>Inženiersistēmas</t>
  </si>
  <si>
    <t>Termex</t>
  </si>
  <si>
    <t>Siltumserviss Rīga</t>
  </si>
  <si>
    <t>Siltumtehserviss</t>
  </si>
  <si>
    <t>VentEko</t>
  </si>
  <si>
    <t>Klima Latvija</t>
  </si>
  <si>
    <t>ELSANA</t>
  </si>
  <si>
    <t>Būvenergo A</t>
  </si>
  <si>
    <t>Kulmen</t>
  </si>
  <si>
    <t>Navitas RP</t>
  </si>
  <si>
    <t>TELEMAKS</t>
  </si>
  <si>
    <t>FTP</t>
  </si>
  <si>
    <t>Latus SARDZE</t>
  </si>
  <si>
    <t>Electrical.lv</t>
  </si>
  <si>
    <t>CVS</t>
  </si>
  <si>
    <t>Elpoli</t>
  </si>
  <si>
    <t>Salacgrīvas elektromontāžnieks</t>
  </si>
  <si>
    <t>Elnetworks</t>
  </si>
  <si>
    <t>Elektro-Alter</t>
  </si>
  <si>
    <t>Elektro</t>
  </si>
  <si>
    <t>Eltex</t>
  </si>
  <si>
    <t>DNS automātika</t>
  </si>
  <si>
    <t>Rears</t>
  </si>
  <si>
    <t>DarkNet</t>
  </si>
  <si>
    <t>Sprinkler Service</t>
  </si>
  <si>
    <t>Arcofire</t>
  </si>
  <si>
    <t>Iskada Serviss</t>
  </si>
  <si>
    <t>Sistēmu Inovācijas</t>
  </si>
  <si>
    <t>Baltic Security Systems</t>
  </si>
  <si>
    <t>Videoprojekts</t>
  </si>
  <si>
    <t>Apsardzes Alianse Tehnika</t>
  </si>
  <si>
    <t>Security Solutions</t>
  </si>
  <si>
    <t>Energo Sistēmas</t>
  </si>
  <si>
    <t>Elektron</t>
  </si>
  <si>
    <t>Rīgas Elektro</t>
  </si>
  <si>
    <t>EG Elektro</t>
  </si>
  <si>
    <t>Mītavas Elektra</t>
  </si>
  <si>
    <t>Elektrosistēmas</t>
  </si>
  <si>
    <t>Total</t>
  </si>
  <si>
    <t>%</t>
  </si>
  <si>
    <t>Total (%)</t>
  </si>
  <si>
    <t>WorksRecorded - Ražošana</t>
  </si>
  <si>
    <t>Wendimodular</t>
  </si>
  <si>
    <t>Used standart script. Kind of worked. Call again next week Wednesday 12.08</t>
  </si>
  <si>
    <t>SPARS AP</t>
  </si>
  <si>
    <t xml:space="preserve">3 cilvēki, nav intereses. </t>
  </si>
  <si>
    <t>Nordichomes</t>
  </si>
  <si>
    <t>WWL</t>
  </si>
  <si>
    <t>Norgehouse</t>
  </si>
  <si>
    <t>Modern-house</t>
  </si>
  <si>
    <t>I think this guys asked to call again in Occtober</t>
  </si>
  <si>
    <t>Via-s</t>
  </si>
  <si>
    <t>Dores.kv</t>
  </si>
  <si>
    <t>Ehi.lv</t>
  </si>
  <si>
    <t>Darrehouse.lv</t>
  </si>
  <si>
    <t>Kontment.lv</t>
  </si>
  <si>
    <t>Proring</t>
  </si>
  <si>
    <t>skalahouses.lv</t>
  </si>
  <si>
    <t xml:space="preserve">Phone number called +371 28 311 169. 5 workers, they don't feel need for a system, they also don't use anytsistem currently. </t>
  </si>
  <si>
    <t>brette house</t>
  </si>
  <si>
    <t>Phone: +371 252 77 1  | Gennadii Bakunin — Founder, Operations</t>
  </si>
  <si>
    <t>ecospace.lv</t>
  </si>
  <si>
    <t>digitala ražošnas izmaksas kontroles sistēma. . Well got answer : "Paldies"</t>
  </si>
  <si>
    <t>Decision maker</t>
  </si>
  <si>
    <t>Role</t>
  </si>
  <si>
    <t>Email</t>
  </si>
  <si>
    <t>Phone</t>
  </si>
  <si>
    <t>LinkedIn</t>
  </si>
  <si>
    <t>Source</t>
  </si>
  <si>
    <t>Research note</t>
  </si>
  <si>
    <t>Madars Zariņš</t>
  </si>
  <si>
    <t>Board member, LAFI group</t>
  </si>
  <si>
    <t>lafisistemas@lafi.lv</t>
  </si>
  <si>
    <t>+371 25446616</t>
  </si>
  <si>
    <t>https://lafi.lv/par-mums/
https://lafi.lv/kontakti/</t>
  </si>
  <si>
    <t>Lafivents now operates under the LAFI brand. This is a verified group-level senior contact route.</t>
  </si>
  <si>
    <t>Aigars Kļaviņš</t>
  </si>
  <si>
    <t>Board member (verify current)</t>
  </si>
  <si>
    <t>info@sanart.lv</t>
  </si>
  <si>
    <t>+371 29900528</t>
  </si>
  <si>
    <t>https://sanart.lv/kontakti
https://www.firmas.lv/resources/lbgp/2021/lbgp_2021.pdf?v23=</t>
  </si>
  <si>
    <t>Current company email/phone verified. Named board member comes from an older public business profile, so confirm title on first contact.</t>
  </si>
  <si>
    <t>Guntis Šantars
info@energija-g.lv
+371 24242421</t>
  </si>
  <si>
    <t>Guntis Šantars</t>
  </si>
  <si>
    <t>Board member / project manager (verify current)</t>
  </si>
  <si>
    <t>info@energija-g.lv</t>
  </si>
  <si>
    <t>+371 24242421</t>
  </si>
  <si>
    <t>https://www.energija-g.lv/index.php?route=information%2Fcontact
https://www.la.lv/jauni-radiatori-labak-silda</t>
  </si>
  <si>
    <t>Company contact is current. Guntis Šantars was publicly identified as board member/project manager; verify current title.</t>
  </si>
  <si>
    <t>Board chairman — name not publicly exposed</t>
  </si>
  <si>
    <t>Board chairman / owner-level contact</t>
  </si>
  <si>
    <t>+371 67563065</t>
  </si>
  <si>
    <t>https://www.firmas.lv/lv/uznemumi/sano-serviss/40003544247
https://sano-serviss-c-58103.balticmarket.com/en/</t>
  </si>
  <si>
    <t>Active company. Free registry confirms one board chairman but does not expose the person's name; qualify by phone.</t>
  </si>
  <si>
    <t>Mārtiņš Jansons
martins.jansons@ajpower.lv
+371 28337981</t>
  </si>
  <si>
    <t>Mārtiņš Jansons</t>
  </si>
  <si>
    <t>Director of Sales</t>
  </si>
  <si>
    <t>martins.jansons@ajpower.lv</t>
  </si>
  <si>
    <t>+371 28337981</t>
  </si>
  <si>
    <t>https://ajpower.lv/en/kontakti/
https://ajpower.lv/en/about-us/</t>
  </si>
  <si>
    <t>Verified direct commercial decision-maker. AJ Power also lists Roberts Samtiņš as CEO.</t>
  </si>
  <si>
    <t>Board chairman / management</t>
  </si>
  <si>
    <t>info@hvac-s.lv</t>
  </si>
  <si>
    <t>+371 26346479 / +371 26414466</t>
  </si>
  <si>
    <t>https://www.hvacsolutions.lv/kontakti
https://www.firmas.lv/lv/uznemumi/hvac-solutions/40203145487</t>
  </si>
  <si>
    <t>Current company contact verified. Free registry confirms management structure but does not expose the person's name.</t>
  </si>
  <si>
    <t>Grigorijs Markins
grigorijs@akvilon.lv
+371 29354755</t>
  </si>
  <si>
    <t>Grigorijs Markins</t>
  </si>
  <si>
    <t>Production Manager / Board member</t>
  </si>
  <si>
    <t>grigorijs@akvilon.lv</t>
  </si>
  <si>
    <t>+371 29354755</t>
  </si>
  <si>
    <t>https://akvilon.eu/lv/kontakti</t>
  </si>
  <si>
    <t>Verified direct senior operating contact.</t>
  </si>
  <si>
    <t>Kārlis Skābe</t>
  </si>
  <si>
    <t>Board chairman (verify current)</t>
  </si>
  <si>
    <t>oms@oms.lv</t>
  </si>
  <si>
    <t>+371 63491032</t>
  </si>
  <si>
    <t>https://www.oms.lv/kontakti
https://iepirkumuarhivs.liepaja.lv/upload/iepirkumi/2015-67-ligumps2015_2_oms.pdf</t>
  </si>
  <si>
    <t>Current company email/phone verified. Named chairman comes from an older public contract, so confirm current role.</t>
  </si>
  <si>
    <t>Mihails Potaševs
ventors@ventors.lv
+371 67134122</t>
  </si>
  <si>
    <t>Mihails Potaševs</t>
  </si>
  <si>
    <t>Board chairman</t>
  </si>
  <si>
    <t>ventors@ventors.lv</t>
  </si>
  <si>
    <t>+371 67134122</t>
  </si>
  <si>
    <t>https://datreal.com/lv/lv/company/40102027082
https://www.zl.lv/lv/uznemums/ventors-sia/</t>
  </si>
  <si>
    <t>Public corporate profile identifies Mihails Potaševs as board chairman; company email/phone are public.</t>
  </si>
  <si>
    <t>Jevgenijs Andrejevs</t>
  </si>
  <si>
    <t>Board member</t>
  </si>
  <si>
    <t>info@baltservice.lv</t>
  </si>
  <si>
    <t>+371 26743208</t>
  </si>
  <si>
    <t>https://baltservice.lv/kontakti-2/
https://www.latarh.lv/gada-balva/jelgavas-vecpilsetas-kvartala-vesturiskas-apbuves-revitalizacija</t>
  </si>
  <si>
    <t>Named board member and matching public company contact.</t>
  </si>
  <si>
    <t>Rihards Šteins
rihards@mco.lv
+371 26244258</t>
  </si>
  <si>
    <t>Rihards Šteins</t>
  </si>
  <si>
    <t>rihards@mco.lv</t>
  </si>
  <si>
    <t>+371 26244258</t>
  </si>
  <si>
    <t>https://nicozols.lv/kontakti/</t>
  </si>
  <si>
    <t>Verified direct senior contact.</t>
  </si>
  <si>
    <t>Arthur Mezencev
sales@firetex.lv
+371 22402240</t>
  </si>
  <si>
    <t>Arthur Mezencev</t>
  </si>
  <si>
    <t>CGO (verify current)</t>
  </si>
  <si>
    <t>sales@firetex.lv</t>
  </si>
  <si>
    <t>+371 22402240</t>
  </si>
  <si>
    <t>https://firetex.lv/en/contacts/
https://flagma.lv/en/companies-k-1.html?sort=date</t>
  </si>
  <si>
    <t>Official company contact verified. Recent business directory lists Arthur Mezencev as CGO; verify title when contacting.</t>
  </si>
  <si>
    <t>Management / sales — named DM not verified
sales@latakva.com
+371 27249249</t>
  </si>
  <si>
    <t>Management / sales — named DM not verified</t>
  </si>
  <si>
    <t>Management / sales</t>
  </si>
  <si>
    <t>sales@latakva.com</t>
  </si>
  <si>
    <t>+371 27249249</t>
  </si>
  <si>
    <t>https://www.linkedin.com/company/latakva-fire-service</t>
  </si>
  <si>
    <t>https://www.latakva.com/en/about-us/contacts
https://company.lursoft.lv/en/latakva-fire-solutions/40103887033</t>
  </si>
  <si>
    <t>Active company; direct sales contact is verified. I did not find a sufficiently reliable public named decision maker.</t>
  </si>
  <si>
    <t>Owner / board member — name not publicly exposed
info@ugunsdrosibalv.lv
+371 26594357</t>
  </si>
  <si>
    <t>Owner / board member — name not publicly exposed</t>
  </si>
  <si>
    <t>Board member / owner</t>
  </si>
  <si>
    <t>info@ugunsdrosibalv.lv</t>
  </si>
  <si>
    <t>+371 26594357</t>
  </si>
  <si>
    <t>https://ugunsdrosibalv.lv/
https://www.firmas.lv/lv/uznemumi/prparks-latvija/40203142160</t>
  </si>
  <si>
    <t>Small active company (single owner/board member in registry). Name is suppressed in free public registry; phone/email route likely reaches the decision maker directly.</t>
  </si>
  <si>
    <t>Andrii Kalinovskyi
office@kness.lv
+371 29 35 45 57</t>
  </si>
  <si>
    <t>Andrii Kalinovskyi</t>
  </si>
  <si>
    <t>Director, KNESS Baltic / Head of EPC &amp; O&amp;M Baltics</t>
  </si>
  <si>
    <t>office@kness.lv</t>
  </si>
  <si>
    <t>+371 29 35 45 57</t>
  </si>
  <si>
    <t>https://lv.linkedin.com/in/andrii-kalinovskyi-baa40a232</t>
  </si>
  <si>
    <t>https://www.kness.lv/2026/02/
https://lv.linkedin.com/in/andrii-kalinovskyi-baa40a232
https://kness.energy/en/kompanii/</t>
  </si>
  <si>
    <t>Verified senior Baltic-region decision maker and local company contact.</t>
  </si>
  <si>
    <t>Email option 1</t>
  </si>
  <si>
    <t>Madars Zariņš
lafisistemas@lafi.lv
+371 25446616 (or maybe this : +371 67627787)</t>
  </si>
  <si>
    <t>Yes</t>
  </si>
  <si>
    <t>No</t>
  </si>
  <si>
    <t xml:space="preserve">They have their own solution for recording work. </t>
  </si>
  <si>
    <t>1. 🎯 Mārtiņš Petris — best target
📞 +371 26177621
📧 oms@oms.lv</t>
  </si>
  <si>
    <t>Paprovējam jibble ļoti labi, varam. Šobrid mēs utzicamies darbiniekiem un negribam traucēt esošo sistēmu ar jaunājam uzskaites sistēmam</t>
  </si>
  <si>
    <t>Jevgenijs Andrejevs — BaltService board member
📞 +371 26743208
📧 info@baltservice.lv</t>
  </si>
  <si>
    <t>They have internal sistem. No interest</t>
  </si>
  <si>
    <t xml:space="preserve">Not actual, but I think he was not ready at all. </t>
  </si>
  <si>
    <t>3. Artis Knoks — +371 28624940
Here the evidence is exceptionally strong.
A SANART construction contract explicitly says:
“valdes priekšsēdētājs Artis Knoks, mob.tel. 28624940, e-pasts info@sanart.lv.”
SANART's own social-media advertising also repeatedly publishes:
+371 28624940
artis@sanart.lv</t>
  </si>
  <si>
    <t>| 1 | Vladimirs Vereteņņikovs | Chairman of the Board, individual representation rights | +371 67563065 | sanoserviss@inbox.lv | Decision-maker ✅ / direct phone ❌ |</t>
  </si>
  <si>
    <t>Email option 2</t>
  </si>
  <si>
    <t xml:space="preserve">I am not sure what this is actually. </t>
  </si>
  <si>
    <t>Andris is explicitly listed by the Latvian Investment and Development Agency as FIRETEX's board member, with +371 29534106 as his contact number.</t>
  </si>
  <si>
    <t xml:space="preserve">I couldn't really understand. It seems that he heas a problem, but he need a compelte system so hours from site get recorded, then sent to gramatvedibas, and potentially to client for payment. Othrwise manualluy need. Also he seem to be wanted smart books integration, and also doing side project himself. </t>
  </si>
  <si>
    <t>Kind of, i would 3/5. Not sure, I guess he need a complete system. Maybe quesiton more complciated than I thought?</t>
  </si>
  <si>
    <t>Rached. Asked ot send email to info@cactus.lv</t>
  </si>
  <si>
    <t xml:space="preserve">info@ugunsdrosibalv.lv, asked to send more info. I can send and call later. </t>
  </si>
  <si>
    <t xml:space="preserve">Guys opened his company fire proteciton, not so many workers, but je say problem : 4)	Vai jusu projektu vadītājiem ir viegli dabūt askaites no objektā komandas?  , so technical workers just send messages to whatsapp. Also he said there was some offer to send workeriem uzdēvumus. </t>
  </si>
  <si>
    <t xml:space="preserve">Called Antrej, no interest. </t>
  </si>
  <si>
    <t>No, need to call again. Reached him, asked to call again 10:00  20.08.2026. New time 11:00 - 21.08.2026</t>
  </si>
  <si>
    <t xml:space="preserve">Asked tiešam darba uzskaite? What that supposed to mean I don't even know. This guys I think I need to call again after he checks system. </t>
  </si>
  <si>
    <t>Andis BB buve`</t>
  </si>
  <si>
    <t>https://safegroup.lv/</t>
  </si>
  <si>
    <t>MRPK</t>
  </si>
  <si>
    <t>Primekss</t>
  </si>
  <si>
    <t>https://www.estrichbuve.lv/</t>
  </si>
  <si>
    <t>https://www.betonaklonagridas.lv/</t>
  </si>
  <si>
    <t>www.expon.lv/</t>
  </si>
  <si>
    <t>https://www.uptk.lv/</t>
  </si>
  <si>
    <t>www.prbplus.lv</t>
  </si>
  <si>
    <t>https://bauart.lv/</t>
  </si>
  <si>
    <t>https://www.rbv.lv/</t>
  </si>
  <si>
    <t>https://www.accentbuve.lv/</t>
  </si>
  <si>
    <t>RL būves</t>
  </si>
  <si>
    <t>Lui Beton</t>
  </si>
  <si>
    <t>AB būvniecība</t>
  </si>
  <si>
    <t>ODILE MODULS</t>
  </si>
  <si>
    <t>II projekts</t>
  </si>
  <si>
    <t>Nulles ciklu celtniecības ražotne</t>
  </si>
  <si>
    <t>SAVI Būve</t>
  </si>
  <si>
    <t>Promus</t>
  </si>
  <si>
    <t>Manex būve</t>
  </si>
  <si>
    <t>Jelgavas būve-V</t>
  </si>
  <si>
    <t>Būve L</t>
  </si>
  <si>
    <t>Prima Celt</t>
  </si>
  <si>
    <t>AGNI BŪVE</t>
  </si>
  <si>
    <t>Evento</t>
  </si>
  <si>
    <t>https://titans.lv/</t>
  </si>
  <si>
    <t>Woodenlays</t>
  </si>
  <si>
    <t>https://www.vvcd.lv/</t>
  </si>
  <si>
    <t>https://buvesabc.lv/</t>
  </si>
  <si>
    <t>O.K. JOBS</t>
  </si>
  <si>
    <t>https://ancoris.eu/</t>
  </si>
  <si>
    <t>Būvfirma Vītols</t>
  </si>
  <si>
    <t>https://www.elektro-pm.lv/</t>
  </si>
  <si>
    <t>Industry</t>
  </si>
  <si>
    <t>Electrical contractor</t>
  </si>
  <si>
    <t>https://www.domabuve.lv/</t>
  </si>
  <si>
    <t>Talsu Spriegums</t>
  </si>
  <si>
    <t>Daugavpils Elektro</t>
  </si>
  <si>
    <t>Concrete contractors</t>
  </si>
  <si>
    <t>Fire contractor</t>
  </si>
  <si>
    <t>AVK Sistēmas</t>
  </si>
  <si>
    <t>Siltums Jums</t>
  </si>
  <si>
    <t>MEP and HVAC</t>
  </si>
  <si>
    <t xml:space="preserve">Called, no luck, 24.08.2026 - Aldis Baltiņš. He said will give me contact, he is not sure, maybe his team can fix themselves, maybe not. </t>
  </si>
  <si>
    <t>Called him, no interes as he doesn't have that much of documentation</t>
  </si>
  <si>
    <t xml:space="preserve">Guntars Vestmanis
Board Chairman, beneficial owner
+371 29288978
Primary decision maker </t>
  </si>
  <si>
    <t>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t>
  </si>
  <si>
    <t>Rustem, interested, +24446666</t>
  </si>
  <si>
    <t>Sandis Kirhners
Board Member and Project Manager
+371 26360513 · sandis.kirhners@gmail.com
Strong secondary</t>
  </si>
  <si>
    <t xml:space="preserve">Board chairman — name not publicly exposed
info@hvac-s.lv
+371 26346479 / +371 26414466 </t>
  </si>
  <si>
    <t xml:space="preserve">
gatis.svistunovs@hvac-s.lv </t>
  </si>
  <si>
    <t xml:space="preserve">, call him tomorrow first part of the day, 100 eur/BIS lieta. Interestend.   +24446666 - Рустам. От Евгения. Called him 26.08.2026 10:15. He said his "brigadeer" will do it. So no need for service. </t>
  </si>
  <si>
    <t>Sandis jumta segums</t>
  </si>
  <si>
    <t>The key decision maker at PRB PLUS is:
Priority	Contact	Role	Details
1	Mārtiņš Iesalnieks	Board member; certified construction manager and supervisor	+371 29251334 · martins.iesalnieks@gmail.com · LinkedIn</t>
  </si>
  <si>
    <t xml:space="preserve">Called, couldn't reach. Call again. </t>
  </si>
  <si>
    <t>Jurģis Kalniņš
Biznesa attīstības vadītājs, līdzīpašnieks
t. +371 29 600 960</t>
  </si>
  <si>
    <t>Priority	Person	Role	Contact
1	Jānis Buna	Company contact, certified electrical designer; historically identified as board member	+371 29187553 · energosistemas@energosistemas.lv
2	—	Office/general contact	+371 67436566 · energosistemas@energosistemas.lv</t>
  </si>
  <si>
    <t xml:space="preserve">Confused as fuck, call tomorrow again. </t>
  </si>
  <si>
    <t>Assuming you mean SIA ELEKTRON — elon.lv.
Best decision maker
Priority	Person	Role	Contact
1	Iļja Teterko	Company manager, board member and beneficial owner	+371 26824044 (company line) · info@elon.lv · LinkedIn</t>
  </si>
  <si>
    <t xml:space="preserve">Called 24.08, give ZTC contact as reference, he said will check, asked about if we can remove data from workers, I said on his phone data will remain, he said he will check and come back. Called 28.08.2026 - He said didn’t have time to check, he will contact me myself. Maybe I can send a reminder email or whatsapp message to him or somethign later. </t>
  </si>
  <si>
    <t>Martins Rullis</t>
  </si>
  <si>
    <t>Deniss Konstantinov</t>
  </si>
  <si>
    <t xml:space="preserve">Reached, call again 19.08.2026 end of the day.R eached. Call hime again around 24.08.2026 to see how it is oging.  Email was sent to him 19.08.2026. Called 24.08.2026 - no answer. Try again 25.08.2026. Reached him, he said he will check it out today, will give me some feedback. I also mentioned him that we offer BIS filling, and he says good it takes "dofiga" laiku from them. Whatsapp, darbinieku lappps. Asked to send more info.  And we can have a call.  25.08.2026 - Got a call, he will talk to his guys and find suitable project an d we need to call again. He is having a new projet with ierobežotot pieejamību, it is about 4 monht. Alos he is starting project in Liepaja.Didzis on of his managers. I offered him trial, 1 month we can do. Called again 28.08 - no answer, texted will  call back. </t>
  </si>
  <si>
    <t>They have a person who sits down, then guys send him what is completed in each project and guys get it to (I guess forma 2) and BIS. He seemed interested in BIS again. 21.08. Letš call again and try to upsell. Buys in vacation. Call him Friday 28.08.2026. Interseted, offered him 500 EUR for whole BIS. Call him 03.09.2026 (Thursday, he said most likely we will agree).</t>
  </si>
  <si>
    <t>Called him, he said no interest in BIS as he has no montāža.</t>
  </si>
  <si>
    <t xml:space="preserve">They are very small I think. He said BIS is filled by himself, and darba vadītjas is his brother so no interested. </t>
  </si>
  <si>
    <t>I couldn’t verify a public direct mobile number for Didzis Torims.
The reliable business contact is:
Accent Būve: +371 640 70 770
Email: info@accentbuve.lv
Didzis is confirmed as the company’s board member, but published records only provide the shared company number. Company document · Current company record
I found other mobile numbers in procurement documents, but none could be reliably attributed to Didzis.</t>
  </si>
  <si>
    <t xml:space="preserve">He has not connection to BIS, also he is using filedwire for inspection, he is satisfied. I treid to upsell on a automatization and programming, he said send contact so he can save. Email wiith more info sent. </t>
  </si>
  <si>
    <t xml:space="preserve">limeni.lv </t>
  </si>
  <si>
    <t xml:space="preserve">Called him 26.08.2026. He seems kind of interested, asked to send more info. Send today more info and contact in a week or so. He said he will discuss with his tema. Offered 150 eur for 1 bis lietu, also offered worksrecroded offer. . Called him 28.08.2026, 14:06, also busy, said to call Monday. Called 31.08.2026, He doesn't have many people so not interested in worksrecorded. Also he dones't feel like paying 150 eur to anyone with BIS as they do believie they can do it themselves. </t>
  </si>
  <si>
    <t xml:space="preserve">Call him tomorrow 14:00, describe wat we can do. Also ask him. He also said he heas a lietvedis who fills in those reports, no issues. He said there are some old dudes who are not very good with BIS for them there is letiveides who does the job. He also say he has system that already works. Also ofthem he just gives price for m2 yes-yes, no-no. Objected that estimates are complicated, and also there could be a lot of positions. Hanged up because someone else was calling him. He said BIS lietvedis is full time. Asked to send him more info. 26.08 - sent him WhatSapp message. Called 28.08.2026 - forgot to ask if ērti runāt. So he said not convenient. Called 31.08.2026, Call hime end of the month to see if anything changes, BIS he deson't want to change, also was buys again,  but I pushed on is it still actaul. It feels like fi we call and of the monht mabye he has new projects where we can see our system in work. </t>
  </si>
  <si>
    <t>Mārtiņš Jenčš</t>
  </si>
  <si>
    <t>Elvis Bergs</t>
  </si>
  <si>
    <t xml:space="preserve">01.09.2026 called, agreed on a meeting 15:00, he is from Liepaja. Owns a construction company. He was interestrd in alsmot all funcitonlait, I asked what problem he has in his company, he said no problem just want to improve on current system of hundreds of whatsapp chats. Agreed to start a pilot. Send him same day info. Need call 02.09.2026 to see if received and connected. Called again 02.09.2026, asked if all received, he said received, will test after lunch. </t>
  </si>
  <si>
    <t xml:space="preserve">Visparēja celtniecības, call  Monday to arrange video call. Called again, he said iconventinet to talk and he will call back. Called again, still buys. Need to call him 01.09.2026 around 10:00. Called 02.09.2026, got a bit confused on offer, he asked price, included BIS i said 30 uer par lietotāju, and 150 eur for filling in BIS.  Not sure, he said very busy, I think lead is dead. </t>
  </si>
  <si>
    <t xml:space="preserve">Good conversation, need to send him more info. He will check until wendesday next week. He also promised to send me his excel to understand better. Called 02.09.2026, arranged meeting for Friday. </t>
  </si>
  <si>
    <t>Viktors</t>
  </si>
  <si>
    <t xml:space="preserve">37120799991 Jānis Kalnins </t>
  </si>
  <si>
    <t>Called today, seems intertsed in making a system, promised to get back with the dates for the meeting, he has company working with roofs, but now doing more general contractor stuff.</t>
  </si>
  <si>
    <t>Roberts Vitols</t>
  </si>
  <si>
    <t>Rigas centrāla dzelsceļā stacija Bererix.  Juris. +37126393777</t>
  </si>
  <si>
    <t xml:space="preserve">Calle dhimself, he has got 2000 ikdienas darbi eery day to confirm, we need to offer him better analyitcs so he can manager. Agreed we will contact him in WHatsaPP, he will connect to BIS lieta and we will see what we can do. </t>
  </si>
  <si>
    <t xml:space="preserve">Looks like some shit </t>
  </si>
  <si>
    <t xml:space="preserve">He said interese ir, bet nav laiku iepazisties. Es pieāvājau uzzvanīt nakamnēdeļ. Called 02.09.2026, again busy with concrete, call tomorro end of the day (03.09.2026). I think lead is dead chacsed again 04.09.2026, he said will forward to someone, but I don't see he is interetsed that much. </t>
  </si>
  <si>
    <t>Offered him aipizldīt BIS 50 eur/mēnesi, he was interested, sent him email, need to check up on him. Martiņš +26152928 (Projektu vadītājs) - Andri Iedeva telefonu. Soon starting new project, check with him if actual or no. Called Martins, he will arrange meeting this week kaltiene so we can offer our service. Call Monday 31.08.2026 Martiņš. Called 31.08.2026. He said din't have time to think about, so most likely will contact on Friday 04.09.2026. "Mārtiņ, gribēju ātri saprast, vai šis jums vēl ir aktuāli. Ja jā, sarunājam konkrētu 20 min tikšanos nākamnedēļ. Ja šobrīd nav prioritāte, arī viss kārtībā — tad es jūs netraucēšu un sazināsimies vēlāk.” I think we agreed to have a call on Thursday to agree meeting monday 14.09</t>
  </si>
  <si>
    <t>Vladimiris Nikitiins</t>
  </si>
  <si>
    <t xml:space="preserve">Called 07.09.2026, site manager, interested in darbas uzskaite and laik uzskatei. Meeting 07.09.2026 - 18:00. Agreed to send him On Whatsapp more info. </t>
  </si>
  <si>
    <t xml:space="preserve">Aivars Rumba </t>
  </si>
  <si>
    <t xml:space="preserve">Tried to reach 11:00, couldn't he reach him. Reached, he is in a process of digitalization. He said he is buys in 2 week, send him more info in email. Offered BIS filling 60 EUR month par 1 būnviecības lietu. Interse ir. He said also interest in fillin BIS 60 EUR he thinks it is almost for free. He immidiately himself started asking question and said they are in the middle of digitalization and consultant looking for a complete solution. He was also interestd in gramatvedibas pakalpojumu and interested in estimate service. Called 07.09.2026 . He   busy. Call again 07.09.2026 after lunch. Called me back, said he still need to talk to his financial diractor to discuss both BIS and Digital system. Said will call me in a couple of days. </t>
  </si>
  <si>
    <t>Didzis Eglītis</t>
  </si>
  <si>
    <t xml:space="preserve">07.09.2026. I am not even sure what he watend, I offered what we can, some WhatSapp automatizaiton, he said he just checking up some systems. Maybe we need to give conrete improvement on existing WhatsApp systesm? He also asked for CRM system, I don't think we can offer that. </t>
  </si>
  <si>
    <t xml:space="preserve">Dmitrij Orlov </t>
  </si>
  <si>
    <t>Valentina Novikova</t>
  </si>
  <si>
    <t>Called 02.09, interested in BIS completion, offered him 150 EUR monht full BIS completion. He said interested, will come back tomorrow 03.09.2026. Called 04.09.2026 - no answer. All again 07.09.2026. Called 07.09.2026 - no answer.</t>
  </si>
  <si>
    <t>Offered him 50 eur per project a month. It seems we need to sign confiditiality contract to not get problems. Agreed to have a call on Monday to start new project 100k. He need to finish in november. 07.09.2026 - Caled 07.09.2026 - Asked to call him back on Thursday 10.09.2026.</t>
  </si>
  <si>
    <t xml:space="preserve">Call him again in 2 hours. 07.09.2026. Again I didn't understand completely, but I sohuld have asked what exactyl his problem with BIS. It is like he said he still need to approve everything in BIS so not a big problem, also he write in Excel all darbi and then write himself in the end of the week. </t>
  </si>
  <si>
    <t xml:space="preserve">Seems like have intereste, call him again 24.08, he said he will talk to colleague about it.  Ugis called me, I offered him 20 eur licencse + 50 eur BIS managmenet. His new project start middle of september. Ugis seems interested in both, BIS and the WokrsRecorded. 07.08.2026 Septembri beigas sākas new objects, he said will inform and they made a deciison to give it a try. I guess ok I dunno. </t>
  </si>
  <si>
    <t xml:space="preserve">Interseted, both BIS and darba uzskaite. I kind of lead him to the demo meeting, ye said that next week Friday is good. Kind of worked to lead to DEMO. Also confimred BIS takes a lot of time. Said we can try BIS filling when he has got a new project. Offered 150 EUR/monht. I argued it allows 30 min a day, whihc site manager can spend on fixing quality and this is real 'ieguvums" on which he agreed. Sent him more info 28.08.2028. Call again Thursdaty to confirm meeting. mEETING 04.09.2026, seems not too much interestd in BIS. Had a good excel to track works. But also seems quite intersetd in Noliktava and materials. Agreed to have a call tuesday 08.09 to have a call about pilot project. Called 08.09.2026, they discussed, say what to "tikt galā"on his end, end if interested they wil contact. </t>
  </si>
  <si>
    <t>07.09.2026 - Called no answer. 08.09.2026 - Called again - no answer</t>
  </si>
  <si>
    <t xml:space="preserve">Called couple of times no luck. Called 08.09.2026, gave 150 eur par bis lietu aizpildīšan (mēnesis? Not sure), also 50 eur for user darba uzskaite. He agreed to give me his email so I can send him invitiation for meeting, he need to discuss with rpoject manager. </t>
  </si>
  <si>
    <t>Called him 03.09.2026, no answer, send message introducing oursevles. Called again 08.09.2026, no luck. Dead.</t>
  </si>
  <si>
    <t>07.09.2026 - Called, Seems very busy, call him later. 08.09.2026 - Called again, he said to cal him in 1 or 1.5 hour on 08.09.2026. Not relevant.</t>
  </si>
  <si>
    <t xml:space="preserve">Interested in WhatsApp automation. Also intersted in Warehouse. Agreed to a trial of 2 weeks, where I will be added to his group chat and will do analyitcs for him. Using Begin.lv and also fieldwire. Begin.lv to count hours, fielldiwer for what seems to be task management and snags. Seems happy with both. Worksrecroded needed because he has nothing to control costs. He is caluclating additional work from using too much material. Won paddel torunament. Got 5-6 projects simultaniously. Also discussed that data is gold, he agreed, but data is hard to analyze also agreed, also he has diffuclty to keep track of material added and used. Also informed workers use fixed rate, so don't inform when leave site, or how many hours worked. Possible integration with begin.lv. Success. Contract signed. </t>
  </si>
  <si>
    <t xml:space="preserve">Callded 26.08. Call him enxt week around Tuesday 01.09 when people who might be interested ar back. Interested both BIS and Izmaksu kontrole. Also Ima leading with problem (vai ir problēma ar BIS, vai ir problēma ar algas paresnigešānu budžēta) - and it goes very well. Janis Kalninš Novastuff - apakšuzņēmeji 50/50 (opromsed to send me his number). Call him again on Monday, don't forget to as for Janis Kalninš Novastuff number . Called again 02.09.2026 - They are intereseted, he said peeople were sick, so now slowly coming back,  call him again on Monday 07.09.2026. Called on 09.07.2026, he asked to send message, I sent, but I think lead is getting cold. </t>
  </si>
  <si>
    <t>371 26 552 190, called no answer</t>
  </si>
  <si>
    <t xml:space="preserve">Called 29142246 </t>
  </si>
  <si>
    <t>No intere, he is doing everything himself. Also converstaion wasnt very good. Maybe still to pen with BIS? Also they compare once a month. Excel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</si>
</sst>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9">
    <font>
      <sz val="11"/>
      <color theme="1"/>
      <name val="Calibri"/>
    </font>
    <font>
      <sz val="11"/>
      <color theme="1"/>
      <name val="Calibri"/>
    </font>
    <font>
      <sz val="16"/>
      <color theme="1"/>
      <name val="Calibri"/>
    </font>
    <font>
      <sz val="11"/>
      <color theme="1"/>
      <name val="Calibri"/>
    </font>
    <font>
      <b/>
      <sz val="16"/>
      <color theme="1"/>
      <name val="Calibri"/>
    </font>
    <font>
      <sz val="11"/>
      <color rgb="FF9C5700"/>
      <name val="Calibri"/>
    </font>
    <font>
      <sz val="11"/>
      <color rgb="FF9C0006"/>
      <name val="Calibri"/>
    </font>
    <font>
      <sz val="11"/>
      <color rgb="FF006100"/>
      <name val="Calibri"/>
    </font>
    <font>
      <sz val="11"/>
      <color rgb="FF006100"/>
      <name val="Calibri"/>
    </font>
    <font>
      <sz val="11"/>
      <color rgb="FF9C0006"/>
      <name val="Calibri"/>
    </font>
    <font>
      <sz val="11"/>
      <color rgb="FF9C0006"/>
      <name val="Calibri"/>
    </font>
    <font>
      <sz val="11"/>
      <color theme="1"/>
      <name val="Carlito"/>
    </font>
    <font>
      <sz val="11"/>
      <color theme="1"/>
      <name val="Calibri"/>
    </font>
    <font>
      <b/>
      <sz val="11"/>
      <color theme="1"/>
      <name val="Calibri"/>
    </font>
    <font>
      <u/>
      <sz val="11"/>
      <color theme="10"/>
      <name val="Calibri"/>
    </font>
    <font>
      <sz val="11"/>
      <color rgb="FF1F2937"/>
      <name val="Carlito"/>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s>
  <fills count="16">
    <fill>
      <patternFill patternType="none"/>
    </fill>
    <fill>
      <patternFill patternType="gray125"/>
    </fill>
    <fill>
      <patternFill patternType="solid">
        <fgColor rgb="FFFFFF00"/>
      </patternFill>
    </fill>
    <fill>
      <patternFill patternType="solid">
        <fgColor rgb="FFFFEB9C"/>
      </patternFill>
    </fill>
    <fill>
      <patternFill patternType="solid">
        <fgColor rgb="FFFF0000"/>
      </patternFill>
    </fill>
    <fill>
      <patternFill patternType="solid">
        <fgColor rgb="FFFFC7CE"/>
      </patternFill>
    </fill>
    <fill>
      <patternFill patternType="solid">
        <fgColor rgb="FFC6EFCE"/>
      </patternFill>
    </fill>
    <fill>
      <patternFill patternType="solid">
        <fgColor rgb="FFC6EECF"/>
      </patternFill>
    </fill>
    <fill>
      <patternFill patternType="solid">
        <fgColor theme="9"/>
      </patternFill>
    </fill>
    <fill>
      <patternFill patternType="solid">
        <fgColor rgb="FFDEEAF6"/>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CE4D6"/>
      </patternFill>
    </fill>
    <fill>
      <patternFill patternType="solid">
        <fgColor rgb="FFD9EAF7"/>
      </patternFill>
    </fill>
    <fill>
      <patternFill patternType="solid">
        <fgColor rgb="FF92D050"/>
        <bgColor indexed="64"/>
      </patternFill>
    </fill>
  </fills>
  <borders count="25">
    <border>
      <left/>
      <right/>
      <top/>
      <bottom/>
      <diagonal/>
    </border>
    <border>
      <left style="thin">
        <color rgb="FF000000"/>
      </left>
      <right style="hair">
        <color rgb="FF000000"/>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right/>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style="thin">
        <color rgb="FF9CC2E5"/>
      </top>
      <bottom style="thin">
        <color rgb="FF9CC2E5"/>
      </bottom>
      <diagonal/>
    </border>
    <border>
      <left/>
      <right/>
      <top style="thin">
        <color rgb="FF9CC2E5"/>
      </top>
      <bottom style="thin">
        <color rgb="FF9CC2E5"/>
      </bottom>
      <diagonal/>
    </border>
    <border>
      <left style="thin">
        <color rgb="FF000000"/>
      </left>
      <right style="thin">
        <color rgb="FF000000"/>
      </right>
      <top/>
      <bottom style="thin">
        <color rgb="FF000000"/>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thin">
        <color indexed="64"/>
      </bottom>
      <diagonal/>
    </border>
    <border>
      <left/>
      <right style="hair">
        <color auto="1"/>
      </right>
      <top style="hair">
        <color auto="1"/>
      </top>
      <bottom style="hair">
        <color auto="1"/>
      </bottom>
      <diagonal/>
    </border>
    <border>
      <left/>
      <right/>
      <top style="thin">
        <color rgb="FFE5E7EB"/>
      </top>
      <bottom style="thin">
        <color rgb="FFE5E7EB"/>
      </bottom>
      <diagonal/>
    </border>
  </borders>
  <cellStyleXfs count="6">
    <xf numFmtId="0" fontId="0" fillId="0" borderId="0"/>
    <xf numFmtId="9" fontId="1" fillId="0" borderId="0" applyFont="0" applyFill="0" applyBorder="0" applyAlignment="0" applyProtection="0"/>
    <xf numFmtId="0" fontId="14" fillId="0" borderId="0" applyNumberFormat="0" applyFill="0" applyBorder="0" applyAlignment="0" applyProtection="0"/>
    <xf numFmtId="0" fontId="16" fillId="6" borderId="0" applyNumberFormat="0" applyBorder="0" applyAlignment="0" applyProtection="0"/>
    <xf numFmtId="0" fontId="17" fillId="5" borderId="0" applyNumberFormat="0" applyBorder="0" applyAlignment="0" applyProtection="0"/>
    <xf numFmtId="0" fontId="18" fillId="3" borderId="0" applyNumberFormat="0" applyBorder="0" applyAlignment="0" applyProtection="0"/>
  </cellStyleXfs>
  <cellXfs count="146">
    <xf numFmtId="0" fontId="0" fillId="0" borderId="0" xfId="0"/>
    <xf numFmtId="0" fontId="1" fillId="0" borderId="0" xfId="0" applyFont="1"/>
    <xf numFmtId="0" fontId="2" fillId="0" borderId="1" xfId="0" applyFont="1" applyBorder="1" applyAlignment="1">
      <alignment horizontal="left" vertical="center" wrapText="1"/>
    </xf>
    <xf numFmtId="0" fontId="3" fillId="0" borderId="0" xfId="0" applyFont="1" applyAlignment="1">
      <alignment wrapText="1"/>
    </xf>
    <xf numFmtId="0" fontId="2" fillId="0" borderId="2" xfId="0" applyFont="1" applyBorder="1" applyAlignment="1">
      <alignment horizontal="left" vertical="center" wrapText="1"/>
    </xf>
    <xf numFmtId="0" fontId="3" fillId="0" borderId="0" xfId="0" applyFont="1" applyAlignment="1">
      <alignment horizontal="right"/>
    </xf>
    <xf numFmtId="0" fontId="4" fillId="0" borderId="3" xfId="0" applyFont="1" applyBorder="1" applyAlignment="1">
      <alignment horizontal="left" vertical="center" wrapText="1"/>
    </xf>
    <xf numFmtId="0" fontId="3" fillId="2" borderId="4" xfId="0" applyFont="1" applyFill="1" applyBorder="1"/>
    <xf numFmtId="0" fontId="3" fillId="2" borderId="4" xfId="0" applyFont="1" applyFill="1" applyBorder="1" applyAlignment="1">
      <alignment wrapText="1"/>
    </xf>
    <xf numFmtId="0" fontId="4" fillId="0" borderId="5" xfId="0" applyFont="1" applyBorder="1" applyAlignment="1">
      <alignment horizontal="left" vertical="center" wrapText="1"/>
    </xf>
    <xf numFmtId="0" fontId="5" fillId="3" borderId="6" xfId="0" applyFont="1" applyFill="1" applyBorder="1"/>
    <xf numFmtId="0" fontId="5" fillId="3" borderId="7" xfId="0" applyFont="1" applyFill="1" applyBorder="1"/>
    <xf numFmtId="0" fontId="5" fillId="3" borderId="8" xfId="0" applyFont="1" applyFill="1" applyBorder="1" applyAlignment="1">
      <alignment horizontal="right"/>
    </xf>
    <xf numFmtId="0" fontId="5" fillId="3" borderId="8" xfId="0" applyFont="1" applyFill="1" applyBorder="1"/>
    <xf numFmtId="0" fontId="5" fillId="3" borderId="8" xfId="0" applyFont="1" applyFill="1" applyBorder="1" applyAlignment="1">
      <alignment wrapText="1"/>
    </xf>
    <xf numFmtId="0" fontId="5" fillId="3" borderId="9" xfId="0" applyFont="1" applyFill="1" applyBorder="1"/>
    <xf numFmtId="164" fontId="3" fillId="0" borderId="0" xfId="0" applyNumberFormat="1" applyFont="1"/>
    <xf numFmtId="0" fontId="3" fillId="4" borderId="4" xfId="0" applyFont="1" applyFill="1" applyBorder="1"/>
    <xf numFmtId="0" fontId="6" fillId="5" borderId="6" xfId="0" applyFont="1" applyFill="1" applyBorder="1"/>
    <xf numFmtId="0" fontId="6" fillId="5" borderId="7" xfId="0" applyFont="1" applyFill="1" applyBorder="1"/>
    <xf numFmtId="0" fontId="3" fillId="4" borderId="4" xfId="0" applyFont="1" applyFill="1" applyBorder="1" applyAlignment="1">
      <alignment wrapText="1"/>
    </xf>
    <xf numFmtId="0" fontId="6" fillId="5" borderId="8" xfId="0" applyFont="1" applyFill="1" applyBorder="1" applyAlignment="1">
      <alignment horizontal="right"/>
    </xf>
    <xf numFmtId="0" fontId="6" fillId="5" borderId="8" xfId="0" applyFont="1" applyFill="1" applyBorder="1"/>
    <xf numFmtId="0" fontId="6" fillId="5" borderId="8" xfId="0" applyFont="1" applyFill="1" applyBorder="1" applyAlignment="1">
      <alignment wrapText="1"/>
    </xf>
    <xf numFmtId="0" fontId="6" fillId="5" borderId="8" xfId="0" applyFont="1" applyFill="1" applyBorder="1" applyAlignment="1">
      <alignment vertical="center" wrapText="1"/>
    </xf>
    <xf numFmtId="0" fontId="6" fillId="5" borderId="9" xfId="0" applyFont="1" applyFill="1" applyBorder="1"/>
    <xf numFmtId="9" fontId="3" fillId="0" borderId="0" xfId="0" applyNumberFormat="1" applyFont="1"/>
    <xf numFmtId="0" fontId="7" fillId="6" borderId="6" xfId="0" applyFont="1" applyFill="1" applyBorder="1"/>
    <xf numFmtId="0" fontId="7" fillId="6" borderId="7" xfId="0" applyFont="1" applyFill="1" applyBorder="1"/>
    <xf numFmtId="0" fontId="7" fillId="6" borderId="8" xfId="0" applyFont="1" applyFill="1" applyBorder="1" applyAlignment="1">
      <alignment horizontal="right"/>
    </xf>
    <xf numFmtId="0" fontId="7" fillId="6" borderId="8" xfId="0" applyFont="1" applyFill="1" applyBorder="1"/>
    <xf numFmtId="0" fontId="8" fillId="6" borderId="8" xfId="0" applyFont="1" applyFill="1" applyBorder="1" applyAlignment="1">
      <alignment wrapText="1"/>
    </xf>
    <xf numFmtId="0" fontId="7" fillId="6" borderId="8" xfId="0" applyFont="1" applyFill="1" applyBorder="1" applyAlignment="1">
      <alignment wrapText="1"/>
    </xf>
    <xf numFmtId="0" fontId="7" fillId="6" borderId="9" xfId="0" applyFont="1" applyFill="1" applyBorder="1"/>
    <xf numFmtId="0" fontId="9" fillId="5" borderId="8" xfId="0" applyFont="1" applyFill="1" applyBorder="1" applyAlignment="1">
      <alignment wrapText="1"/>
    </xf>
    <xf numFmtId="0" fontId="7" fillId="7" borderId="8" xfId="0" applyFont="1" applyFill="1" applyBorder="1"/>
    <xf numFmtId="0" fontId="7" fillId="6" borderId="8" xfId="0" applyFont="1" applyFill="1" applyBorder="1" applyAlignment="1">
      <alignment vertical="center" wrapText="1"/>
    </xf>
    <xf numFmtId="3" fontId="5" fillId="3" borderId="8" xfId="0" applyNumberFormat="1" applyFont="1" applyFill="1" applyBorder="1" applyAlignment="1">
      <alignment wrapText="1"/>
    </xf>
    <xf numFmtId="0" fontId="10" fillId="5" borderId="4" xfId="0" applyFont="1" applyFill="1" applyBorder="1"/>
    <xf numFmtId="0" fontId="1" fillId="8" borderId="0" xfId="0" applyFont="1" applyFill="1"/>
    <xf numFmtId="0" fontId="11" fillId="0" borderId="10" xfId="0" applyFont="1" applyBorder="1"/>
    <xf numFmtId="0" fontId="11" fillId="9" borderId="11" xfId="0" applyFont="1" applyFill="1" applyBorder="1"/>
    <xf numFmtId="0" fontId="11" fillId="0" borderId="0" xfId="0" applyFont="1"/>
    <xf numFmtId="0" fontId="3" fillId="0" borderId="12" xfId="0" applyFont="1" applyBorder="1" applyAlignment="1">
      <alignment horizontal="right"/>
    </xf>
    <xf numFmtId="0" fontId="3" fillId="0" borderId="12" xfId="0" applyFont="1" applyBorder="1"/>
    <xf numFmtId="0" fontId="3" fillId="0" borderId="12" xfId="0" applyFont="1" applyBorder="1" applyAlignment="1">
      <alignment wrapText="1"/>
    </xf>
    <xf numFmtId="9" fontId="0" fillId="0" borderId="0" xfId="1" applyFont="1"/>
    <xf numFmtId="0" fontId="6" fillId="5" borderId="8" xfId="0" applyFont="1" applyFill="1" applyBorder="1" applyAlignment="1">
      <alignment horizontal="left"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2" fillId="0" borderId="14" xfId="0" applyFont="1" applyBorder="1"/>
    <xf numFmtId="0" fontId="0" fillId="0" borderId="20" xfId="0" applyBorder="1"/>
    <xf numFmtId="0" fontId="0" fillId="0" borderId="21" xfId="0" applyBorder="1"/>
    <xf numFmtId="0" fontId="0" fillId="0" borderId="4" xfId="0" applyBorder="1"/>
    <xf numFmtId="0" fontId="0" fillId="0" borderId="22" xfId="0" applyBorder="1"/>
    <xf numFmtId="0" fontId="0" fillId="0" borderId="0" xfId="0" applyAlignment="1">
      <alignment vertical="top" wrapText="1"/>
    </xf>
    <xf numFmtId="0" fontId="13" fillId="0" borderId="0" xfId="0" applyFont="1" applyAlignment="1">
      <alignment horizontal="left" vertical="top" wrapText="1"/>
    </xf>
    <xf numFmtId="0" fontId="0" fillId="0" borderId="13" xfId="0" applyBorder="1" applyAlignment="1">
      <alignment horizontal="center" vertical="center"/>
    </xf>
    <xf numFmtId="0" fontId="0" fillId="0" borderId="20" xfId="0" applyBorder="1" applyAlignment="1">
      <alignment wrapText="1"/>
    </xf>
    <xf numFmtId="0" fontId="0" fillId="0" borderId="16" xfId="0" applyBorder="1" applyAlignment="1">
      <alignment wrapText="1"/>
    </xf>
    <xf numFmtId="0" fontId="0" fillId="0" borderId="13" xfId="0" applyBorder="1" applyAlignment="1">
      <alignment wrapText="1"/>
    </xf>
    <xf numFmtId="0" fontId="0" fillId="0" borderId="13" xfId="0" applyBorder="1" applyAlignment="1">
      <alignment horizontal="left" vertical="center"/>
    </xf>
    <xf numFmtId="0" fontId="0" fillId="10" borderId="16" xfId="0" applyFill="1" applyBorder="1"/>
    <xf numFmtId="0" fontId="0" fillId="10" borderId="0" xfId="0" applyFill="1" applyAlignment="1">
      <alignment vertical="top" wrapText="1"/>
    </xf>
    <xf numFmtId="0" fontId="0" fillId="10" borderId="0" xfId="0" applyFill="1"/>
    <xf numFmtId="0" fontId="0" fillId="11" borderId="15" xfId="0" applyFill="1" applyBorder="1"/>
    <xf numFmtId="0" fontId="0" fillId="11" borderId="13" xfId="0" applyFill="1" applyBorder="1"/>
    <xf numFmtId="0" fontId="0" fillId="11" borderId="20" xfId="0" applyFill="1" applyBorder="1" applyAlignment="1">
      <alignment wrapText="1"/>
    </xf>
    <xf numFmtId="0" fontId="0" fillId="11" borderId="16" xfId="0" applyFill="1" applyBorder="1"/>
    <xf numFmtId="0" fontId="0" fillId="11" borderId="0" xfId="0" applyFill="1" applyAlignment="1">
      <alignment vertical="top" wrapText="1"/>
    </xf>
    <xf numFmtId="0" fontId="0" fillId="11" borderId="0" xfId="0" applyFill="1"/>
    <xf numFmtId="0" fontId="0" fillId="0" borderId="0" xfId="0" applyAlignment="1">
      <alignment horizontal="right"/>
    </xf>
    <xf numFmtId="0" fontId="14" fillId="0" borderId="0" xfId="2" applyAlignment="1">
      <alignment horizontal="right"/>
    </xf>
    <xf numFmtId="0" fontId="0" fillId="0" borderId="14" xfId="0" applyBorder="1" applyAlignment="1">
      <alignment horizontal="right" vertical="top" wrapText="1"/>
    </xf>
    <xf numFmtId="0" fontId="0" fillId="0" borderId="13" xfId="0" applyBorder="1" applyAlignment="1">
      <alignment horizontal="right" vertical="top" wrapText="1"/>
    </xf>
    <xf numFmtId="0" fontId="0" fillId="11" borderId="13" xfId="0" applyFill="1" applyBorder="1" applyAlignment="1">
      <alignment horizontal="right" vertical="top" wrapText="1"/>
    </xf>
    <xf numFmtId="0" fontId="0" fillId="0" borderId="18" xfId="0" applyBorder="1" applyAlignment="1">
      <alignment horizontal="right" vertical="top" wrapText="1"/>
    </xf>
    <xf numFmtId="0" fontId="0" fillId="12" borderId="0" xfId="0" applyFill="1" applyAlignment="1">
      <alignment horizontal="right"/>
    </xf>
    <xf numFmtId="0" fontId="0" fillId="12" borderId="4" xfId="0" applyFill="1" applyBorder="1" applyAlignment="1">
      <alignment horizontal="right" vertical="top" wrapText="1"/>
    </xf>
    <xf numFmtId="0" fontId="14" fillId="12" borderId="4" xfId="2" applyFill="1" applyBorder="1" applyAlignment="1">
      <alignment horizontal="right" vertical="top" wrapText="1"/>
    </xf>
    <xf numFmtId="0" fontId="14" fillId="12" borderId="0" xfId="2" applyFill="1" applyAlignment="1">
      <alignment horizontal="right"/>
    </xf>
    <xf numFmtId="0" fontId="0" fillId="0" borderId="14" xfId="0" applyBorder="1" applyAlignment="1">
      <alignment horizontal="right"/>
    </xf>
    <xf numFmtId="0" fontId="0" fillId="0" borderId="4" xfId="0" applyBorder="1" applyAlignment="1">
      <alignment horizontal="right"/>
    </xf>
    <xf numFmtId="0" fontId="0" fillId="0" borderId="13" xfId="0" applyBorder="1" applyAlignment="1">
      <alignment horizontal="right"/>
    </xf>
    <xf numFmtId="0" fontId="0" fillId="11" borderId="13" xfId="0" applyFill="1" applyBorder="1" applyAlignment="1">
      <alignment horizontal="right"/>
    </xf>
    <xf numFmtId="0" fontId="1" fillId="0" borderId="4" xfId="0" applyFont="1" applyBorder="1" applyAlignment="1">
      <alignment horizontal="right"/>
    </xf>
    <xf numFmtId="0" fontId="11" fillId="0" borderId="11" xfId="0" applyFont="1" applyBorder="1" applyAlignment="1">
      <alignment horizontal="right"/>
    </xf>
    <xf numFmtId="0" fontId="0" fillId="0" borderId="22" xfId="0" applyBorder="1" applyAlignment="1">
      <alignment horizontal="right"/>
    </xf>
    <xf numFmtId="0" fontId="0" fillId="0" borderId="23" xfId="0" applyBorder="1"/>
    <xf numFmtId="0" fontId="0" fillId="11" borderId="23" xfId="0" applyFill="1" applyBorder="1"/>
    <xf numFmtId="0" fontId="15" fillId="13" borderId="24" xfId="0" applyFont="1" applyFill="1" applyBorder="1" applyAlignment="1">
      <alignment horizontal="right" vertical="top" wrapText="1"/>
    </xf>
    <xf numFmtId="0" fontId="15" fillId="14" borderId="24" xfId="0" applyFont="1" applyFill="1" applyBorder="1" applyAlignment="1">
      <alignment horizontal="right" vertical="top" wrapText="1"/>
    </xf>
    <xf numFmtId="0" fontId="0" fillId="0" borderId="0" xfId="0" applyAlignment="1">
      <alignment horizontal="right" wrapText="1"/>
    </xf>
    <xf numFmtId="0" fontId="0" fillId="15" borderId="4" xfId="0" applyFill="1" applyBorder="1"/>
    <xf numFmtId="0" fontId="0" fillId="15" borderId="15" xfId="0" applyFill="1" applyBorder="1"/>
    <xf numFmtId="0" fontId="1" fillId="15" borderId="4" xfId="0" applyFont="1" applyFill="1" applyBorder="1" applyAlignment="1">
      <alignment horizontal="right"/>
    </xf>
    <xf numFmtId="0" fontId="0" fillId="15" borderId="13" xfId="0" applyFill="1" applyBorder="1" applyAlignment="1">
      <alignment horizontal="right" vertical="top" wrapText="1"/>
    </xf>
    <xf numFmtId="0" fontId="0" fillId="15" borderId="13" xfId="0" applyFill="1" applyBorder="1" applyAlignment="1">
      <alignment horizontal="center" vertical="center"/>
    </xf>
    <xf numFmtId="0" fontId="0" fillId="15" borderId="13" xfId="0" applyFill="1" applyBorder="1" applyAlignment="1">
      <alignment wrapText="1"/>
    </xf>
    <xf numFmtId="0" fontId="0" fillId="15" borderId="13" xfId="0" applyFill="1" applyBorder="1"/>
    <xf numFmtId="0" fontId="0" fillId="15" borderId="20" xfId="0" applyFill="1" applyBorder="1" applyAlignment="1">
      <alignment wrapText="1"/>
    </xf>
    <xf numFmtId="0" fontId="0" fillId="15" borderId="13" xfId="0" applyFill="1" applyBorder="1" applyAlignment="1">
      <alignment horizontal="left" vertical="center" wrapText="1"/>
    </xf>
    <xf numFmtId="0" fontId="17" fillId="5" borderId="0" xfId="4"/>
    <xf numFmtId="0" fontId="17" fillId="5" borderId="0" xfId="4" applyAlignment="1">
      <alignment horizontal="center" vertical="center"/>
    </xf>
    <xf numFmtId="0" fontId="17" fillId="5" borderId="4" xfId="4" applyBorder="1" applyAlignment="1">
      <alignment horizontal="center" vertical="center" wrapText="1"/>
    </xf>
    <xf numFmtId="0" fontId="17" fillId="5" borderId="0" xfId="4" applyAlignment="1">
      <alignment horizontal="right"/>
    </xf>
    <xf numFmtId="0" fontId="17" fillId="5" borderId="0" xfId="4" applyAlignment="1">
      <alignment horizontal="center" vertical="center" wrapText="1"/>
    </xf>
    <xf numFmtId="0" fontId="17" fillId="5" borderId="4" xfId="4" applyBorder="1" applyAlignment="1">
      <alignment horizontal="right" vertical="top" wrapText="1"/>
    </xf>
    <xf numFmtId="0" fontId="17" fillId="5" borderId="0" xfId="4" applyAlignment="1">
      <alignment horizontal="right" wrapText="1"/>
    </xf>
    <xf numFmtId="0" fontId="17" fillId="5" borderId="0" xfId="4" applyAlignment="1">
      <alignment wrapText="1"/>
    </xf>
    <xf numFmtId="0" fontId="17" fillId="5" borderId="15" xfId="4" applyBorder="1"/>
    <xf numFmtId="0" fontId="17" fillId="5" borderId="4" xfId="4" applyBorder="1"/>
    <xf numFmtId="0" fontId="17" fillId="5" borderId="4" xfId="4" applyBorder="1" applyAlignment="1">
      <alignment horizontal="right"/>
    </xf>
    <xf numFmtId="0" fontId="17" fillId="5" borderId="13" xfId="4" applyBorder="1" applyAlignment="1">
      <alignment horizontal="right" vertical="top" wrapText="1"/>
    </xf>
    <xf numFmtId="0" fontId="17" fillId="5" borderId="13" xfId="4" applyBorder="1" applyAlignment="1">
      <alignment horizontal="center" vertical="center"/>
    </xf>
    <xf numFmtId="0" fontId="17" fillId="5" borderId="13" xfId="4" applyBorder="1" applyAlignment="1">
      <alignment wrapText="1"/>
    </xf>
    <xf numFmtId="0" fontId="17" fillId="5" borderId="13" xfId="4" applyBorder="1"/>
    <xf numFmtId="0" fontId="17" fillId="5" borderId="20" xfId="4" applyBorder="1" applyAlignment="1">
      <alignment wrapText="1"/>
    </xf>
    <xf numFmtId="0" fontId="16" fillId="6" borderId="0" xfId="3"/>
    <xf numFmtId="0" fontId="16" fillId="6" borderId="0" xfId="3" applyAlignment="1">
      <alignment horizontal="right"/>
    </xf>
    <xf numFmtId="0" fontId="16" fillId="6" borderId="0" xfId="3" applyAlignment="1">
      <alignment wrapText="1"/>
    </xf>
    <xf numFmtId="0" fontId="16" fillId="6" borderId="4" xfId="3" applyBorder="1" applyAlignment="1">
      <alignment horizontal="right" vertical="top" wrapText="1"/>
    </xf>
    <xf numFmtId="0" fontId="16" fillId="6" borderId="4" xfId="3" applyBorder="1" applyAlignment="1">
      <alignment wrapText="1"/>
    </xf>
    <xf numFmtId="0" fontId="16" fillId="6" borderId="4" xfId="3" applyBorder="1"/>
    <xf numFmtId="0" fontId="18" fillId="3" borderId="0" xfId="5"/>
    <xf numFmtId="0" fontId="18" fillId="3" borderId="24" xfId="5" applyBorder="1" applyAlignment="1">
      <alignment horizontal="right" vertical="top" wrapText="1"/>
    </xf>
    <xf numFmtId="0" fontId="18" fillId="3" borderId="0" xfId="5" applyAlignment="1">
      <alignment horizontal="right" wrapText="1"/>
    </xf>
    <xf numFmtId="0" fontId="18" fillId="3" borderId="4" xfId="5" applyBorder="1" applyAlignment="1">
      <alignment horizontal="right"/>
    </xf>
    <xf numFmtId="0" fontId="18" fillId="3" borderId="4" xfId="5" applyBorder="1" applyAlignment="1">
      <alignment horizontal="right" vertical="top" wrapText="1"/>
    </xf>
    <xf numFmtId="0" fontId="18" fillId="3" borderId="4" xfId="5" applyBorder="1"/>
    <xf numFmtId="0" fontId="18" fillId="3" borderId="4" xfId="5" applyBorder="1" applyAlignment="1">
      <alignment wrapText="1"/>
    </xf>
    <xf numFmtId="0" fontId="16" fillId="6" borderId="15" xfId="3" applyBorder="1"/>
    <xf numFmtId="0" fontId="16" fillId="6" borderId="11" xfId="3" applyBorder="1" applyAlignment="1">
      <alignment horizontal="right"/>
    </xf>
    <xf numFmtId="0" fontId="16" fillId="6" borderId="13" xfId="3" applyBorder="1" applyAlignment="1">
      <alignment horizontal="right" vertical="top" wrapText="1"/>
    </xf>
    <xf numFmtId="0" fontId="16" fillId="6" borderId="13" xfId="3" applyBorder="1" applyAlignment="1">
      <alignment horizontal="center" vertical="center"/>
    </xf>
    <xf numFmtId="0" fontId="16" fillId="6" borderId="13" xfId="3" applyBorder="1"/>
    <xf numFmtId="0" fontId="16" fillId="6" borderId="20" xfId="3" applyBorder="1" applyAlignment="1">
      <alignment wrapText="1"/>
    </xf>
    <xf numFmtId="0" fontId="17" fillId="5" borderId="24" xfId="4" applyBorder="1" applyAlignment="1">
      <alignment horizontal="right" vertical="top" wrapText="1"/>
    </xf>
    <xf numFmtId="0" fontId="18" fillId="3" borderId="0" xfId="5" applyAlignment="1">
      <alignment horizontal="right"/>
    </xf>
    <xf numFmtId="0" fontId="18" fillId="3" borderId="0" xfId="5" applyAlignment="1">
      <alignment wrapText="1"/>
    </xf>
    <xf numFmtId="0" fontId="16" fillId="6" borderId="0" xfId="3" applyAlignment="1">
      <alignment horizontal="right" vertical="center" wrapText="1"/>
    </xf>
  </cellXfs>
  <cellStyles count="6">
    <cellStyle name="Bad" xfId="4" builtinId="27"/>
    <cellStyle name="Good" xfId="3" builtinId="26"/>
    <cellStyle name="Hyperlink" xfId="2" builtinId="8"/>
    <cellStyle name="Neutral" xfId="5" builtinId="2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6EECF"/>
      </a:accent1>
      <a:accent2>
        <a:srgbClr val="ED7D31"/>
      </a:accent2>
      <a:accent3>
        <a:srgbClr val="A5A5A5"/>
      </a:accent3>
      <a:accent4>
        <a:srgbClr val="FFC000"/>
      </a:accent4>
      <a:accent5>
        <a:srgbClr val="4472C4"/>
      </a:accent5>
      <a:accent6>
        <a:srgbClr val="C6EECF"/>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auart.lv/" TargetMode="External"/><Relationship Id="rId13" Type="http://schemas.openxmlformats.org/officeDocument/2006/relationships/hyperlink" Target="https://www.elektro-pm.lv/" TargetMode="External"/><Relationship Id="rId3" Type="http://schemas.openxmlformats.org/officeDocument/2006/relationships/hyperlink" Target="https://www.estrichbuve.lv/" TargetMode="External"/><Relationship Id="rId7" Type="http://schemas.openxmlformats.org/officeDocument/2006/relationships/hyperlink" Target="http://www.prbplus.lv/" TargetMode="External"/><Relationship Id="rId12" Type="http://schemas.openxmlformats.org/officeDocument/2006/relationships/hyperlink" Target="https://ancoris.eu/" TargetMode="External"/><Relationship Id="rId17" Type="http://schemas.openxmlformats.org/officeDocument/2006/relationships/printerSettings" Target="../printerSettings/printerSettings1.bin"/><Relationship Id="rId2" Type="http://schemas.openxmlformats.org/officeDocument/2006/relationships/hyperlink" Target="https://safegroup.lv/" TargetMode="External"/><Relationship Id="rId16" Type="http://schemas.openxmlformats.org/officeDocument/2006/relationships/hyperlink" Target="https://titans.lv/" TargetMode="External"/><Relationship Id="rId1" Type="http://schemas.openxmlformats.org/officeDocument/2006/relationships/hyperlink" Target="mailto:info@ugunsdrosibalv.lv,%20asked%20to%20send%20more%20info.%20I%20can%20send%20and%20call%20later.%20" TargetMode="External"/><Relationship Id="rId6" Type="http://schemas.openxmlformats.org/officeDocument/2006/relationships/hyperlink" Target="https://www.uptk.lv/" TargetMode="External"/><Relationship Id="rId11" Type="http://schemas.openxmlformats.org/officeDocument/2006/relationships/hyperlink" Target="https://buvesabc.lv/" TargetMode="External"/><Relationship Id="rId5" Type="http://schemas.openxmlformats.org/officeDocument/2006/relationships/hyperlink" Target="http://www.expon.lv/" TargetMode="External"/><Relationship Id="rId15" Type="http://schemas.openxmlformats.org/officeDocument/2006/relationships/hyperlink" Target="https://www.accentbuve.lv/" TargetMode="External"/><Relationship Id="rId10" Type="http://schemas.openxmlformats.org/officeDocument/2006/relationships/hyperlink" Target="https://www.vvcd.lv/" TargetMode="External"/><Relationship Id="rId4" Type="http://schemas.openxmlformats.org/officeDocument/2006/relationships/hyperlink" Target="https://www.betonaklonagridas.lv/" TargetMode="External"/><Relationship Id="rId9" Type="http://schemas.openxmlformats.org/officeDocument/2006/relationships/hyperlink" Target="https://www.rbv.lv/" TargetMode="External"/><Relationship Id="rId14" Type="http://schemas.openxmlformats.org/officeDocument/2006/relationships/hyperlink" Target="https://www.domabuve.lv/"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142"/>
  <sheetViews>
    <sheetView tabSelected="1" topLeftCell="A44" zoomScale="85" zoomScaleNormal="85" workbookViewId="0">
      <selection activeCell="D59" sqref="D59"/>
    </sheetView>
  </sheetViews>
  <sheetFormatPr defaultRowHeight="15"/>
  <cols>
    <col min="2" max="2" width="20" customWidth="1"/>
    <col min="3" max="3" width="85.7109375" style="76" customWidth="1"/>
    <col min="4" max="4" width="57.5703125" style="76" customWidth="1"/>
    <col min="5" max="5" width="18.5703125" customWidth="1"/>
    <col min="6" max="6" width="51.5703125" customWidth="1"/>
    <col min="7" max="7" width="14.85546875" customWidth="1"/>
    <col min="8" max="8" width="13.5703125" customWidth="1"/>
    <col min="9" max="9" width="11.42578125" customWidth="1"/>
    <col min="10" max="10" width="9.7109375" customWidth="1"/>
    <col min="11" max="11" width="60.42578125" customWidth="1"/>
    <col min="12" max="12" width="24.140625" customWidth="1"/>
    <col min="13" max="13" width="20" customWidth="1"/>
    <col min="14" max="14" width="27.42578125" customWidth="1"/>
    <col min="15" max="15" width="28" customWidth="1"/>
    <col min="16" max="16" width="30" customWidth="1"/>
    <col min="17" max="17" width="28" customWidth="1"/>
    <col min="18" max="18" width="24" customWidth="1"/>
    <col min="19" max="19" width="38" customWidth="1"/>
    <col min="20" max="20" width="48" customWidth="1"/>
    <col min="21" max="21" width="52" customWidth="1"/>
  </cols>
  <sheetData>
    <row r="2" spans="1:21" ht="15" customHeight="1">
      <c r="A2" s="49" t="s">
        <v>0</v>
      </c>
      <c r="B2" s="49" t="s">
        <v>351</v>
      </c>
      <c r="C2" s="86" t="s">
        <v>1</v>
      </c>
      <c r="D2" s="78" t="s">
        <v>2</v>
      </c>
      <c r="E2" s="49" t="s">
        <v>3</v>
      </c>
      <c r="F2" s="49" t="s">
        <v>4</v>
      </c>
      <c r="G2" s="49" t="s">
        <v>5</v>
      </c>
      <c r="H2" s="49" t="s">
        <v>6</v>
      </c>
      <c r="I2" s="49" t="s">
        <v>7</v>
      </c>
      <c r="J2" s="55" t="s">
        <v>8</v>
      </c>
      <c r="K2" s="49" t="s">
        <v>9</v>
      </c>
      <c r="L2" s="49" t="s">
        <v>10</v>
      </c>
      <c r="M2" s="55" t="s">
        <v>11</v>
      </c>
      <c r="N2" s="49" t="s">
        <v>12</v>
      </c>
      <c r="O2" s="61" t="s">
        <v>189</v>
      </c>
      <c r="P2" s="61" t="s">
        <v>190</v>
      </c>
      <c r="Q2" s="61" t="s">
        <v>191</v>
      </c>
      <c r="R2" s="61" t="s">
        <v>192</v>
      </c>
      <c r="S2" s="61" t="s">
        <v>193</v>
      </c>
      <c r="T2" s="61" t="s">
        <v>194</v>
      </c>
      <c r="U2" s="61" t="s">
        <v>195</v>
      </c>
    </row>
    <row r="3" spans="1:21" ht="72.75" customHeight="1">
      <c r="A3" s="50"/>
      <c r="B3" s="58"/>
      <c r="C3" s="87" t="s">
        <v>13</v>
      </c>
      <c r="D3" s="79" t="s">
        <v>295</v>
      </c>
      <c r="E3" s="48" t="s">
        <v>294</v>
      </c>
      <c r="F3" s="48" t="s">
        <v>296</v>
      </c>
      <c r="G3" s="48" t="s">
        <v>297</v>
      </c>
      <c r="H3" s="48" t="s">
        <v>297</v>
      </c>
      <c r="I3" s="48" t="s">
        <v>297</v>
      </c>
      <c r="J3" s="48" t="s">
        <v>297</v>
      </c>
      <c r="K3" s="63" t="s">
        <v>302</v>
      </c>
      <c r="L3" s="64" t="s">
        <v>298</v>
      </c>
      <c r="M3" s="51"/>
      <c r="N3" s="51"/>
      <c r="O3" s="60" t="s">
        <v>196</v>
      </c>
      <c r="P3" s="60" t="s">
        <v>197</v>
      </c>
      <c r="Q3" s="60" t="s">
        <v>198</v>
      </c>
      <c r="R3" s="60" t="s">
        <v>199</v>
      </c>
      <c r="S3" s="60"/>
      <c r="T3" s="60" t="s">
        <v>200</v>
      </c>
      <c r="U3" s="60" t="s">
        <v>201</v>
      </c>
    </row>
    <row r="4" spans="1:21" s="69" customFormat="1" ht="152.25" customHeight="1">
      <c r="A4" s="99"/>
      <c r="B4" s="98"/>
      <c r="C4" s="100" t="s">
        <v>14</v>
      </c>
      <c r="D4" s="101" t="s">
        <v>304</v>
      </c>
      <c r="E4" s="102" t="s">
        <v>294</v>
      </c>
      <c r="F4" s="103" t="s">
        <v>315</v>
      </c>
      <c r="G4" s="104"/>
      <c r="H4" s="104"/>
      <c r="I4" s="104"/>
      <c r="J4" s="104"/>
      <c r="K4" s="105" t="s">
        <v>406</v>
      </c>
      <c r="L4" s="67"/>
      <c r="M4" s="67"/>
      <c r="N4" s="67"/>
      <c r="O4" s="68" t="s">
        <v>202</v>
      </c>
      <c r="P4" s="68" t="s">
        <v>203</v>
      </c>
      <c r="Q4" s="68" t="s">
        <v>204</v>
      </c>
      <c r="R4" s="68" t="s">
        <v>205</v>
      </c>
      <c r="S4" s="68"/>
      <c r="T4" s="68" t="s">
        <v>206</v>
      </c>
      <c r="U4" s="68" t="s">
        <v>207</v>
      </c>
    </row>
    <row r="5" spans="1:21" ht="66.75" customHeight="1">
      <c r="A5" s="50"/>
      <c r="B5" s="93"/>
      <c r="C5" s="88"/>
      <c r="D5" s="79"/>
      <c r="E5" s="48"/>
      <c r="F5" s="48"/>
      <c r="G5" s="48"/>
      <c r="H5" s="48"/>
      <c r="I5" s="48"/>
      <c r="J5" s="48"/>
      <c r="K5" s="56"/>
      <c r="L5" s="51"/>
      <c r="M5" s="51"/>
      <c r="N5" s="51"/>
      <c r="O5" s="60"/>
      <c r="P5" s="60"/>
      <c r="Q5" s="60"/>
      <c r="R5" s="60"/>
      <c r="S5" s="60"/>
      <c r="T5" s="60"/>
      <c r="U5" s="60"/>
    </row>
    <row r="6" spans="1:21" s="75" customFormat="1" ht="61.5" customHeight="1">
      <c r="A6" s="70"/>
      <c r="B6" s="94"/>
      <c r="C6" s="89" t="s">
        <v>15</v>
      </c>
      <c r="D6" s="80" t="s">
        <v>208</v>
      </c>
      <c r="E6" s="71" t="s">
        <v>294</v>
      </c>
      <c r="F6" s="71" t="s">
        <v>296</v>
      </c>
      <c r="G6" s="71"/>
      <c r="H6" s="71"/>
      <c r="I6" s="71"/>
      <c r="J6" s="71"/>
      <c r="K6" s="72" t="s">
        <v>303</v>
      </c>
      <c r="L6" s="73"/>
      <c r="M6" s="73"/>
      <c r="N6" s="73"/>
      <c r="O6" s="74" t="s">
        <v>209</v>
      </c>
      <c r="P6" s="74" t="s">
        <v>210</v>
      </c>
      <c r="Q6" s="74" t="s">
        <v>211</v>
      </c>
      <c r="R6" s="74" t="s">
        <v>212</v>
      </c>
      <c r="S6" s="74"/>
      <c r="T6" s="74" t="s">
        <v>213</v>
      </c>
      <c r="U6" s="74" t="s">
        <v>214</v>
      </c>
    </row>
    <row r="7" spans="1:21" ht="102.75" customHeight="1">
      <c r="A7" s="50"/>
      <c r="B7" s="58"/>
      <c r="C7" s="90" t="s">
        <v>16</v>
      </c>
      <c r="D7" s="79" t="s">
        <v>305</v>
      </c>
      <c r="E7" s="62" t="s">
        <v>294</v>
      </c>
      <c r="F7" s="66" t="s">
        <v>307</v>
      </c>
      <c r="G7" s="48"/>
      <c r="H7" s="48"/>
      <c r="I7" s="48"/>
      <c r="J7" s="48"/>
      <c r="K7" s="56"/>
      <c r="L7" s="51"/>
      <c r="M7" s="51"/>
      <c r="N7" s="51"/>
      <c r="O7" s="60" t="s">
        <v>215</v>
      </c>
      <c r="P7" s="60" t="s">
        <v>216</v>
      </c>
      <c r="Q7" s="60"/>
      <c r="R7" s="60" t="s">
        <v>217</v>
      </c>
      <c r="S7" s="60"/>
      <c r="T7" s="60" t="s">
        <v>218</v>
      </c>
      <c r="U7" s="60" t="s">
        <v>219</v>
      </c>
    </row>
    <row r="8" spans="1:21" ht="66" customHeight="1">
      <c r="A8" s="50"/>
      <c r="B8" s="93"/>
      <c r="C8" s="88"/>
      <c r="D8" s="79"/>
      <c r="E8" s="48"/>
      <c r="F8" s="48"/>
      <c r="G8" s="48"/>
      <c r="H8" s="48"/>
      <c r="I8" s="48"/>
      <c r="J8" s="48"/>
      <c r="K8" s="56"/>
      <c r="L8" s="51"/>
      <c r="M8" s="51"/>
      <c r="N8" s="51"/>
      <c r="O8" s="60"/>
      <c r="P8" s="60"/>
      <c r="Q8" s="60"/>
      <c r="R8" s="60"/>
      <c r="S8" s="60"/>
      <c r="T8" s="60"/>
      <c r="U8" s="60"/>
    </row>
    <row r="9" spans="1:21" ht="70.5" customHeight="1">
      <c r="A9" s="50"/>
      <c r="B9" s="58"/>
      <c r="C9" s="87" t="s">
        <v>18</v>
      </c>
      <c r="D9" s="79" t="s">
        <v>220</v>
      </c>
      <c r="E9" s="62" t="s">
        <v>294</v>
      </c>
      <c r="G9" s="48"/>
      <c r="H9" s="48"/>
      <c r="I9" s="48"/>
      <c r="J9" s="48"/>
      <c r="K9" s="48" t="s">
        <v>311</v>
      </c>
      <c r="L9" s="51"/>
      <c r="M9" s="51"/>
      <c r="N9" s="51"/>
      <c r="O9" s="60" t="s">
        <v>221</v>
      </c>
      <c r="P9" s="60" t="s">
        <v>222</v>
      </c>
      <c r="Q9" s="60" t="s">
        <v>223</v>
      </c>
      <c r="R9" s="60" t="s">
        <v>224</v>
      </c>
      <c r="S9" s="60"/>
      <c r="T9" s="60" t="s">
        <v>225</v>
      </c>
      <c r="U9" s="60" t="s">
        <v>226</v>
      </c>
    </row>
    <row r="10" spans="1:21" ht="196.5" customHeight="1">
      <c r="A10" s="99"/>
      <c r="B10" s="98"/>
      <c r="C10" s="100" t="s">
        <v>19</v>
      </c>
      <c r="D10" s="101" t="s">
        <v>367</v>
      </c>
      <c r="E10" s="102" t="s">
        <v>294</v>
      </c>
      <c r="F10" s="106" t="s">
        <v>368</v>
      </c>
      <c r="G10" s="104"/>
      <c r="H10" s="104"/>
      <c r="I10" s="104"/>
      <c r="J10" s="104"/>
      <c r="K10" s="105" t="s">
        <v>380</v>
      </c>
      <c r="L10" s="51"/>
      <c r="M10" s="51"/>
      <c r="N10" s="51"/>
      <c r="O10" s="60" t="s">
        <v>215</v>
      </c>
      <c r="P10" s="60" t="s">
        <v>227</v>
      </c>
      <c r="Q10" s="60" t="s">
        <v>228</v>
      </c>
      <c r="R10" s="60" t="s">
        <v>229</v>
      </c>
      <c r="S10" s="60"/>
      <c r="T10" s="60" t="s">
        <v>230</v>
      </c>
      <c r="U10" s="60" t="s">
        <v>231</v>
      </c>
    </row>
    <row r="11" spans="1:21" ht="59.25" customHeight="1">
      <c r="A11" s="50"/>
      <c r="B11" s="58"/>
      <c r="C11" s="90" t="s">
        <v>20</v>
      </c>
      <c r="D11" s="79" t="s">
        <v>232</v>
      </c>
      <c r="E11" s="62" t="s">
        <v>306</v>
      </c>
      <c r="F11" s="48"/>
      <c r="G11" s="48"/>
      <c r="H11" s="48"/>
      <c r="I11" s="48"/>
      <c r="J11" s="48"/>
      <c r="K11" s="56"/>
      <c r="L11" s="51"/>
      <c r="M11" s="51"/>
      <c r="N11" s="51"/>
      <c r="O11" s="60" t="s">
        <v>233</v>
      </c>
      <c r="P11" s="60" t="s">
        <v>234</v>
      </c>
      <c r="Q11" s="60" t="s">
        <v>235</v>
      </c>
      <c r="R11" s="60" t="s">
        <v>236</v>
      </c>
      <c r="S11" s="60"/>
      <c r="T11" s="60" t="s">
        <v>237</v>
      </c>
      <c r="U11" s="60" t="s">
        <v>238</v>
      </c>
    </row>
    <row r="12" spans="1:21" ht="103.5" customHeight="1">
      <c r="A12" s="50"/>
      <c r="B12" s="58"/>
      <c r="C12" s="87" t="s">
        <v>21</v>
      </c>
      <c r="D12" s="79" t="s">
        <v>299</v>
      </c>
      <c r="E12" s="62" t="s">
        <v>294</v>
      </c>
      <c r="F12" s="65" t="s">
        <v>296</v>
      </c>
      <c r="G12" s="48" t="s">
        <v>297</v>
      </c>
      <c r="H12" s="48" t="s">
        <v>297</v>
      </c>
      <c r="I12" s="48" t="s">
        <v>297</v>
      </c>
      <c r="J12" s="48" t="s">
        <v>297</v>
      </c>
      <c r="K12" s="65" t="s">
        <v>300</v>
      </c>
      <c r="L12" s="51"/>
      <c r="M12" s="51"/>
      <c r="N12" s="51"/>
      <c r="O12" s="60" t="s">
        <v>239</v>
      </c>
      <c r="P12" s="60" t="s">
        <v>240</v>
      </c>
      <c r="Q12" s="60" t="s">
        <v>241</v>
      </c>
      <c r="R12" s="60" t="s">
        <v>242</v>
      </c>
      <c r="S12" s="60"/>
      <c r="T12" s="60" t="s">
        <v>243</v>
      </c>
      <c r="U12" s="60" t="s">
        <v>244</v>
      </c>
    </row>
    <row r="13" spans="1:21" ht="86.25" customHeight="1">
      <c r="A13" s="50"/>
      <c r="B13" s="58"/>
      <c r="C13" s="91" t="s">
        <v>22</v>
      </c>
      <c r="D13" s="79" t="s">
        <v>245</v>
      </c>
      <c r="E13" s="48" t="s">
        <v>306</v>
      </c>
      <c r="F13" s="48"/>
      <c r="G13" s="48"/>
      <c r="H13" s="48"/>
      <c r="I13" s="48"/>
      <c r="J13" s="48"/>
      <c r="K13" s="56"/>
      <c r="L13" s="51"/>
      <c r="M13" s="51"/>
      <c r="N13" s="51"/>
      <c r="O13" s="60" t="s">
        <v>246</v>
      </c>
      <c r="P13" s="60" t="s">
        <v>247</v>
      </c>
      <c r="Q13" s="60" t="s">
        <v>248</v>
      </c>
      <c r="R13" s="60" t="s">
        <v>249</v>
      </c>
      <c r="S13" s="60"/>
      <c r="T13" s="60" t="s">
        <v>250</v>
      </c>
      <c r="U13" s="60" t="s">
        <v>251</v>
      </c>
    </row>
    <row r="14" spans="1:21" ht="126" customHeight="1">
      <c r="A14" s="136"/>
      <c r="B14" s="128"/>
      <c r="C14" s="137" t="s">
        <v>23</v>
      </c>
      <c r="D14" s="138" t="s">
        <v>301</v>
      </c>
      <c r="E14" s="139" t="s">
        <v>294</v>
      </c>
      <c r="F14" s="140" t="s">
        <v>296</v>
      </c>
      <c r="G14" s="140" t="s">
        <v>296</v>
      </c>
      <c r="H14" s="140"/>
      <c r="I14" s="140"/>
      <c r="J14" s="140"/>
      <c r="K14" s="141" t="s">
        <v>381</v>
      </c>
      <c r="L14" s="51"/>
      <c r="M14" s="51"/>
      <c r="N14" s="51"/>
      <c r="O14" s="60" t="s">
        <v>252</v>
      </c>
      <c r="P14" s="60" t="s">
        <v>253</v>
      </c>
      <c r="Q14" s="60" t="s">
        <v>254</v>
      </c>
      <c r="R14" s="60" t="s">
        <v>255</v>
      </c>
      <c r="S14" s="60"/>
      <c r="T14" s="60" t="s">
        <v>256</v>
      </c>
      <c r="U14" s="60" t="s">
        <v>257</v>
      </c>
    </row>
    <row r="15" spans="1:21" ht="67.5" customHeight="1">
      <c r="A15" s="50"/>
      <c r="B15" s="58"/>
      <c r="C15" s="87" t="s">
        <v>24</v>
      </c>
      <c r="D15" s="79" t="s">
        <v>258</v>
      </c>
      <c r="E15" s="48" t="s">
        <v>306</v>
      </c>
      <c r="F15" s="48"/>
      <c r="G15" s="48"/>
      <c r="H15" s="48"/>
      <c r="I15" s="48"/>
      <c r="J15" s="48"/>
      <c r="K15" s="56" t="s">
        <v>314</v>
      </c>
      <c r="L15" s="51"/>
      <c r="M15" s="51"/>
      <c r="N15" s="51"/>
      <c r="O15" s="60" t="s">
        <v>259</v>
      </c>
      <c r="P15" s="60" t="s">
        <v>253</v>
      </c>
      <c r="Q15" s="60" t="s">
        <v>260</v>
      </c>
      <c r="R15" s="60" t="s">
        <v>261</v>
      </c>
      <c r="S15" s="60"/>
      <c r="T15" s="60" t="s">
        <v>262</v>
      </c>
      <c r="U15" s="60" t="s">
        <v>263</v>
      </c>
    </row>
    <row r="16" spans="1:21" ht="184.5" customHeight="1">
      <c r="A16" s="50"/>
      <c r="B16" s="58"/>
      <c r="C16" s="87" t="s">
        <v>25</v>
      </c>
      <c r="D16" s="79" t="s">
        <v>264</v>
      </c>
      <c r="E16" s="62" t="s">
        <v>294</v>
      </c>
      <c r="F16" s="65" t="s">
        <v>308</v>
      </c>
      <c r="G16" s="48"/>
      <c r="H16" s="48"/>
      <c r="I16" s="48"/>
      <c r="J16" s="48"/>
      <c r="K16" s="63" t="s">
        <v>309</v>
      </c>
      <c r="L16" s="64" t="s">
        <v>310</v>
      </c>
      <c r="M16" s="51"/>
      <c r="N16" s="51"/>
      <c r="O16" s="60" t="s">
        <v>265</v>
      </c>
      <c r="P16" s="60" t="s">
        <v>266</v>
      </c>
      <c r="Q16" s="60" t="s">
        <v>267</v>
      </c>
      <c r="R16" s="60" t="s">
        <v>268</v>
      </c>
      <c r="S16" s="60"/>
      <c r="T16" s="60" t="s">
        <v>269</v>
      </c>
      <c r="U16" s="60" t="s">
        <v>270</v>
      </c>
    </row>
    <row r="17" spans="1:21" ht="86.25" customHeight="1">
      <c r="A17" s="50"/>
      <c r="B17" s="58"/>
      <c r="C17" s="87" t="s">
        <v>26</v>
      </c>
      <c r="D17" s="79" t="s">
        <v>271</v>
      </c>
      <c r="E17" s="48" t="s">
        <v>306</v>
      </c>
      <c r="F17" s="48"/>
      <c r="G17" s="48"/>
      <c r="H17" s="48"/>
      <c r="I17" s="48"/>
      <c r="J17" s="48"/>
      <c r="K17" s="56"/>
      <c r="L17" s="51"/>
      <c r="M17" s="51"/>
      <c r="N17" s="51"/>
      <c r="O17" s="60" t="s">
        <v>272</v>
      </c>
      <c r="P17" s="60" t="s">
        <v>273</v>
      </c>
      <c r="Q17" s="60" t="s">
        <v>274</v>
      </c>
      <c r="R17" s="60" t="s">
        <v>275</v>
      </c>
      <c r="S17" s="60" t="s">
        <v>276</v>
      </c>
      <c r="T17" s="60" t="s">
        <v>277</v>
      </c>
      <c r="U17" s="60" t="s">
        <v>278</v>
      </c>
    </row>
    <row r="18" spans="1:21" ht="76.5" customHeight="1">
      <c r="A18" s="115"/>
      <c r="B18" s="116"/>
      <c r="C18" s="117" t="s">
        <v>27</v>
      </c>
      <c r="D18" s="118" t="s">
        <v>279</v>
      </c>
      <c r="E18" s="119" t="s">
        <v>294</v>
      </c>
      <c r="F18" s="120" t="s">
        <v>312</v>
      </c>
      <c r="G18" s="121"/>
      <c r="H18" s="121"/>
      <c r="I18" s="121"/>
      <c r="J18" s="121"/>
      <c r="K18" s="122" t="s">
        <v>316</v>
      </c>
      <c r="L18" s="51"/>
      <c r="M18" s="51"/>
      <c r="N18" s="51"/>
      <c r="O18" s="60" t="s">
        <v>280</v>
      </c>
      <c r="P18" s="60" t="s">
        <v>281</v>
      </c>
      <c r="Q18" s="60" t="s">
        <v>282</v>
      </c>
      <c r="R18" s="60" t="s">
        <v>283</v>
      </c>
      <c r="S18" s="60"/>
      <c r="T18" s="60" t="s">
        <v>284</v>
      </c>
      <c r="U18" s="60" t="s">
        <v>285</v>
      </c>
    </row>
    <row r="19" spans="1:21" ht="70.5" customHeight="1">
      <c r="A19" s="52"/>
      <c r="B19" s="59"/>
      <c r="C19" s="92" t="s">
        <v>28</v>
      </c>
      <c r="D19" s="81" t="s">
        <v>286</v>
      </c>
      <c r="E19" s="48" t="s">
        <v>306</v>
      </c>
      <c r="F19" s="53"/>
      <c r="G19" s="53"/>
      <c r="H19" s="53"/>
      <c r="I19" s="53"/>
      <c r="J19" s="53"/>
      <c r="K19" s="57"/>
      <c r="L19" s="54"/>
      <c r="M19" s="54"/>
      <c r="N19" s="54"/>
      <c r="O19" s="60" t="s">
        <v>287</v>
      </c>
      <c r="P19" s="60" t="s">
        <v>288</v>
      </c>
      <c r="Q19" s="60" t="s">
        <v>289</v>
      </c>
      <c r="R19" s="60" t="s">
        <v>290</v>
      </c>
      <c r="S19" s="60" t="s">
        <v>291</v>
      </c>
      <c r="T19" s="60" t="s">
        <v>292</v>
      </c>
      <c r="U19" s="60" t="s">
        <v>293</v>
      </c>
    </row>
    <row r="20" spans="1:21" ht="112.5" customHeight="1">
      <c r="A20" s="128"/>
      <c r="B20" s="128"/>
      <c r="C20" s="132" t="s">
        <v>150</v>
      </c>
      <c r="D20" s="133"/>
      <c r="E20" s="134"/>
      <c r="F20" s="134"/>
      <c r="G20" s="134"/>
      <c r="H20" s="134"/>
      <c r="I20" s="134"/>
      <c r="J20" s="134"/>
      <c r="K20" s="135" t="s">
        <v>377</v>
      </c>
      <c r="L20" s="58"/>
      <c r="M20" s="58"/>
      <c r="N20" s="58"/>
      <c r="O20" s="60"/>
      <c r="P20" s="60"/>
      <c r="Q20" s="60"/>
      <c r="R20" s="60"/>
      <c r="S20" s="60"/>
      <c r="T20" s="60"/>
      <c r="U20" s="60"/>
    </row>
    <row r="21" spans="1:21" ht="102.75" customHeight="1">
      <c r="A21" s="107"/>
      <c r="B21" s="107" t="s">
        <v>356</v>
      </c>
      <c r="C21" s="110">
        <v>25447523</v>
      </c>
      <c r="D21" s="110"/>
      <c r="E21" s="107"/>
      <c r="F21" s="107"/>
      <c r="G21" s="107"/>
      <c r="H21" s="107"/>
      <c r="I21" s="107"/>
      <c r="J21" s="107"/>
      <c r="K21" s="114" t="s">
        <v>313</v>
      </c>
    </row>
    <row r="22" spans="1:21" ht="188.25" customHeight="1">
      <c r="A22" s="123"/>
      <c r="B22" s="123" t="s">
        <v>356</v>
      </c>
      <c r="C22" s="126" t="s">
        <v>101</v>
      </c>
      <c r="D22" s="124"/>
      <c r="E22" s="123"/>
      <c r="F22" s="123" t="s">
        <v>296</v>
      </c>
      <c r="G22" s="123"/>
      <c r="H22" s="123"/>
      <c r="I22" s="123"/>
      <c r="J22" s="123"/>
      <c r="K22" s="127" t="s">
        <v>402</v>
      </c>
    </row>
    <row r="23" spans="1:21" ht="114" customHeight="1">
      <c r="A23" s="123"/>
      <c r="B23" s="123" t="s">
        <v>356</v>
      </c>
      <c r="C23" s="126" t="s">
        <v>317</v>
      </c>
      <c r="D23" s="124"/>
      <c r="E23" s="123"/>
      <c r="F23" s="123"/>
      <c r="G23" s="123"/>
      <c r="H23" s="123"/>
      <c r="I23" s="123"/>
      <c r="J23" s="123"/>
      <c r="K23" s="127" t="s">
        <v>414</v>
      </c>
    </row>
    <row r="24" spans="1:21" ht="114" customHeight="1">
      <c r="A24" s="123"/>
      <c r="B24" s="129"/>
      <c r="C24" s="133" t="s">
        <v>370</v>
      </c>
      <c r="D24" s="143"/>
      <c r="E24" s="129"/>
      <c r="F24" s="129"/>
      <c r="G24" s="129"/>
      <c r="H24" s="129"/>
      <c r="I24" s="129"/>
      <c r="J24" s="129"/>
      <c r="K24" s="135" t="s">
        <v>401</v>
      </c>
    </row>
    <row r="25" spans="1:21" ht="84" customHeight="1">
      <c r="B25" t="s">
        <v>356</v>
      </c>
      <c r="C25" s="84" t="s">
        <v>318</v>
      </c>
      <c r="D25" s="97" t="s">
        <v>361</v>
      </c>
    </row>
    <row r="26" spans="1:21" ht="60.75" customHeight="1">
      <c r="B26" t="s">
        <v>356</v>
      </c>
      <c r="C26" s="83" t="s">
        <v>319</v>
      </c>
    </row>
    <row r="27" spans="1:21" ht="66" customHeight="1">
      <c r="B27" t="s">
        <v>356</v>
      </c>
      <c r="C27" s="83" t="s">
        <v>320</v>
      </c>
    </row>
    <row r="28" spans="1:21" ht="97.5" customHeight="1">
      <c r="A28" s="107"/>
      <c r="B28" s="108" t="s">
        <v>356</v>
      </c>
      <c r="C28" s="109" t="s">
        <v>321</v>
      </c>
      <c r="D28" s="111" t="s">
        <v>364</v>
      </c>
      <c r="E28" s="107"/>
      <c r="F28" s="107"/>
      <c r="G28" s="107"/>
      <c r="H28" s="107"/>
      <c r="I28" s="107"/>
      <c r="J28" s="107"/>
      <c r="K28" s="107"/>
    </row>
    <row r="29" spans="1:21" ht="97.5" customHeight="1">
      <c r="A29" s="107"/>
      <c r="B29" s="108"/>
      <c r="C29" s="109">
        <v>2444666</v>
      </c>
      <c r="D29" s="110" t="s">
        <v>365</v>
      </c>
      <c r="E29" s="107"/>
      <c r="F29" s="107"/>
      <c r="G29" s="107"/>
      <c r="H29" s="107"/>
      <c r="I29" s="107"/>
      <c r="J29" s="107"/>
      <c r="K29" s="111" t="s">
        <v>369</v>
      </c>
    </row>
    <row r="30" spans="1:21" ht="90.75" customHeight="1">
      <c r="B30" s="107" t="s">
        <v>356</v>
      </c>
      <c r="C30" s="112" t="s">
        <v>322</v>
      </c>
      <c r="D30" s="113" t="s">
        <v>363</v>
      </c>
      <c r="E30" s="107"/>
      <c r="F30" s="107"/>
      <c r="G30" s="107"/>
      <c r="H30" s="107"/>
      <c r="I30" s="107"/>
      <c r="J30" s="107"/>
      <c r="K30" s="114" t="s">
        <v>362</v>
      </c>
    </row>
    <row r="31" spans="1:21" ht="49.5" customHeight="1">
      <c r="B31" t="s">
        <v>356</v>
      </c>
      <c r="C31" s="84" t="s">
        <v>323</v>
      </c>
    </row>
    <row r="32" spans="1:21" ht="248.25" customHeight="1">
      <c r="A32" s="129"/>
      <c r="B32" s="129" t="s">
        <v>356</v>
      </c>
      <c r="C32" s="143" t="s">
        <v>324</v>
      </c>
      <c r="D32" s="131" t="s">
        <v>366</v>
      </c>
      <c r="E32" s="129"/>
      <c r="F32" s="129"/>
      <c r="G32" s="129"/>
      <c r="H32" s="129"/>
      <c r="I32" s="129"/>
      <c r="J32" s="129"/>
      <c r="K32" s="144" t="s">
        <v>388</v>
      </c>
    </row>
    <row r="33" spans="1:11" ht="154.5" customHeight="1">
      <c r="A33" s="107"/>
      <c r="B33" s="107" t="s">
        <v>356</v>
      </c>
      <c r="C33" s="110" t="s">
        <v>325</v>
      </c>
      <c r="D33" s="113" t="s">
        <v>371</v>
      </c>
      <c r="E33" s="107"/>
      <c r="F33" s="107"/>
      <c r="G33" s="107"/>
      <c r="H33" s="107"/>
      <c r="I33" s="107"/>
      <c r="J33" s="107"/>
      <c r="K33" s="114" t="s">
        <v>387</v>
      </c>
    </row>
    <row r="34" spans="1:11" ht="69" customHeight="1">
      <c r="B34" t="s">
        <v>356</v>
      </c>
      <c r="C34" s="85" t="s">
        <v>326</v>
      </c>
      <c r="D34" s="76" t="s">
        <v>372</v>
      </c>
    </row>
    <row r="35" spans="1:11" ht="206.25" customHeight="1">
      <c r="A35" s="123"/>
      <c r="B35" s="123" t="s">
        <v>356</v>
      </c>
      <c r="C35" s="143" t="s">
        <v>327</v>
      </c>
      <c r="D35" s="131" t="s">
        <v>373</v>
      </c>
      <c r="E35" s="129"/>
      <c r="F35" s="129"/>
      <c r="G35" s="129"/>
      <c r="H35" s="129"/>
      <c r="I35" s="129"/>
      <c r="J35" s="129"/>
      <c r="K35" s="144" t="s">
        <v>421</v>
      </c>
    </row>
    <row r="36" spans="1:11" ht="197.25" customHeight="1">
      <c r="A36" s="107"/>
      <c r="B36" s="107" t="s">
        <v>356</v>
      </c>
      <c r="C36" s="110" t="s">
        <v>328</v>
      </c>
      <c r="D36" s="113" t="s">
        <v>384</v>
      </c>
      <c r="E36" s="107"/>
      <c r="F36" s="107"/>
      <c r="G36" s="107"/>
      <c r="H36" s="107"/>
      <c r="I36" s="107"/>
      <c r="J36" s="107"/>
      <c r="K36" s="114" t="s">
        <v>415</v>
      </c>
    </row>
    <row r="37" spans="1:11">
      <c r="B37" t="s">
        <v>356</v>
      </c>
      <c r="C37" s="110" t="s">
        <v>329</v>
      </c>
      <c r="D37" s="76" t="s">
        <v>400</v>
      </c>
    </row>
    <row r="38" spans="1:11">
      <c r="B38" t="s">
        <v>356</v>
      </c>
      <c r="C38" s="110" t="s">
        <v>330</v>
      </c>
      <c r="D38" s="76" t="s">
        <v>400</v>
      </c>
    </row>
    <row r="39" spans="1:11" ht="80.25" customHeight="1">
      <c r="A39" s="123"/>
      <c r="B39" s="123" t="s">
        <v>356</v>
      </c>
      <c r="C39" s="124" t="s">
        <v>331</v>
      </c>
      <c r="D39" s="124"/>
      <c r="E39" s="123"/>
      <c r="F39" s="123"/>
      <c r="G39" s="123"/>
      <c r="H39" s="123"/>
      <c r="I39" s="123"/>
      <c r="J39" s="123"/>
      <c r="K39" s="125" t="s">
        <v>412</v>
      </c>
    </row>
    <row r="40" spans="1:11" ht="50.25" customHeight="1">
      <c r="B40" t="s">
        <v>356</v>
      </c>
      <c r="C40" s="82" t="s">
        <v>332</v>
      </c>
    </row>
    <row r="41" spans="1:11">
      <c r="B41" t="s">
        <v>356</v>
      </c>
      <c r="C41" s="82" t="s">
        <v>333</v>
      </c>
    </row>
    <row r="42" spans="1:11">
      <c r="B42" t="s">
        <v>356</v>
      </c>
      <c r="C42" s="82" t="s">
        <v>334</v>
      </c>
    </row>
    <row r="43" spans="1:11">
      <c r="B43" t="s">
        <v>356</v>
      </c>
      <c r="C43" s="82" t="s">
        <v>335</v>
      </c>
    </row>
    <row r="44" spans="1:11" ht="80.25" customHeight="1">
      <c r="B44" t="s">
        <v>356</v>
      </c>
      <c r="C44" s="82" t="s">
        <v>336</v>
      </c>
      <c r="D44" s="76" t="s">
        <v>422</v>
      </c>
    </row>
    <row r="45" spans="1:11" ht="58.5" customHeight="1">
      <c r="B45" s="107" t="s">
        <v>356</v>
      </c>
      <c r="C45" s="110" t="s">
        <v>337</v>
      </c>
      <c r="D45" s="110" t="s">
        <v>423</v>
      </c>
      <c r="E45" s="107"/>
      <c r="F45" s="107"/>
      <c r="G45" s="107"/>
      <c r="H45" s="107"/>
      <c r="I45" s="107"/>
      <c r="J45" s="107"/>
      <c r="K45" s="107" t="s">
        <v>424</v>
      </c>
    </row>
    <row r="46" spans="1:11">
      <c r="B46" t="s">
        <v>356</v>
      </c>
      <c r="C46" s="82" t="s">
        <v>338</v>
      </c>
    </row>
    <row r="47" spans="1:11">
      <c r="B47" t="s">
        <v>356</v>
      </c>
      <c r="C47" s="82" t="s">
        <v>339</v>
      </c>
    </row>
    <row r="48" spans="1:11">
      <c r="B48" t="s">
        <v>356</v>
      </c>
      <c r="C48" s="82" t="s">
        <v>340</v>
      </c>
    </row>
    <row r="49" spans="2:3">
      <c r="B49" t="s">
        <v>356</v>
      </c>
      <c r="C49" s="82" t="s">
        <v>341</v>
      </c>
    </row>
    <row r="50" spans="2:3">
      <c r="B50" t="s">
        <v>356</v>
      </c>
      <c r="C50" s="82" t="s">
        <v>342</v>
      </c>
    </row>
    <row r="51" spans="2:3">
      <c r="B51" t="s">
        <v>356</v>
      </c>
      <c r="C51" s="85" t="s">
        <v>343</v>
      </c>
    </row>
    <row r="52" spans="2:3">
      <c r="B52" t="s">
        <v>356</v>
      </c>
      <c r="C52" s="82" t="s">
        <v>344</v>
      </c>
    </row>
    <row r="53" spans="2:3">
      <c r="B53" t="s">
        <v>356</v>
      </c>
      <c r="C53" s="85" t="s">
        <v>345</v>
      </c>
    </row>
    <row r="54" spans="2:3">
      <c r="B54" t="s">
        <v>356</v>
      </c>
      <c r="C54" s="85" t="s">
        <v>346</v>
      </c>
    </row>
    <row r="55" spans="2:3">
      <c r="B55" t="s">
        <v>356</v>
      </c>
      <c r="C55" s="76" t="s">
        <v>347</v>
      </c>
    </row>
    <row r="56" spans="2:3">
      <c r="B56" t="s">
        <v>356</v>
      </c>
      <c r="C56" s="77" t="s">
        <v>348</v>
      </c>
    </row>
    <row r="57" spans="2:3">
      <c r="B57" t="s">
        <v>356</v>
      </c>
      <c r="C57" s="76" t="s">
        <v>349</v>
      </c>
    </row>
    <row r="58" spans="2:3">
      <c r="B58" t="s">
        <v>352</v>
      </c>
      <c r="C58" s="77" t="s">
        <v>350</v>
      </c>
    </row>
    <row r="59" spans="2:3">
      <c r="B59" t="s">
        <v>352</v>
      </c>
      <c r="C59" s="77" t="s">
        <v>353</v>
      </c>
    </row>
    <row r="60" spans="2:3">
      <c r="B60" t="s">
        <v>352</v>
      </c>
      <c r="C60" s="76" t="s">
        <v>354</v>
      </c>
    </row>
    <row r="61" spans="2:3">
      <c r="B61" t="s">
        <v>352</v>
      </c>
      <c r="C61" s="76" t="s">
        <v>355</v>
      </c>
    </row>
    <row r="62" spans="2:3">
      <c r="B62" t="s">
        <v>352</v>
      </c>
      <c r="C62" s="95" t="s">
        <v>153</v>
      </c>
    </row>
    <row r="63" spans="2:3">
      <c r="B63" t="s">
        <v>352</v>
      </c>
      <c r="C63" s="95" t="s">
        <v>154</v>
      </c>
    </row>
    <row r="64" spans="2:3">
      <c r="B64" t="s">
        <v>352</v>
      </c>
      <c r="C64" s="95" t="s">
        <v>155</v>
      </c>
    </row>
    <row r="65" spans="1:11">
      <c r="B65" t="s">
        <v>352</v>
      </c>
      <c r="C65" s="95" t="s">
        <v>156</v>
      </c>
    </row>
    <row r="66" spans="1:11">
      <c r="B66" t="s">
        <v>352</v>
      </c>
      <c r="C66" s="95" t="s">
        <v>157</v>
      </c>
    </row>
    <row r="67" spans="1:11" ht="111" customHeight="1">
      <c r="B67" s="129" t="s">
        <v>352</v>
      </c>
      <c r="C67" s="130" t="s">
        <v>158</v>
      </c>
      <c r="D67" s="131" t="s">
        <v>374</v>
      </c>
      <c r="E67" s="129"/>
      <c r="F67" s="129"/>
      <c r="G67" s="129"/>
      <c r="H67" s="129"/>
      <c r="I67" s="129"/>
      <c r="J67" s="129"/>
      <c r="K67" s="129" t="s">
        <v>375</v>
      </c>
    </row>
    <row r="68" spans="1:11" ht="121.5" customHeight="1">
      <c r="A68" s="107"/>
      <c r="B68" s="107" t="s">
        <v>352</v>
      </c>
      <c r="C68" s="142" t="s">
        <v>159</v>
      </c>
      <c r="D68" s="113" t="s">
        <v>376</v>
      </c>
      <c r="E68" s="107"/>
      <c r="F68" s="107"/>
      <c r="G68" s="107"/>
      <c r="H68" s="107"/>
      <c r="I68" s="107"/>
      <c r="J68" s="107"/>
      <c r="K68" s="114" t="s">
        <v>385</v>
      </c>
    </row>
    <row r="69" spans="1:11" ht="60.75" customHeight="1">
      <c r="B69" t="s">
        <v>352</v>
      </c>
      <c r="C69" s="95" t="s">
        <v>160</v>
      </c>
    </row>
    <row r="70" spans="1:11">
      <c r="B70" t="s">
        <v>352</v>
      </c>
      <c r="C70" s="95" t="s">
        <v>161</v>
      </c>
    </row>
    <row r="71" spans="1:11">
      <c r="B71" t="s">
        <v>352</v>
      </c>
      <c r="C71" s="95" t="s">
        <v>162</v>
      </c>
    </row>
    <row r="72" spans="1:11">
      <c r="B72" t="s">
        <v>352</v>
      </c>
      <c r="C72" s="95" t="s">
        <v>163</v>
      </c>
    </row>
    <row r="73" spans="1:11">
      <c r="B73" t="s">
        <v>357</v>
      </c>
      <c r="C73" s="95" t="s">
        <v>147</v>
      </c>
    </row>
    <row r="74" spans="1:11">
      <c r="B74" t="s">
        <v>357</v>
      </c>
      <c r="C74" s="95" t="s">
        <v>148</v>
      </c>
    </row>
    <row r="75" spans="1:11">
      <c r="B75" t="s">
        <v>357</v>
      </c>
      <c r="C75" s="95" t="s">
        <v>149</v>
      </c>
    </row>
    <row r="76" spans="1:11">
      <c r="B76" t="s">
        <v>357</v>
      </c>
      <c r="C76" s="95" t="s">
        <v>150</v>
      </c>
    </row>
    <row r="77" spans="1:11">
      <c r="B77" t="s">
        <v>357</v>
      </c>
      <c r="C77" s="95" t="s">
        <v>151</v>
      </c>
    </row>
    <row r="78" spans="1:11">
      <c r="B78" t="s">
        <v>357</v>
      </c>
      <c r="C78" s="95" t="s">
        <v>152</v>
      </c>
    </row>
    <row r="79" spans="1:11">
      <c r="B79" t="s">
        <v>352</v>
      </c>
      <c r="C79" s="95" t="s">
        <v>132</v>
      </c>
    </row>
    <row r="80" spans="1:11">
      <c r="B80" t="s">
        <v>352</v>
      </c>
      <c r="C80" s="95" t="s">
        <v>21</v>
      </c>
    </row>
    <row r="81" spans="2:3">
      <c r="B81" t="s">
        <v>352</v>
      </c>
      <c r="C81" s="95" t="s">
        <v>133</v>
      </c>
    </row>
    <row r="82" spans="2:3">
      <c r="B82" t="s">
        <v>352</v>
      </c>
      <c r="C82" s="95" t="s">
        <v>40</v>
      </c>
    </row>
    <row r="83" spans="2:3">
      <c r="B83" t="s">
        <v>352</v>
      </c>
      <c r="C83" s="95" t="s">
        <v>134</v>
      </c>
    </row>
    <row r="84" spans="2:3">
      <c r="B84" t="s">
        <v>352</v>
      </c>
      <c r="C84" s="95" t="s">
        <v>135</v>
      </c>
    </row>
    <row r="85" spans="2:3">
      <c r="B85" t="s">
        <v>352</v>
      </c>
      <c r="C85" s="95" t="s">
        <v>136</v>
      </c>
    </row>
    <row r="86" spans="2:3">
      <c r="B86" t="s">
        <v>352</v>
      </c>
      <c r="C86" s="95" t="s">
        <v>137</v>
      </c>
    </row>
    <row r="87" spans="2:3">
      <c r="B87" t="s">
        <v>352</v>
      </c>
      <c r="C87" s="95" t="s">
        <v>138</v>
      </c>
    </row>
    <row r="88" spans="2:3">
      <c r="B88" t="s">
        <v>352</v>
      </c>
      <c r="C88" s="95" t="s">
        <v>139</v>
      </c>
    </row>
    <row r="89" spans="2:3">
      <c r="B89" t="s">
        <v>352</v>
      </c>
      <c r="C89" s="95" t="s">
        <v>140</v>
      </c>
    </row>
    <row r="90" spans="2:3">
      <c r="B90" t="s">
        <v>352</v>
      </c>
      <c r="C90" s="95" t="s">
        <v>141</v>
      </c>
    </row>
    <row r="91" spans="2:3">
      <c r="B91" t="s">
        <v>352</v>
      </c>
      <c r="C91" s="95" t="s">
        <v>142</v>
      </c>
    </row>
    <row r="92" spans="2:3">
      <c r="B92" t="s">
        <v>352</v>
      </c>
      <c r="C92" s="95" t="s">
        <v>143</v>
      </c>
    </row>
    <row r="93" spans="2:3">
      <c r="B93" t="s">
        <v>352</v>
      </c>
      <c r="C93" s="95" t="s">
        <v>144</v>
      </c>
    </row>
    <row r="94" spans="2:3">
      <c r="B94" t="s">
        <v>352</v>
      </c>
      <c r="C94" s="95" t="s">
        <v>145</v>
      </c>
    </row>
    <row r="95" spans="2:3">
      <c r="B95" t="s">
        <v>352</v>
      </c>
      <c r="C95" s="95" t="s">
        <v>146</v>
      </c>
    </row>
    <row r="96" spans="2:3">
      <c r="B96" t="s">
        <v>360</v>
      </c>
      <c r="C96" s="96" t="s">
        <v>358</v>
      </c>
    </row>
    <row r="97" spans="2:11">
      <c r="B97" t="s">
        <v>360</v>
      </c>
      <c r="C97" s="96" t="s">
        <v>106</v>
      </c>
    </row>
    <row r="98" spans="2:11">
      <c r="B98" t="s">
        <v>360</v>
      </c>
      <c r="C98" s="96" t="s">
        <v>359</v>
      </c>
    </row>
    <row r="99" spans="2:11">
      <c r="B99" t="s">
        <v>360</v>
      </c>
      <c r="C99" s="96" t="s">
        <v>16</v>
      </c>
    </row>
    <row r="100" spans="2:11">
      <c r="B100" t="s">
        <v>360</v>
      </c>
      <c r="C100" s="96" t="s">
        <v>17</v>
      </c>
    </row>
    <row r="101" spans="2:11">
      <c r="B101" t="s">
        <v>360</v>
      </c>
      <c r="C101" s="96" t="s">
        <v>19</v>
      </c>
    </row>
    <row r="102" spans="2:11">
      <c r="B102" t="s">
        <v>360</v>
      </c>
      <c r="C102" s="96" t="s">
        <v>20</v>
      </c>
    </row>
    <row r="103" spans="2:11">
      <c r="B103" t="s">
        <v>360</v>
      </c>
      <c r="C103" s="96" t="s">
        <v>109</v>
      </c>
    </row>
    <row r="104" spans="2:11">
      <c r="B104" t="s">
        <v>360</v>
      </c>
      <c r="C104" s="96" t="s">
        <v>110</v>
      </c>
    </row>
    <row r="105" spans="2:11" ht="69.75" customHeight="1">
      <c r="B105" s="107" t="s">
        <v>360</v>
      </c>
      <c r="C105" s="142" t="s">
        <v>111</v>
      </c>
      <c r="D105" s="110"/>
      <c r="E105" s="107"/>
      <c r="F105" s="107"/>
      <c r="G105" s="107"/>
      <c r="H105" s="107"/>
      <c r="I105" s="107"/>
      <c r="J105" s="107"/>
      <c r="K105" s="107" t="s">
        <v>382</v>
      </c>
    </row>
    <row r="106" spans="2:11">
      <c r="B106" t="s">
        <v>360</v>
      </c>
      <c r="C106" s="96" t="s">
        <v>112</v>
      </c>
    </row>
    <row r="107" spans="2:11">
      <c r="B107" t="s">
        <v>360</v>
      </c>
      <c r="C107" s="96" t="s">
        <v>22</v>
      </c>
    </row>
    <row r="108" spans="2:11">
      <c r="B108" t="s">
        <v>360</v>
      </c>
      <c r="C108" s="96" t="s">
        <v>113</v>
      </c>
    </row>
    <row r="109" spans="2:11">
      <c r="B109" t="s">
        <v>360</v>
      </c>
      <c r="C109" s="96" t="s">
        <v>114</v>
      </c>
    </row>
    <row r="110" spans="2:11" ht="60" customHeight="1">
      <c r="B110" s="107" t="s">
        <v>360</v>
      </c>
      <c r="C110" s="142" t="s">
        <v>115</v>
      </c>
      <c r="D110" s="110"/>
      <c r="E110" s="107"/>
      <c r="F110" s="107"/>
      <c r="G110" s="107"/>
      <c r="H110" s="107"/>
      <c r="I110" s="107"/>
      <c r="J110" s="107"/>
      <c r="K110" s="114" t="s">
        <v>383</v>
      </c>
    </row>
    <row r="111" spans="2:11">
      <c r="B111" t="s">
        <v>360</v>
      </c>
      <c r="C111" s="96" t="s">
        <v>116</v>
      </c>
    </row>
    <row r="112" spans="2:11">
      <c r="B112" t="s">
        <v>360</v>
      </c>
      <c r="C112" s="96" t="s">
        <v>117</v>
      </c>
    </row>
    <row r="113" spans="2:11">
      <c r="B113" t="s">
        <v>360</v>
      </c>
      <c r="C113" s="96" t="s">
        <v>118</v>
      </c>
    </row>
    <row r="114" spans="2:11">
      <c r="B114" t="s">
        <v>360</v>
      </c>
      <c r="C114" s="96" t="s">
        <v>119</v>
      </c>
    </row>
    <row r="115" spans="2:11">
      <c r="B115" t="s">
        <v>360</v>
      </c>
      <c r="C115" s="96" t="s">
        <v>120</v>
      </c>
    </row>
    <row r="116" spans="2:11">
      <c r="B116" t="s">
        <v>360</v>
      </c>
      <c r="C116" s="96" t="s">
        <v>121</v>
      </c>
    </row>
    <row r="117" spans="2:11">
      <c r="B117" t="s">
        <v>360</v>
      </c>
      <c r="C117" s="96" t="s">
        <v>122</v>
      </c>
    </row>
    <row r="118" spans="2:11">
      <c r="B118" t="s">
        <v>360</v>
      </c>
      <c r="C118" s="96" t="s">
        <v>123</v>
      </c>
    </row>
    <row r="119" spans="2:11">
      <c r="B119" t="s">
        <v>360</v>
      </c>
      <c r="C119" s="96" t="s">
        <v>124</v>
      </c>
    </row>
    <row r="120" spans="2:11">
      <c r="B120" t="s">
        <v>360</v>
      </c>
      <c r="C120" s="96" t="s">
        <v>125</v>
      </c>
    </row>
    <row r="121" spans="2:11">
      <c r="B121" t="s">
        <v>360</v>
      </c>
      <c r="C121" s="96" t="s">
        <v>126</v>
      </c>
    </row>
    <row r="122" spans="2:11">
      <c r="B122" t="s">
        <v>360</v>
      </c>
      <c r="C122" s="96" t="s">
        <v>127</v>
      </c>
    </row>
    <row r="123" spans="2:11">
      <c r="B123" t="s">
        <v>360</v>
      </c>
      <c r="C123" s="96" t="s">
        <v>128</v>
      </c>
    </row>
    <row r="124" spans="2:11">
      <c r="B124" t="s">
        <v>360</v>
      </c>
      <c r="C124" s="96" t="s">
        <v>129</v>
      </c>
    </row>
    <row r="125" spans="2:11">
      <c r="B125" t="s">
        <v>360</v>
      </c>
      <c r="C125" s="96" t="s">
        <v>130</v>
      </c>
    </row>
    <row r="126" spans="2:11">
      <c r="B126" t="s">
        <v>360</v>
      </c>
      <c r="C126" s="96" t="s">
        <v>131</v>
      </c>
    </row>
    <row r="127" spans="2:11" ht="102.75" customHeight="1">
      <c r="B127" s="123"/>
      <c r="C127" s="124" t="s">
        <v>378</v>
      </c>
      <c r="D127" s="124"/>
      <c r="E127" s="123"/>
      <c r="F127" s="123"/>
      <c r="G127" s="123"/>
      <c r="H127" s="123"/>
      <c r="I127" s="123"/>
      <c r="J127" s="123"/>
      <c r="K127" s="125" t="s">
        <v>393</v>
      </c>
    </row>
    <row r="128" spans="2:11" ht="96.75" customHeight="1">
      <c r="B128" s="129"/>
      <c r="C128" s="143" t="s">
        <v>379</v>
      </c>
      <c r="D128" s="143"/>
      <c r="E128" s="129"/>
      <c r="F128" s="129"/>
      <c r="G128" s="129"/>
      <c r="H128" s="129"/>
      <c r="I128" s="129"/>
      <c r="J128" s="129"/>
      <c r="K128" s="144" t="s">
        <v>392</v>
      </c>
    </row>
    <row r="129" spans="1:11" ht="212.25" customHeight="1">
      <c r="B129" s="123"/>
      <c r="C129" s="124" t="s">
        <v>386</v>
      </c>
      <c r="D129" s="124"/>
      <c r="E129" s="123"/>
      <c r="F129" s="123"/>
      <c r="G129" s="123"/>
      <c r="H129" s="123"/>
      <c r="I129" s="123"/>
      <c r="J129" s="123"/>
      <c r="K129" s="125" t="s">
        <v>420</v>
      </c>
    </row>
    <row r="130" spans="1:11" ht="91.5" customHeight="1">
      <c r="C130" s="124" t="s">
        <v>389</v>
      </c>
      <c r="D130" s="124"/>
      <c r="E130" s="123"/>
      <c r="F130" s="123"/>
      <c r="G130" s="123"/>
      <c r="H130" s="123"/>
      <c r="I130" s="123"/>
      <c r="J130" s="123"/>
      <c r="K130" s="125" t="s">
        <v>417</v>
      </c>
    </row>
    <row r="131" spans="1:11" ht="120">
      <c r="B131" s="123"/>
      <c r="C131" s="124" t="s">
        <v>390</v>
      </c>
      <c r="D131" s="124"/>
      <c r="E131" s="123"/>
      <c r="F131" s="123"/>
      <c r="G131" s="123"/>
      <c r="H131" s="123"/>
      <c r="I131" s="123"/>
      <c r="J131" s="123"/>
      <c r="K131" s="125" t="s">
        <v>391</v>
      </c>
    </row>
    <row r="132" spans="1:11" ht="60">
      <c r="B132" s="123"/>
      <c r="C132" s="124" t="s">
        <v>394</v>
      </c>
      <c r="D132" s="124">
        <v>37126554444</v>
      </c>
      <c r="E132" s="123"/>
      <c r="F132" s="123"/>
      <c r="G132" s="123"/>
      <c r="H132" s="123"/>
      <c r="I132" s="123"/>
      <c r="J132" s="123"/>
      <c r="K132" s="125" t="s">
        <v>411</v>
      </c>
    </row>
    <row r="133" spans="1:11" ht="66" customHeight="1">
      <c r="B133" s="107"/>
      <c r="C133" s="110" t="s">
        <v>395</v>
      </c>
      <c r="D133" s="110"/>
      <c r="E133" s="107"/>
      <c r="F133" s="107"/>
      <c r="G133" s="107"/>
      <c r="H133" s="107"/>
      <c r="I133" s="107"/>
      <c r="J133" s="107"/>
      <c r="K133" s="114" t="s">
        <v>396</v>
      </c>
    </row>
    <row r="134" spans="1:11" ht="30">
      <c r="B134" s="107"/>
      <c r="C134" s="110" t="s">
        <v>397</v>
      </c>
      <c r="D134" s="110"/>
      <c r="E134" s="107"/>
      <c r="F134" s="107"/>
      <c r="G134" s="107"/>
      <c r="H134" s="107"/>
      <c r="I134" s="107"/>
      <c r="J134" s="107"/>
      <c r="K134" s="114" t="s">
        <v>418</v>
      </c>
    </row>
    <row r="137" spans="1:11" ht="93" customHeight="1">
      <c r="C137" s="124" t="s">
        <v>398</v>
      </c>
      <c r="D137" s="124"/>
      <c r="E137" s="123"/>
      <c r="F137" s="123"/>
      <c r="G137" s="123"/>
      <c r="H137" s="123"/>
      <c r="I137" s="123"/>
      <c r="J137" s="123"/>
      <c r="K137" s="125" t="s">
        <v>399</v>
      </c>
    </row>
    <row r="138" spans="1:11" ht="75" customHeight="1">
      <c r="C138" s="124" t="s">
        <v>403</v>
      </c>
      <c r="D138" s="124"/>
      <c r="E138" s="123"/>
      <c r="F138" s="123"/>
      <c r="G138" s="123"/>
      <c r="H138" s="123"/>
      <c r="I138" s="123"/>
      <c r="J138" s="123"/>
      <c r="K138" s="125" t="s">
        <v>404</v>
      </c>
    </row>
    <row r="139" spans="1:11" ht="75">
      <c r="A139" s="129"/>
      <c r="B139" s="129"/>
      <c r="C139" s="143" t="s">
        <v>405</v>
      </c>
      <c r="D139" s="143"/>
      <c r="E139" s="129"/>
      <c r="F139" s="129"/>
      <c r="G139" s="129"/>
      <c r="H139" s="129"/>
      <c r="I139" s="129"/>
      <c r="J139" s="129"/>
      <c r="K139" s="144" t="s">
        <v>413</v>
      </c>
    </row>
    <row r="140" spans="1:11" ht="75">
      <c r="A140" s="107"/>
      <c r="B140" s="107"/>
      <c r="C140" s="110" t="s">
        <v>407</v>
      </c>
      <c r="D140" s="110"/>
      <c r="E140" s="107"/>
      <c r="F140" s="107"/>
      <c r="G140" s="107"/>
      <c r="H140" s="107"/>
      <c r="I140" s="107"/>
      <c r="J140" s="107"/>
      <c r="K140" s="114" t="s">
        <v>408</v>
      </c>
    </row>
    <row r="141" spans="1:11" ht="61.5" customHeight="1">
      <c r="A141" s="107"/>
      <c r="B141" s="107"/>
      <c r="C141" s="110" t="s">
        <v>409</v>
      </c>
      <c r="D141" s="110"/>
      <c r="E141" s="107"/>
      <c r="F141" s="107"/>
      <c r="G141" s="107"/>
      <c r="H141" s="107"/>
      <c r="I141" s="107"/>
      <c r="J141" s="107"/>
      <c r="K141" s="114" t="s">
        <v>419</v>
      </c>
    </row>
    <row r="142" spans="1:11" ht="45" customHeight="1">
      <c r="A142" s="123"/>
      <c r="B142" s="123"/>
      <c r="C142" s="145" t="s">
        <v>410</v>
      </c>
      <c r="D142" s="124"/>
      <c r="E142" s="123"/>
      <c r="F142" s="123"/>
      <c r="G142" s="123"/>
      <c r="H142" s="123"/>
      <c r="I142" s="123"/>
      <c r="J142" s="123"/>
      <c r="K142" s="125" t="s">
        <v>416</v>
      </c>
    </row>
  </sheetData>
  <hyperlinks>
    <hyperlink ref="F18" r:id="rId1" xr:uid="{F3A02A3F-8433-4ECA-96B5-1BACC9CEB5AE}"/>
    <hyperlink ref="C25" r:id="rId2" xr:uid="{91D4F019-EEA8-4517-B0FF-0BD9691A75AD}"/>
    <hyperlink ref="C28" r:id="rId3" xr:uid="{12EB0C3F-2981-4717-AA0B-B2676B18DC4B}"/>
    <hyperlink ref="C30" r:id="rId4" xr:uid="{84AAC47B-7C94-42AC-99A4-62E44E98CED3}"/>
    <hyperlink ref="C31" r:id="rId5" xr:uid="{4474AED8-FCC4-4E24-AEC7-774B9D71F680}"/>
    <hyperlink ref="C32" r:id="rId6" xr:uid="{807F583A-EF02-4269-8B48-F07D24F0534B}"/>
    <hyperlink ref="C33" r:id="rId7" xr:uid="{7ECAF9C3-4CD1-4BBA-9894-9DE232104776}"/>
    <hyperlink ref="C34" r:id="rId8" xr:uid="{7E761559-C917-4BC0-BB3B-CCC3206A73C6}"/>
    <hyperlink ref="C35" r:id="rId9" xr:uid="{5E9F98ED-2214-49CB-AE15-6CC05D5122F8}"/>
    <hyperlink ref="C53" r:id="rId10" xr:uid="{1C58DEF9-94E2-46C6-A5D7-4E3074CBFCB5}"/>
    <hyperlink ref="C54" r:id="rId11" xr:uid="{59D4912E-7FF1-4B0C-8405-4B55CABC7598}"/>
    <hyperlink ref="C56" r:id="rId12" xr:uid="{3518336C-2BBB-46AD-AB3E-F451B772A67D}"/>
    <hyperlink ref="C58" r:id="rId13" xr:uid="{EADD1584-47CB-4794-AA34-008A9C4FC203}"/>
    <hyperlink ref="C59" r:id="rId14" xr:uid="{6FD98985-9CC6-4519-AE44-5C3236FE08D7}"/>
    <hyperlink ref="C36" r:id="rId15" xr:uid="{69B42676-626E-49F8-8B44-130F27EF3211}"/>
    <hyperlink ref="C51" r:id="rId16" xr:uid="{4C37BA9B-6A78-4703-B576-65D288A983E0}"/>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topLeftCell="B13" zoomScale="85" zoomScaleNormal="85" workbookViewId="0">
      <selection activeCell="D9" sqref="D9"/>
    </sheetView>
  </sheetViews>
  <sheetFormatPr defaultColWidth="14.42578125" defaultRowHeight="15"/>
  <cols>
    <col min="1" max="1" width="13.5703125" customWidth="1"/>
    <col min="2" max="2" width="16.5703125" customWidth="1"/>
    <col min="3" max="3" width="29.42578125" customWidth="1"/>
    <col min="4" max="4" width="25.42578125" customWidth="1"/>
    <col min="5" max="7" width="15.7109375" customWidth="1"/>
    <col min="8" max="8" width="36.5703125" customWidth="1"/>
    <col min="9" max="9" width="57.7109375" customWidth="1"/>
    <col min="10" max="10" width="44.85546875" customWidth="1"/>
    <col min="11" max="11" width="54.140625" customWidth="1"/>
    <col min="12" max="12" width="20.5703125" customWidth="1"/>
    <col min="13" max="13" width="19.5703125" customWidth="1"/>
    <col min="14" max="27" width="8.7109375" customWidth="1"/>
  </cols>
  <sheetData>
    <row r="1" spans="1:13" ht="74.25" customHeight="1">
      <c r="A1" s="2" t="s">
        <v>0</v>
      </c>
      <c r="B1" s="4" t="s">
        <v>29</v>
      </c>
      <c r="C1" s="6" t="s">
        <v>30</v>
      </c>
      <c r="D1" s="6"/>
      <c r="E1" s="6" t="s">
        <v>31</v>
      </c>
      <c r="F1" s="6" t="s">
        <v>32</v>
      </c>
      <c r="G1" s="6" t="s">
        <v>6</v>
      </c>
      <c r="H1" s="6" t="s">
        <v>33</v>
      </c>
      <c r="I1" s="6" t="s">
        <v>34</v>
      </c>
      <c r="J1" s="6" t="s">
        <v>35</v>
      </c>
      <c r="K1" s="6" t="s">
        <v>36</v>
      </c>
      <c r="L1" s="6" t="s">
        <v>37</v>
      </c>
      <c r="M1" s="9" t="s">
        <v>38</v>
      </c>
    </row>
    <row r="2" spans="1:13">
      <c r="A2" s="10"/>
      <c r="B2" s="11" t="s">
        <v>39</v>
      </c>
      <c r="C2" s="12" t="s">
        <v>40</v>
      </c>
      <c r="D2" s="13">
        <v>1</v>
      </c>
      <c r="E2" s="13">
        <v>0</v>
      </c>
      <c r="F2" s="13">
        <v>0</v>
      </c>
      <c r="G2" s="13"/>
      <c r="H2" s="14"/>
      <c r="I2" s="14"/>
      <c r="J2" s="14"/>
      <c r="K2" s="13"/>
      <c r="L2" s="13"/>
      <c r="M2" s="15"/>
    </row>
    <row r="3" spans="1:13">
      <c r="A3" s="10"/>
      <c r="B3" s="11" t="s">
        <v>39</v>
      </c>
      <c r="C3" s="12" t="s">
        <v>41</v>
      </c>
      <c r="D3" s="13">
        <v>1</v>
      </c>
      <c r="E3" s="13">
        <v>0</v>
      </c>
      <c r="F3" s="13">
        <v>0</v>
      </c>
      <c r="G3" s="13"/>
      <c r="H3" s="14"/>
      <c r="I3" s="14"/>
      <c r="J3" s="14"/>
      <c r="K3" s="13"/>
      <c r="L3" s="13"/>
      <c r="M3" s="15"/>
    </row>
    <row r="4" spans="1:13" ht="91.5" customHeight="1">
      <c r="A4" s="18"/>
      <c r="B4" s="19" t="s">
        <v>39</v>
      </c>
      <c r="C4" s="21" t="s">
        <v>42</v>
      </c>
      <c r="D4" s="22">
        <v>1</v>
      </c>
      <c r="E4" s="22">
        <v>1</v>
      </c>
      <c r="F4" s="22">
        <v>0</v>
      </c>
      <c r="G4" s="22"/>
      <c r="H4" s="23" t="s">
        <v>43</v>
      </c>
      <c r="I4" s="24" t="s">
        <v>44</v>
      </c>
      <c r="J4" s="47" t="s">
        <v>45</v>
      </c>
      <c r="K4" s="22"/>
      <c r="L4" s="22"/>
      <c r="M4" s="25"/>
    </row>
    <row r="5" spans="1:13" ht="30">
      <c r="A5" s="18"/>
      <c r="B5" s="19" t="s">
        <v>39</v>
      </c>
      <c r="C5" s="21" t="s">
        <v>46</v>
      </c>
      <c r="D5" s="22">
        <v>1</v>
      </c>
      <c r="E5" s="22">
        <v>1</v>
      </c>
      <c r="F5" s="22">
        <v>0</v>
      </c>
      <c r="G5" s="22"/>
      <c r="H5" s="23" t="s">
        <v>47</v>
      </c>
      <c r="I5" s="23" t="s">
        <v>48</v>
      </c>
      <c r="J5" s="23"/>
      <c r="K5" s="22"/>
      <c r="L5" s="22"/>
      <c r="M5" s="25"/>
    </row>
    <row r="6" spans="1:13" ht="210" customHeight="1">
      <c r="A6" s="18"/>
      <c r="B6" s="19" t="s">
        <v>39</v>
      </c>
      <c r="C6" s="21" t="s">
        <v>49</v>
      </c>
      <c r="D6" s="22">
        <v>1</v>
      </c>
      <c r="E6" s="22">
        <v>1</v>
      </c>
      <c r="F6" s="22">
        <v>0</v>
      </c>
      <c r="G6" s="22"/>
      <c r="H6" s="23" t="s">
        <v>50</v>
      </c>
      <c r="I6" s="23" t="s">
        <v>51</v>
      </c>
      <c r="J6" s="23"/>
      <c r="K6" s="22" t="s">
        <v>52</v>
      </c>
      <c r="L6" s="22"/>
      <c r="M6" s="25"/>
    </row>
    <row r="7" spans="1:13" ht="33.75" customHeight="1">
      <c r="A7" s="18"/>
      <c r="B7" s="19" t="s">
        <v>39</v>
      </c>
      <c r="C7" s="21" t="s">
        <v>53</v>
      </c>
      <c r="D7" s="22">
        <v>1</v>
      </c>
      <c r="E7" s="22">
        <v>1</v>
      </c>
      <c r="F7" s="22">
        <v>0</v>
      </c>
      <c r="G7" s="22"/>
      <c r="H7" s="23" t="s">
        <v>54</v>
      </c>
      <c r="I7" s="23" t="s">
        <v>55</v>
      </c>
      <c r="J7" s="23"/>
      <c r="K7" s="22"/>
      <c r="L7" s="22"/>
      <c r="M7" s="25"/>
    </row>
    <row r="8" spans="1:13" ht="33" customHeight="1">
      <c r="A8" s="27"/>
      <c r="B8" s="28" t="s">
        <v>39</v>
      </c>
      <c r="C8" s="29" t="s">
        <v>56</v>
      </c>
      <c r="D8" s="30">
        <v>1</v>
      </c>
      <c r="E8" s="30">
        <v>1</v>
      </c>
      <c r="F8" s="30">
        <v>1</v>
      </c>
      <c r="G8" s="30">
        <v>1</v>
      </c>
      <c r="H8" s="31" t="s">
        <v>57</v>
      </c>
      <c r="I8" s="32" t="s">
        <v>58</v>
      </c>
      <c r="J8" s="32"/>
      <c r="K8" s="30" t="s">
        <v>59</v>
      </c>
      <c r="L8" s="30" t="s">
        <v>60</v>
      </c>
      <c r="M8" s="33"/>
    </row>
    <row r="9" spans="1:13" ht="81.75" customHeight="1">
      <c r="A9" s="18"/>
      <c r="B9" s="19" t="s">
        <v>39</v>
      </c>
      <c r="C9" s="21" t="s">
        <v>61</v>
      </c>
      <c r="D9" s="22">
        <v>1</v>
      </c>
      <c r="E9" s="22">
        <v>1</v>
      </c>
      <c r="F9" s="22">
        <v>0</v>
      </c>
      <c r="G9" s="22"/>
      <c r="H9" s="23" t="s">
        <v>62</v>
      </c>
      <c r="I9" s="23" t="s">
        <v>63</v>
      </c>
      <c r="J9" s="23"/>
      <c r="K9" s="23" t="s">
        <v>64</v>
      </c>
      <c r="L9" s="22"/>
      <c r="M9" s="25"/>
    </row>
    <row r="10" spans="1:13">
      <c r="A10" s="10"/>
      <c r="B10" s="11" t="s">
        <v>39</v>
      </c>
      <c r="C10" s="12" t="s">
        <v>65</v>
      </c>
      <c r="D10" s="13">
        <v>1</v>
      </c>
      <c r="E10" s="13">
        <v>0</v>
      </c>
      <c r="F10" s="13">
        <v>0</v>
      </c>
      <c r="G10" s="13"/>
      <c r="H10" s="14"/>
      <c r="I10" s="14"/>
      <c r="J10" s="14"/>
      <c r="K10" s="13"/>
      <c r="L10" s="13"/>
      <c r="M10" s="15"/>
    </row>
    <row r="11" spans="1:13">
      <c r="A11" s="18"/>
      <c r="B11" s="19" t="s">
        <v>39</v>
      </c>
      <c r="C11" s="21" t="s">
        <v>66</v>
      </c>
      <c r="D11" s="22">
        <v>1</v>
      </c>
      <c r="E11" s="22">
        <v>1</v>
      </c>
      <c r="F11" s="22">
        <v>0</v>
      </c>
      <c r="G11" s="22"/>
      <c r="H11" s="23"/>
      <c r="I11" s="23" t="s">
        <v>67</v>
      </c>
      <c r="J11" s="23"/>
      <c r="K11" s="22"/>
      <c r="L11" s="22" t="s">
        <v>68</v>
      </c>
      <c r="M11" s="25"/>
    </row>
    <row r="12" spans="1:13" ht="57.75" customHeight="1">
      <c r="A12" s="10"/>
      <c r="B12" s="11" t="s">
        <v>39</v>
      </c>
      <c r="C12" s="12" t="s">
        <v>69</v>
      </c>
      <c r="D12" s="13">
        <v>1</v>
      </c>
      <c r="E12" s="13">
        <v>1</v>
      </c>
      <c r="F12" s="13">
        <v>0</v>
      </c>
      <c r="G12" s="13"/>
      <c r="H12" s="14" t="s">
        <v>70</v>
      </c>
      <c r="I12" s="14" t="s">
        <v>71</v>
      </c>
      <c r="J12" s="14"/>
      <c r="K12" s="13"/>
      <c r="L12" s="13"/>
      <c r="M12" s="15"/>
    </row>
    <row r="13" spans="1:13" ht="56.25" customHeight="1">
      <c r="A13" s="18"/>
      <c r="B13" s="19" t="s">
        <v>39</v>
      </c>
      <c r="C13" s="21" t="s">
        <v>72</v>
      </c>
      <c r="D13" s="22">
        <v>1</v>
      </c>
      <c r="E13" s="22">
        <v>1</v>
      </c>
      <c r="F13" s="22">
        <v>0</v>
      </c>
      <c r="G13" s="22"/>
      <c r="H13" s="34" t="s">
        <v>73</v>
      </c>
      <c r="I13" s="23" t="s">
        <v>74</v>
      </c>
      <c r="J13" s="23"/>
      <c r="K13" s="22"/>
      <c r="L13" s="22"/>
      <c r="M13" s="25"/>
    </row>
    <row r="14" spans="1:13" ht="15.75" customHeight="1">
      <c r="A14" s="18"/>
      <c r="B14" s="19" t="s">
        <v>39</v>
      </c>
      <c r="C14" s="21" t="s">
        <v>75</v>
      </c>
      <c r="D14" s="22">
        <v>1</v>
      </c>
      <c r="E14" s="22">
        <v>0</v>
      </c>
      <c r="F14" s="22">
        <v>0</v>
      </c>
      <c r="G14" s="22">
        <v>0</v>
      </c>
      <c r="H14" s="23" t="s">
        <v>76</v>
      </c>
      <c r="I14" s="23" t="s">
        <v>77</v>
      </c>
      <c r="J14" s="23"/>
      <c r="K14" s="23" t="s">
        <v>78</v>
      </c>
      <c r="L14" s="22"/>
      <c r="M14" s="25"/>
    </row>
    <row r="15" spans="1:13" ht="15.75" customHeight="1">
      <c r="A15" s="18"/>
      <c r="B15" s="19" t="s">
        <v>39</v>
      </c>
      <c r="C15" s="21" t="s">
        <v>79</v>
      </c>
      <c r="D15" s="22">
        <v>1</v>
      </c>
      <c r="E15" s="22">
        <v>0</v>
      </c>
      <c r="F15" s="22">
        <v>0</v>
      </c>
      <c r="G15" s="22">
        <v>0</v>
      </c>
      <c r="H15" s="23"/>
      <c r="I15" s="23"/>
      <c r="J15" s="23"/>
      <c r="K15" s="22"/>
      <c r="L15" s="22"/>
      <c r="M15" s="25"/>
    </row>
    <row r="16" spans="1:13" ht="15.75" customHeight="1">
      <c r="A16" s="18"/>
      <c r="B16" s="19" t="s">
        <v>39</v>
      </c>
      <c r="C16" s="21" t="s">
        <v>80</v>
      </c>
      <c r="D16" s="22">
        <v>1</v>
      </c>
      <c r="E16" s="22">
        <v>1</v>
      </c>
      <c r="F16" s="22">
        <v>0</v>
      </c>
      <c r="G16" s="22">
        <v>0</v>
      </c>
      <c r="H16" s="23" t="s">
        <v>81</v>
      </c>
      <c r="I16" s="23" t="s">
        <v>82</v>
      </c>
      <c r="J16" s="23"/>
      <c r="K16" s="23"/>
      <c r="L16" s="22"/>
      <c r="M16" s="25"/>
    </row>
    <row r="17" spans="1:27" ht="15.75" customHeight="1">
      <c r="A17" s="10"/>
      <c r="B17" s="11" t="s">
        <v>39</v>
      </c>
      <c r="C17" s="12" t="s">
        <v>83</v>
      </c>
      <c r="D17" s="13">
        <v>1</v>
      </c>
      <c r="E17" s="13">
        <v>0</v>
      </c>
      <c r="F17" s="13"/>
      <c r="G17" s="13"/>
      <c r="H17" s="14"/>
      <c r="I17" s="14" t="s">
        <v>84</v>
      </c>
      <c r="J17" s="14"/>
      <c r="K17" s="13"/>
      <c r="L17" s="13"/>
      <c r="M17" s="15"/>
    </row>
    <row r="18" spans="1:27" ht="15.75" customHeight="1">
      <c r="A18" s="18"/>
      <c r="B18" s="19" t="s">
        <v>39</v>
      </c>
      <c r="C18" s="21" t="s">
        <v>85</v>
      </c>
      <c r="D18" s="22">
        <v>1</v>
      </c>
      <c r="E18" s="22">
        <v>0</v>
      </c>
      <c r="F18" s="22">
        <v>0</v>
      </c>
      <c r="G18" s="22">
        <v>0</v>
      </c>
      <c r="H18" s="23"/>
      <c r="I18" s="23" t="s">
        <v>86</v>
      </c>
      <c r="J18" s="23"/>
      <c r="K18" s="22"/>
      <c r="L18" s="22"/>
      <c r="M18" s="25"/>
    </row>
    <row r="19" spans="1:27" ht="57" customHeight="1">
      <c r="A19" s="27"/>
      <c r="B19" s="28" t="s">
        <v>39</v>
      </c>
      <c r="C19" s="29" t="s">
        <v>87</v>
      </c>
      <c r="D19" s="30">
        <v>1</v>
      </c>
      <c r="E19" s="35">
        <v>1</v>
      </c>
      <c r="F19" s="30">
        <v>0</v>
      </c>
      <c r="G19" s="30">
        <v>0</v>
      </c>
      <c r="H19" s="32" t="s">
        <v>88</v>
      </c>
      <c r="I19" s="32" t="s">
        <v>89</v>
      </c>
      <c r="J19" s="32"/>
      <c r="K19" s="36" t="s">
        <v>90</v>
      </c>
      <c r="L19" s="30"/>
      <c r="M19" s="33"/>
    </row>
    <row r="20" spans="1:27" ht="146.25" customHeight="1">
      <c r="A20" s="10"/>
      <c r="B20" s="11" t="s">
        <v>39</v>
      </c>
      <c r="C20" s="12" t="s">
        <v>91</v>
      </c>
      <c r="D20" s="13">
        <v>1</v>
      </c>
      <c r="E20" s="13">
        <v>1</v>
      </c>
      <c r="F20" s="13">
        <v>0</v>
      </c>
      <c r="G20" s="13">
        <v>0</v>
      </c>
      <c r="H20" s="14" t="s">
        <v>92</v>
      </c>
      <c r="I20" s="37" t="s">
        <v>93</v>
      </c>
      <c r="J20" s="37"/>
      <c r="K20" s="13"/>
      <c r="L20" s="13" t="s">
        <v>68</v>
      </c>
      <c r="M20" s="15"/>
    </row>
    <row r="21" spans="1:27" ht="109.5" customHeight="1">
      <c r="A21" s="10"/>
      <c r="B21" s="11" t="s">
        <v>39</v>
      </c>
      <c r="C21" s="12" t="s">
        <v>94</v>
      </c>
      <c r="D21" s="13">
        <v>1</v>
      </c>
      <c r="E21" s="13">
        <v>1</v>
      </c>
      <c r="F21" s="13">
        <v>0</v>
      </c>
      <c r="G21" s="13">
        <v>0</v>
      </c>
      <c r="H21" s="14" t="s">
        <v>95</v>
      </c>
      <c r="I21" s="14" t="s">
        <v>96</v>
      </c>
      <c r="J21" s="14"/>
      <c r="K21" s="13"/>
      <c r="L21" s="13" t="s">
        <v>97</v>
      </c>
      <c r="M21" s="15"/>
    </row>
    <row r="22" spans="1:27" ht="71.25" customHeight="1">
      <c r="A22" s="18"/>
      <c r="B22" s="19" t="s">
        <v>39</v>
      </c>
      <c r="C22" s="21" t="s">
        <v>98</v>
      </c>
      <c r="D22" s="22">
        <v>1</v>
      </c>
      <c r="E22" s="22">
        <v>1</v>
      </c>
      <c r="F22" s="22"/>
      <c r="G22" s="22"/>
      <c r="H22" s="38" t="s">
        <v>99</v>
      </c>
      <c r="I22" s="14" t="s">
        <v>100</v>
      </c>
      <c r="J22" s="14"/>
      <c r="K22" s="22"/>
      <c r="L22" s="22"/>
      <c r="M22" s="25"/>
    </row>
    <row r="23" spans="1:27" ht="71.25" customHeight="1">
      <c r="C23" s="1" t="s">
        <v>101</v>
      </c>
    </row>
    <row r="24" spans="1:27" ht="71.25" customHeight="1">
      <c r="C24" s="1" t="s">
        <v>102</v>
      </c>
      <c r="D24" s="1" t="s">
        <v>103</v>
      </c>
    </row>
    <row r="25" spans="1:27" ht="71.25" customHeight="1">
      <c r="C25" s="1" t="s">
        <v>104</v>
      </c>
    </row>
    <row r="26" spans="1:27" ht="71.25" customHeight="1">
      <c r="C26" s="1" t="s">
        <v>105</v>
      </c>
    </row>
    <row r="27" spans="1:27" ht="71.25" customHeight="1"/>
    <row r="28" spans="1:27" ht="71.25" customHeight="1"/>
    <row r="29" spans="1:27" ht="71.25" customHeight="1"/>
    <row r="30" spans="1:27" ht="71.25" customHeight="1"/>
    <row r="31" spans="1:27" ht="71.25" customHeight="1">
      <c r="A31" s="39"/>
      <c r="B31" s="39"/>
      <c r="C31" s="39" t="s">
        <v>106</v>
      </c>
      <c r="D31" s="39"/>
      <c r="E31" s="39" t="s">
        <v>107</v>
      </c>
      <c r="F31" s="39"/>
      <c r="G31" s="39"/>
      <c r="H31" s="39"/>
      <c r="I31" s="39" t="s">
        <v>108</v>
      </c>
      <c r="J31" s="39"/>
      <c r="K31" s="39"/>
      <c r="L31" s="39"/>
      <c r="M31" s="39"/>
      <c r="N31" s="39"/>
      <c r="O31" s="39"/>
      <c r="P31" s="39"/>
      <c r="Q31" s="39"/>
      <c r="R31" s="39"/>
      <c r="S31" s="39"/>
      <c r="T31" s="39"/>
      <c r="U31" s="39"/>
      <c r="V31" s="39"/>
      <c r="W31" s="39"/>
      <c r="X31" s="39"/>
      <c r="Y31" s="39"/>
      <c r="Z31" s="39"/>
      <c r="AA31" s="39"/>
    </row>
    <row r="32" spans="1:27" ht="71.25" customHeight="1">
      <c r="C32" s="1"/>
    </row>
    <row r="33" spans="3:3" ht="71.25" customHeight="1">
      <c r="C33" s="1"/>
    </row>
    <row r="34" spans="3:3" ht="71.25" customHeight="1"/>
    <row r="35" spans="3:3" ht="71.25" customHeight="1">
      <c r="C35" s="1"/>
    </row>
    <row r="36" spans="3:3" ht="71.25" customHeight="1"/>
    <row r="37" spans="3:3" ht="71.25" customHeight="1"/>
    <row r="38" spans="3:3" ht="71.25" customHeight="1">
      <c r="C38" s="40" t="s">
        <v>102</v>
      </c>
    </row>
    <row r="39" spans="3:3" ht="71.25" customHeight="1">
      <c r="C39" s="41" t="s">
        <v>104</v>
      </c>
    </row>
    <row r="40" spans="3:3" ht="71.25" customHeight="1">
      <c r="C40" s="40"/>
    </row>
    <row r="41" spans="3:3" ht="71.25" customHeight="1">
      <c r="C41" s="41"/>
    </row>
    <row r="42" spans="3:3" ht="71.25" customHeight="1">
      <c r="C42" s="40"/>
    </row>
    <row r="43" spans="3:3" ht="71.25" customHeight="1">
      <c r="C43" s="41"/>
    </row>
    <row r="44" spans="3:3" ht="71.25" customHeight="1">
      <c r="C44" s="40"/>
    </row>
    <row r="45" spans="3:3" ht="71.25" customHeight="1">
      <c r="C45" s="40"/>
    </row>
    <row r="46" spans="3:3" ht="71.25" customHeight="1">
      <c r="C46" s="41"/>
    </row>
    <row r="47" spans="3:3" ht="71.25" customHeight="1">
      <c r="C47" s="40"/>
    </row>
    <row r="48" spans="3:3" ht="71.25" customHeight="1">
      <c r="C48" s="41" t="s">
        <v>17</v>
      </c>
    </row>
    <row r="49" spans="3:3" ht="71.25" customHeight="1">
      <c r="C49" s="40"/>
    </row>
    <row r="50" spans="3:3" ht="71.25" customHeight="1">
      <c r="C50" s="41" t="s">
        <v>20</v>
      </c>
    </row>
    <row r="51" spans="3:3" ht="71.25" customHeight="1">
      <c r="C51" s="40" t="s">
        <v>109</v>
      </c>
    </row>
    <row r="52" spans="3:3" ht="71.25" customHeight="1">
      <c r="C52" s="41" t="s">
        <v>110</v>
      </c>
    </row>
    <row r="53" spans="3:3" ht="71.25" customHeight="1">
      <c r="C53" s="40" t="s">
        <v>111</v>
      </c>
    </row>
    <row r="54" spans="3:3" ht="71.25" customHeight="1">
      <c r="C54" s="41" t="s">
        <v>112</v>
      </c>
    </row>
    <row r="55" spans="3:3" ht="71.25" customHeight="1"/>
    <row r="56" spans="3:3" ht="71.25" customHeight="1">
      <c r="C56" s="41" t="s">
        <v>23</v>
      </c>
    </row>
    <row r="57" spans="3:3" ht="71.25" customHeight="1">
      <c r="C57" s="40" t="s">
        <v>113</v>
      </c>
    </row>
    <row r="58" spans="3:3" ht="71.25" customHeight="1">
      <c r="C58" s="41" t="s">
        <v>114</v>
      </c>
    </row>
    <row r="59" spans="3:3" ht="71.25" customHeight="1">
      <c r="C59" s="40" t="s">
        <v>115</v>
      </c>
    </row>
    <row r="60" spans="3:3" ht="71.25" customHeight="1">
      <c r="C60" s="41" t="s">
        <v>116</v>
      </c>
    </row>
    <row r="61" spans="3:3" ht="71.25" customHeight="1">
      <c r="C61" s="40" t="s">
        <v>117</v>
      </c>
    </row>
    <row r="62" spans="3:3" ht="71.25" customHeight="1">
      <c r="C62" s="41" t="s">
        <v>118</v>
      </c>
    </row>
    <row r="63" spans="3:3" ht="71.25" customHeight="1">
      <c r="C63" s="40" t="s">
        <v>119</v>
      </c>
    </row>
    <row r="64" spans="3:3" ht="71.25" customHeight="1">
      <c r="C64" s="41" t="s">
        <v>120</v>
      </c>
    </row>
    <row r="65" spans="3:3" ht="71.25" customHeight="1">
      <c r="C65" s="40" t="s">
        <v>121</v>
      </c>
    </row>
    <row r="66" spans="3:3" ht="71.25" customHeight="1">
      <c r="C66" s="41" t="s">
        <v>122</v>
      </c>
    </row>
    <row r="67" spans="3:3" ht="71.25" customHeight="1">
      <c r="C67" s="40" t="s">
        <v>123</v>
      </c>
    </row>
    <row r="68" spans="3:3" ht="71.25" customHeight="1">
      <c r="C68" s="41" t="s">
        <v>124</v>
      </c>
    </row>
    <row r="69" spans="3:3" ht="71.25" customHeight="1">
      <c r="C69" s="40" t="s">
        <v>125</v>
      </c>
    </row>
    <row r="70" spans="3:3" ht="71.25" customHeight="1">
      <c r="C70" s="41" t="s">
        <v>126</v>
      </c>
    </row>
    <row r="71" spans="3:3" ht="71.25" customHeight="1">
      <c r="C71" s="40" t="s">
        <v>127</v>
      </c>
    </row>
    <row r="72" spans="3:3" ht="71.25" customHeight="1">
      <c r="C72" s="41" t="s">
        <v>128</v>
      </c>
    </row>
    <row r="73" spans="3:3" ht="71.25" customHeight="1">
      <c r="C73" s="40" t="s">
        <v>129</v>
      </c>
    </row>
    <row r="74" spans="3:3" ht="71.25" customHeight="1">
      <c r="C74" s="41" t="s">
        <v>130</v>
      </c>
    </row>
    <row r="75" spans="3:3" ht="71.25" customHeight="1">
      <c r="C75" s="40" t="s">
        <v>131</v>
      </c>
    </row>
    <row r="76" spans="3:3" ht="71.25" customHeight="1">
      <c r="C76" s="41" t="s">
        <v>132</v>
      </c>
    </row>
    <row r="77" spans="3:3" ht="71.25" customHeight="1">
      <c r="C77" s="40" t="s">
        <v>21</v>
      </c>
    </row>
    <row r="78" spans="3:3" ht="71.25" customHeight="1">
      <c r="C78" s="41" t="s">
        <v>133</v>
      </c>
    </row>
    <row r="79" spans="3:3" ht="71.25" customHeight="1">
      <c r="C79" s="40" t="s">
        <v>40</v>
      </c>
    </row>
    <row r="80" spans="3:3" ht="71.25" customHeight="1">
      <c r="C80" s="41" t="s">
        <v>134</v>
      </c>
    </row>
    <row r="81" spans="3:3" ht="71.25" customHeight="1">
      <c r="C81" s="40" t="s">
        <v>135</v>
      </c>
    </row>
    <row r="82" spans="3:3" ht="71.25" customHeight="1">
      <c r="C82" s="41" t="s">
        <v>136</v>
      </c>
    </row>
    <row r="83" spans="3:3" ht="71.25" customHeight="1">
      <c r="C83" s="40" t="s">
        <v>137</v>
      </c>
    </row>
    <row r="84" spans="3:3" ht="71.25" customHeight="1">
      <c r="C84" s="41" t="s">
        <v>138</v>
      </c>
    </row>
    <row r="85" spans="3:3" ht="71.25" customHeight="1">
      <c r="C85" s="40" t="s">
        <v>139</v>
      </c>
    </row>
    <row r="86" spans="3:3" ht="71.25" customHeight="1">
      <c r="C86" s="41" t="s">
        <v>140</v>
      </c>
    </row>
    <row r="87" spans="3:3" ht="71.25" customHeight="1">
      <c r="C87" s="40" t="s">
        <v>141</v>
      </c>
    </row>
    <row r="88" spans="3:3" ht="71.25" customHeight="1">
      <c r="C88" s="41" t="s">
        <v>142</v>
      </c>
    </row>
    <row r="89" spans="3:3" ht="71.25" customHeight="1">
      <c r="C89" s="40" t="s">
        <v>143</v>
      </c>
    </row>
    <row r="90" spans="3:3" ht="71.25" customHeight="1">
      <c r="C90" s="41" t="s">
        <v>144</v>
      </c>
    </row>
    <row r="91" spans="3:3" ht="71.25" customHeight="1">
      <c r="C91" s="40" t="s">
        <v>145</v>
      </c>
    </row>
    <row r="92" spans="3:3" ht="71.25" customHeight="1">
      <c r="C92" s="41" t="s">
        <v>146</v>
      </c>
    </row>
    <row r="93" spans="3:3" ht="71.25" customHeight="1">
      <c r="C93" s="40" t="s">
        <v>147</v>
      </c>
    </row>
    <row r="94" spans="3:3" ht="71.25" customHeight="1">
      <c r="C94" s="41" t="s">
        <v>148</v>
      </c>
    </row>
    <row r="95" spans="3:3" ht="71.25" customHeight="1">
      <c r="C95" s="40" t="s">
        <v>149</v>
      </c>
    </row>
    <row r="96" spans="3:3" ht="71.25" customHeight="1">
      <c r="C96" s="41" t="s">
        <v>150</v>
      </c>
    </row>
    <row r="97" spans="3:10" ht="71.25" customHeight="1">
      <c r="C97" s="40" t="s">
        <v>151</v>
      </c>
    </row>
    <row r="98" spans="3:10" ht="71.25" customHeight="1">
      <c r="C98" s="41" t="s">
        <v>152</v>
      </c>
    </row>
    <row r="99" spans="3:10" ht="71.25" customHeight="1">
      <c r="C99" s="40" t="s">
        <v>153</v>
      </c>
    </row>
    <row r="100" spans="3:10" ht="71.25" customHeight="1">
      <c r="C100" s="41" t="s">
        <v>154</v>
      </c>
    </row>
    <row r="101" spans="3:10" ht="71.25" customHeight="1">
      <c r="C101" s="40" t="s">
        <v>155</v>
      </c>
    </row>
    <row r="102" spans="3:10" ht="71.25" customHeight="1">
      <c r="C102" s="41" t="s">
        <v>156</v>
      </c>
    </row>
    <row r="103" spans="3:10" ht="71.25" customHeight="1">
      <c r="C103" s="40" t="s">
        <v>157</v>
      </c>
    </row>
    <row r="104" spans="3:10" ht="71.25" customHeight="1">
      <c r="C104" s="41" t="s">
        <v>158</v>
      </c>
    </row>
    <row r="105" spans="3:10" ht="71.25" customHeight="1">
      <c r="C105" s="40" t="s">
        <v>159</v>
      </c>
    </row>
    <row r="106" spans="3:10" ht="71.25" customHeight="1">
      <c r="C106" s="41" t="s">
        <v>160</v>
      </c>
    </row>
    <row r="107" spans="3:10" ht="71.25" customHeight="1">
      <c r="C107" s="40" t="s">
        <v>161</v>
      </c>
    </row>
    <row r="108" spans="3:10" ht="71.25" customHeight="1">
      <c r="C108" s="41" t="s">
        <v>162</v>
      </c>
    </row>
    <row r="109" spans="3:10" ht="71.25" customHeight="1">
      <c r="C109" s="40" t="s">
        <v>163</v>
      </c>
    </row>
    <row r="110" spans="3:10">
      <c r="C110" s="5" t="s">
        <v>164</v>
      </c>
      <c r="D110" s="1">
        <f>SUM(D2:D22)</f>
        <v>21</v>
      </c>
      <c r="E110" s="1">
        <f t="shared" ref="E110:G110" si="0">SUM(E2:E22)</f>
        <v>14</v>
      </c>
      <c r="F110" s="1">
        <f t="shared" si="0"/>
        <v>1</v>
      </c>
      <c r="G110" s="1">
        <f t="shared" si="0"/>
        <v>1</v>
      </c>
      <c r="H110" s="3"/>
      <c r="I110" s="3"/>
      <c r="J110" s="3"/>
    </row>
    <row r="111" spans="3:10">
      <c r="C111" t="s">
        <v>165</v>
      </c>
      <c r="D111" s="46"/>
      <c r="E111" s="46">
        <f>E110/D110</f>
        <v>0.66666666666666663</v>
      </c>
      <c r="F111" s="46">
        <f>F110/E110</f>
        <v>7.1428571428571425E-2</v>
      </c>
      <c r="G111" s="46">
        <f>G110/F110</f>
        <v>1</v>
      </c>
      <c r="H111" s="3"/>
      <c r="I111" s="3"/>
      <c r="J111" s="3"/>
    </row>
    <row r="112" spans="3:10">
      <c r="H112" s="3"/>
      <c r="I112" s="3"/>
      <c r="J112" s="3"/>
    </row>
    <row r="113" spans="3:10">
      <c r="H113" s="3"/>
      <c r="I113" s="3"/>
      <c r="J113" s="3"/>
    </row>
    <row r="114" spans="3:10">
      <c r="H114" s="3"/>
      <c r="I114" s="3"/>
      <c r="J114" s="3"/>
    </row>
    <row r="115" spans="3:10">
      <c r="H115" s="3"/>
      <c r="I115" s="3"/>
      <c r="J115" s="3"/>
    </row>
    <row r="116" spans="3:10">
      <c r="H116" s="3"/>
      <c r="I116" s="3"/>
      <c r="J116" s="3"/>
    </row>
    <row r="117" spans="3:10">
      <c r="H117" s="3"/>
      <c r="I117" s="3"/>
      <c r="J117" s="3"/>
    </row>
    <row r="118" spans="3:10">
      <c r="H118" s="3"/>
      <c r="I118" s="3"/>
      <c r="J118" s="3"/>
    </row>
    <row r="119" spans="3:10" ht="71.25" customHeight="1">
      <c r="C119" s="42"/>
    </row>
    <row r="120" spans="3:10" ht="71.25" customHeight="1">
      <c r="C120" s="42"/>
    </row>
    <row r="121" spans="3:10" ht="71.25" customHeight="1">
      <c r="C121" s="42"/>
    </row>
    <row r="122" spans="3:10" ht="71.25" customHeight="1">
      <c r="C122" s="42"/>
    </row>
    <row r="123" spans="3:10" ht="71.25" customHeight="1">
      <c r="C123" s="42"/>
    </row>
    <row r="124" spans="3:10" ht="71.25" customHeight="1">
      <c r="C124" s="42"/>
    </row>
    <row r="125" spans="3:10" ht="71.25" customHeight="1">
      <c r="C125" s="42"/>
    </row>
    <row r="126" spans="3:10" ht="71.25" customHeight="1">
      <c r="C126" s="42"/>
    </row>
    <row r="127" spans="3:10" ht="71.25" customHeight="1">
      <c r="C127" s="42"/>
    </row>
    <row r="128" spans="3:10" ht="71.25" customHeight="1">
      <c r="C128" s="42"/>
    </row>
    <row r="129" spans="3:3" ht="71.25" customHeight="1">
      <c r="C129" s="42"/>
    </row>
    <row r="130" spans="3:3" ht="71.25" customHeight="1">
      <c r="C130" s="42"/>
    </row>
    <row r="131" spans="3:3" ht="71.25" customHeight="1">
      <c r="C131" s="42"/>
    </row>
    <row r="132" spans="3:3" ht="71.25" customHeight="1">
      <c r="C132" s="42"/>
    </row>
    <row r="133" spans="3:3" ht="71.25" customHeight="1">
      <c r="C133" s="42"/>
    </row>
    <row r="134" spans="3:3" ht="71.25" customHeight="1">
      <c r="C134" s="42"/>
    </row>
    <row r="135" spans="3:3" ht="71.25" customHeight="1">
      <c r="C135" s="42"/>
    </row>
    <row r="136" spans="3:3" ht="71.25" customHeight="1">
      <c r="C136" s="42"/>
    </row>
    <row r="137" spans="3:3" ht="71.25" customHeight="1">
      <c r="C137" s="42"/>
    </row>
    <row r="138" spans="3:3" ht="71.25" customHeight="1">
      <c r="C138" s="42"/>
    </row>
    <row r="139" spans="3:3" ht="71.25" customHeight="1">
      <c r="C139" s="42"/>
    </row>
    <row r="140" spans="3:3" ht="71.25" customHeight="1">
      <c r="C140" s="42"/>
    </row>
    <row r="141" spans="3:3" ht="71.25" customHeight="1">
      <c r="C141" s="42"/>
    </row>
    <row r="142" spans="3:3" ht="71.25" customHeight="1">
      <c r="C142" s="42"/>
    </row>
    <row r="143" spans="3:3" ht="71.25" customHeight="1">
      <c r="C143" s="42"/>
    </row>
    <row r="144" spans="3:3" ht="71.25" customHeight="1">
      <c r="C144" s="42"/>
    </row>
    <row r="145" spans="3:11" ht="71.25" customHeight="1">
      <c r="C145" s="42"/>
    </row>
    <row r="146" spans="3:11" ht="71.25" customHeight="1">
      <c r="C146" s="42"/>
    </row>
    <row r="147" spans="3:11" ht="71.25" customHeight="1">
      <c r="C147" s="42"/>
    </row>
    <row r="148" spans="3:11" ht="71.25" customHeight="1">
      <c r="C148" s="42"/>
    </row>
    <row r="149" spans="3:11" ht="71.25" customHeight="1">
      <c r="C149" s="42"/>
    </row>
    <row r="150" spans="3:11" ht="71.25" customHeight="1">
      <c r="C150" s="42"/>
    </row>
    <row r="151" spans="3:11" ht="71.25" customHeight="1"/>
    <row r="152" spans="3:11" ht="71.25" customHeight="1"/>
    <row r="153" spans="3:11" ht="71.25" customHeight="1"/>
    <row r="154" spans="3:11" ht="71.25" customHeight="1"/>
    <row r="155" spans="3:11" ht="71.25" customHeight="1"/>
    <row r="156" spans="3:11" ht="71.25" customHeight="1"/>
    <row r="157" spans="3:11" ht="71.25" customHeight="1"/>
    <row r="158" spans="3:11" ht="71.25" customHeight="1"/>
    <row r="159" spans="3:11" ht="15.75" customHeight="1">
      <c r="C159" s="43" t="s">
        <v>164</v>
      </c>
      <c r="D159" s="44">
        <f t="shared" ref="D159:G159" si="1">SUM(D2:D21)</f>
        <v>20</v>
      </c>
      <c r="E159" s="44">
        <f t="shared" si="1"/>
        <v>13</v>
      </c>
      <c r="F159" s="44">
        <f t="shared" si="1"/>
        <v>1</v>
      </c>
      <c r="G159" s="44">
        <f t="shared" si="1"/>
        <v>1</v>
      </c>
      <c r="H159" s="45"/>
      <c r="I159" s="45"/>
      <c r="J159" s="45"/>
      <c r="K159" s="44"/>
    </row>
    <row r="160" spans="3:11" ht="15.75" customHeight="1">
      <c r="C160" s="5" t="s">
        <v>166</v>
      </c>
      <c r="D160" s="26">
        <f>D159/D159</f>
        <v>1</v>
      </c>
      <c r="E160" s="26">
        <f t="shared" ref="E160:G160" si="2">E159/D159</f>
        <v>0.65</v>
      </c>
      <c r="F160" s="26">
        <f t="shared" si="2"/>
        <v>7.6923076923076927E-2</v>
      </c>
      <c r="G160" s="26">
        <f t="shared" si="2"/>
        <v>1</v>
      </c>
      <c r="H160" s="3"/>
      <c r="I160" s="3"/>
      <c r="J160" s="3"/>
    </row>
    <row r="161" spans="3:10" ht="15.75" customHeight="1">
      <c r="C161" s="5"/>
      <c r="H161" s="3"/>
      <c r="I161" s="3"/>
      <c r="J161" s="3"/>
    </row>
    <row r="162" spans="3:10" ht="15.75" customHeight="1">
      <c r="G162" s="26"/>
      <c r="H162" s="3"/>
      <c r="I162" s="3"/>
      <c r="J162" s="3"/>
    </row>
    <row r="163" spans="3:10" ht="15.75" customHeight="1">
      <c r="H163" s="3"/>
      <c r="I163" s="3"/>
      <c r="J163" s="3"/>
    </row>
    <row r="164" spans="3:10" ht="15.75" customHeight="1">
      <c r="H164" s="3"/>
      <c r="I164" s="3"/>
      <c r="J164" s="3"/>
    </row>
    <row r="165" spans="3:10" ht="15.75" customHeight="1">
      <c r="H165" s="3"/>
      <c r="I165" s="3"/>
      <c r="J165" s="3"/>
    </row>
    <row r="166" spans="3:10" ht="15.75" customHeight="1">
      <c r="H166" s="3"/>
      <c r="I166" s="3"/>
      <c r="J166" s="3"/>
    </row>
    <row r="167" spans="3:10" ht="15.75" customHeight="1">
      <c r="H167" s="3"/>
      <c r="I167" s="3"/>
      <c r="J167" s="3"/>
    </row>
    <row r="168" spans="3:10" ht="15.75" customHeight="1">
      <c r="H168" s="3"/>
      <c r="I168" s="3"/>
      <c r="J168" s="3"/>
    </row>
    <row r="169" spans="3:10" ht="15.75" customHeight="1">
      <c r="H169" s="3"/>
      <c r="I169" s="3"/>
      <c r="J169" s="3"/>
    </row>
    <row r="170" spans="3:10" ht="15.75" customHeight="1">
      <c r="H170" s="3"/>
      <c r="I170" s="3"/>
      <c r="J170" s="3"/>
    </row>
    <row r="171" spans="3:10" ht="15.75" customHeight="1">
      <c r="H171" s="3"/>
      <c r="I171" s="3"/>
      <c r="J171" s="3"/>
    </row>
    <row r="172" spans="3:10" ht="15.75" customHeight="1">
      <c r="H172" s="3"/>
      <c r="I172" s="3"/>
      <c r="J172" s="3"/>
    </row>
    <row r="173" spans="3:10" ht="15.75" customHeight="1">
      <c r="H173" s="3"/>
      <c r="I173" s="3"/>
      <c r="J173" s="3"/>
    </row>
    <row r="174" spans="3:10" ht="15.75" customHeight="1">
      <c r="H174" s="3"/>
      <c r="I174" s="3"/>
      <c r="J174" s="3"/>
    </row>
    <row r="175" spans="3:10" ht="15.75" customHeight="1">
      <c r="H175" s="3"/>
      <c r="I175" s="3"/>
      <c r="J175" s="3"/>
    </row>
    <row r="176" spans="3:10" ht="15.75" customHeight="1">
      <c r="H176" s="3"/>
      <c r="I176" s="3"/>
      <c r="J176" s="3"/>
    </row>
    <row r="177" spans="8:10" ht="15.75" customHeight="1">
      <c r="H177" s="3"/>
      <c r="I177" s="3"/>
      <c r="J177" s="3"/>
    </row>
    <row r="178" spans="8:10" ht="15.75" customHeight="1">
      <c r="H178" s="3"/>
      <c r="I178" s="3"/>
      <c r="J178" s="3"/>
    </row>
    <row r="179" spans="8:10" ht="15.75" customHeight="1">
      <c r="H179" s="3"/>
      <c r="I179" s="3"/>
      <c r="J179" s="3"/>
    </row>
    <row r="180" spans="8:10" ht="15.75" customHeight="1">
      <c r="H180" s="3"/>
      <c r="I180" s="3"/>
      <c r="J180" s="3"/>
    </row>
    <row r="181" spans="8:10" ht="15.75" customHeight="1">
      <c r="H181" s="3"/>
      <c r="I181" s="3"/>
      <c r="J181" s="3"/>
    </row>
    <row r="182" spans="8:10" ht="15.75" customHeight="1">
      <c r="H182" s="3"/>
      <c r="I182" s="3"/>
      <c r="J182" s="3"/>
    </row>
    <row r="183" spans="8:10" ht="15.75" customHeight="1">
      <c r="H183" s="3"/>
      <c r="I183" s="3"/>
      <c r="J183" s="3"/>
    </row>
    <row r="184" spans="8:10" ht="15.75" customHeight="1">
      <c r="H184" s="3"/>
      <c r="I184" s="3"/>
      <c r="J184" s="3"/>
    </row>
    <row r="185" spans="8:10" ht="15.75" customHeight="1">
      <c r="H185" s="3"/>
      <c r="I185" s="3"/>
      <c r="J185" s="3"/>
    </row>
    <row r="186" spans="8:10" ht="15.75" customHeight="1">
      <c r="H186" s="3"/>
      <c r="I186" s="3"/>
      <c r="J186" s="3"/>
    </row>
    <row r="187" spans="8:10" ht="15.75" customHeight="1">
      <c r="H187" s="3"/>
      <c r="I187" s="3"/>
      <c r="J187" s="3"/>
    </row>
    <row r="188" spans="8:10" ht="15.75" customHeight="1">
      <c r="H188" s="3"/>
      <c r="I188" s="3"/>
      <c r="J188" s="3"/>
    </row>
    <row r="189" spans="8:10" ht="15.75" customHeight="1">
      <c r="H189" s="3"/>
      <c r="I189" s="3"/>
      <c r="J189" s="3"/>
    </row>
    <row r="190" spans="8:10" ht="15.75" customHeight="1">
      <c r="H190" s="3"/>
      <c r="I190" s="3"/>
      <c r="J190" s="3"/>
    </row>
    <row r="191" spans="8:10" ht="15.75" customHeight="1">
      <c r="H191" s="3"/>
      <c r="I191" s="3"/>
      <c r="J191" s="3"/>
    </row>
    <row r="192" spans="8:10" ht="15.75" customHeight="1">
      <c r="H192" s="3"/>
      <c r="I192" s="3"/>
      <c r="J192" s="3"/>
    </row>
    <row r="193" spans="8:10" ht="15.75" customHeight="1">
      <c r="H193" s="3"/>
      <c r="I193" s="3"/>
      <c r="J193" s="3"/>
    </row>
    <row r="194" spans="8:10" ht="15.75" customHeight="1">
      <c r="H194" s="3"/>
      <c r="I194" s="3"/>
      <c r="J194" s="3"/>
    </row>
    <row r="195" spans="8:10" ht="15.75" customHeight="1">
      <c r="H195" s="3"/>
      <c r="I195" s="3"/>
      <c r="J195" s="3"/>
    </row>
    <row r="196" spans="8:10" ht="15.75" customHeight="1">
      <c r="H196" s="3"/>
      <c r="I196" s="3"/>
      <c r="J196" s="3"/>
    </row>
    <row r="197" spans="8:10" ht="15.75" customHeight="1">
      <c r="H197" s="3"/>
      <c r="I197" s="3"/>
      <c r="J197" s="3"/>
    </row>
    <row r="198" spans="8:10" ht="15.75" customHeight="1">
      <c r="H198" s="3"/>
      <c r="I198" s="3"/>
      <c r="J198" s="3"/>
    </row>
    <row r="199" spans="8:10" ht="15.75" customHeight="1">
      <c r="H199" s="3"/>
      <c r="I199" s="3"/>
      <c r="J199" s="3"/>
    </row>
    <row r="200" spans="8:10" ht="15.75" customHeight="1">
      <c r="H200" s="3"/>
      <c r="I200" s="3"/>
      <c r="J200" s="3"/>
    </row>
    <row r="201" spans="8:10" ht="15.75" customHeight="1">
      <c r="H201" s="3"/>
      <c r="I201" s="3"/>
      <c r="J201" s="3"/>
    </row>
    <row r="202" spans="8:10" ht="15.75" customHeight="1">
      <c r="H202" s="3"/>
      <c r="I202" s="3"/>
      <c r="J202" s="3"/>
    </row>
    <row r="203" spans="8:10" ht="15.75" customHeight="1">
      <c r="H203" s="3"/>
      <c r="I203" s="3"/>
      <c r="J203" s="3"/>
    </row>
    <row r="204" spans="8:10" ht="15.75" customHeight="1">
      <c r="H204" s="3"/>
      <c r="I204" s="3"/>
      <c r="J204" s="3"/>
    </row>
    <row r="205" spans="8:10" ht="15.75" customHeight="1">
      <c r="H205" s="3"/>
      <c r="I205" s="3"/>
      <c r="J205" s="3"/>
    </row>
    <row r="206" spans="8:10" ht="15.75" customHeight="1">
      <c r="H206" s="3"/>
      <c r="I206" s="3"/>
      <c r="J206" s="3"/>
    </row>
    <row r="207" spans="8:10" ht="15.75" customHeight="1">
      <c r="H207" s="3"/>
      <c r="I207" s="3"/>
      <c r="J207" s="3"/>
    </row>
    <row r="208" spans="8:10" ht="15.75" customHeight="1">
      <c r="H208" s="3"/>
      <c r="I208" s="3"/>
      <c r="J208" s="3"/>
    </row>
    <row r="209" spans="8:10" ht="15.75" customHeight="1">
      <c r="H209" s="3"/>
      <c r="I209" s="3"/>
      <c r="J209" s="3"/>
    </row>
    <row r="210" spans="8:10" ht="15.75" customHeight="1">
      <c r="H210" s="3"/>
      <c r="I210" s="3"/>
      <c r="J210" s="3"/>
    </row>
    <row r="211" spans="8:10" ht="15.75" customHeight="1">
      <c r="H211" s="3"/>
      <c r="I211" s="3"/>
      <c r="J211" s="3"/>
    </row>
    <row r="212" spans="8:10" ht="15.75" customHeight="1">
      <c r="H212" s="3"/>
      <c r="I212" s="3"/>
      <c r="J212" s="3"/>
    </row>
    <row r="213" spans="8:10" ht="15.75" customHeight="1">
      <c r="H213" s="3"/>
      <c r="I213" s="3"/>
      <c r="J213" s="3"/>
    </row>
    <row r="214" spans="8:10" ht="15.75" customHeight="1">
      <c r="H214" s="3"/>
      <c r="I214" s="3"/>
      <c r="J214" s="3"/>
    </row>
    <row r="215" spans="8:10" ht="15.75" customHeight="1">
      <c r="H215" s="3"/>
      <c r="I215" s="3"/>
      <c r="J215" s="3"/>
    </row>
    <row r="216" spans="8:10" ht="15.75" customHeight="1">
      <c r="H216" s="3"/>
      <c r="I216" s="3"/>
      <c r="J216" s="3"/>
    </row>
    <row r="217" spans="8:10" ht="15.75" customHeight="1">
      <c r="H217" s="3"/>
      <c r="I217" s="3"/>
      <c r="J217" s="3"/>
    </row>
    <row r="218" spans="8:10" ht="15.75" customHeight="1">
      <c r="H218" s="3"/>
      <c r="I218" s="3"/>
      <c r="J218" s="3"/>
    </row>
    <row r="219" spans="8:10" ht="15.75" customHeight="1">
      <c r="H219" s="3"/>
      <c r="I219" s="3"/>
      <c r="J219" s="3"/>
    </row>
    <row r="220" spans="8:10" ht="15.75" customHeight="1">
      <c r="H220" s="3"/>
      <c r="I220" s="3"/>
      <c r="J220" s="3"/>
    </row>
    <row r="221" spans="8:10" ht="15.75" customHeight="1">
      <c r="H221" s="3"/>
      <c r="I221" s="3"/>
      <c r="J221" s="3"/>
    </row>
    <row r="222" spans="8:10" ht="15.75" customHeight="1">
      <c r="H222" s="3"/>
      <c r="I222" s="3"/>
      <c r="J222" s="3"/>
    </row>
    <row r="223" spans="8:10" ht="15.75" customHeight="1">
      <c r="H223" s="3"/>
      <c r="I223" s="3"/>
      <c r="J223" s="3"/>
    </row>
    <row r="224" spans="8:10" ht="15.75" customHeight="1">
      <c r="H224" s="3"/>
      <c r="I224" s="3"/>
      <c r="J224" s="3"/>
    </row>
    <row r="225" spans="8:10" ht="15.75" customHeight="1">
      <c r="H225" s="3"/>
      <c r="I225" s="3"/>
      <c r="J225" s="3"/>
    </row>
    <row r="226" spans="8:10" ht="15.75" customHeight="1">
      <c r="H226" s="3"/>
      <c r="I226" s="3"/>
      <c r="J226" s="3"/>
    </row>
    <row r="227" spans="8:10" ht="15.75" customHeight="1">
      <c r="H227" s="3"/>
      <c r="I227" s="3"/>
      <c r="J227" s="3"/>
    </row>
    <row r="228" spans="8:10" ht="15.75" customHeight="1">
      <c r="H228" s="3"/>
      <c r="I228" s="3"/>
      <c r="J228" s="3"/>
    </row>
    <row r="229" spans="8:10" ht="15.75" customHeight="1">
      <c r="H229" s="3"/>
      <c r="I229" s="3"/>
      <c r="J229" s="3"/>
    </row>
    <row r="230" spans="8:10" ht="15.75" customHeight="1">
      <c r="H230" s="3"/>
      <c r="I230" s="3"/>
      <c r="J230" s="3"/>
    </row>
    <row r="231" spans="8:10" ht="15.75" customHeight="1">
      <c r="H231" s="3"/>
      <c r="I231" s="3"/>
      <c r="J231" s="3"/>
    </row>
    <row r="232" spans="8:10" ht="15.75" customHeight="1">
      <c r="H232" s="3"/>
      <c r="I232" s="3"/>
      <c r="J232" s="3"/>
    </row>
    <row r="233" spans="8:10" ht="15.75" customHeight="1">
      <c r="H233" s="3"/>
      <c r="I233" s="3"/>
      <c r="J233" s="3"/>
    </row>
    <row r="234" spans="8:10" ht="15.75" customHeight="1">
      <c r="H234" s="3"/>
      <c r="I234" s="3"/>
      <c r="J234" s="3"/>
    </row>
    <row r="235" spans="8:10" ht="15.75" customHeight="1">
      <c r="H235" s="3"/>
      <c r="I235" s="3"/>
      <c r="J235" s="3"/>
    </row>
    <row r="236" spans="8:10" ht="15.75" customHeight="1">
      <c r="H236" s="3"/>
      <c r="I236" s="3"/>
      <c r="J236" s="3"/>
    </row>
    <row r="237" spans="8:10" ht="15.75" customHeight="1">
      <c r="H237" s="3"/>
      <c r="I237" s="3"/>
      <c r="J237" s="3"/>
    </row>
    <row r="238" spans="8:10" ht="15.75" customHeight="1">
      <c r="H238" s="3"/>
      <c r="I238" s="3"/>
      <c r="J238" s="3"/>
    </row>
    <row r="239" spans="8:10" ht="15.75" customHeight="1">
      <c r="H239" s="3"/>
      <c r="I239" s="3"/>
      <c r="J239" s="3"/>
    </row>
    <row r="240" spans="8:10" ht="15.75" customHeight="1">
      <c r="H240" s="3"/>
      <c r="I240" s="3"/>
      <c r="J240" s="3"/>
    </row>
    <row r="241" spans="8:10" ht="15.75" customHeight="1">
      <c r="H241" s="3"/>
      <c r="I241" s="3"/>
      <c r="J241" s="3"/>
    </row>
    <row r="242" spans="8:10" ht="15.75" customHeight="1">
      <c r="H242" s="3"/>
      <c r="I242" s="3"/>
      <c r="J242" s="3"/>
    </row>
    <row r="243" spans="8:10" ht="15.75" customHeight="1">
      <c r="H243" s="3"/>
      <c r="I243" s="3"/>
      <c r="J243" s="3"/>
    </row>
    <row r="244" spans="8:10" ht="15.75" customHeight="1">
      <c r="H244" s="3"/>
      <c r="I244" s="3"/>
      <c r="J244" s="3"/>
    </row>
    <row r="245" spans="8:10" ht="15.75" customHeight="1">
      <c r="H245" s="3"/>
      <c r="I245" s="3"/>
      <c r="J245" s="3"/>
    </row>
    <row r="246" spans="8:10" ht="15.75" customHeight="1">
      <c r="H246" s="3"/>
      <c r="I246" s="3"/>
      <c r="J246" s="3"/>
    </row>
    <row r="247" spans="8:10" ht="15.75" customHeight="1">
      <c r="H247" s="3"/>
      <c r="I247" s="3"/>
      <c r="J247" s="3"/>
    </row>
    <row r="248" spans="8:10" ht="15.75" customHeight="1">
      <c r="H248" s="3"/>
      <c r="I248" s="3"/>
      <c r="J248" s="3"/>
    </row>
    <row r="249" spans="8:10" ht="15.75" customHeight="1">
      <c r="H249" s="3"/>
      <c r="I249" s="3"/>
      <c r="J249" s="3"/>
    </row>
    <row r="250" spans="8:10" ht="15.75" customHeight="1">
      <c r="H250" s="3"/>
      <c r="I250" s="3"/>
      <c r="J250" s="3"/>
    </row>
    <row r="251" spans="8:10" ht="15.75" customHeight="1">
      <c r="H251" s="3"/>
      <c r="I251" s="3"/>
      <c r="J251" s="3"/>
    </row>
    <row r="252" spans="8:10" ht="15.75" customHeight="1">
      <c r="H252" s="3"/>
      <c r="I252" s="3"/>
      <c r="J252" s="3"/>
    </row>
    <row r="253" spans="8:10" ht="15.75" customHeight="1">
      <c r="H253" s="3"/>
      <c r="I253" s="3"/>
      <c r="J253" s="3"/>
    </row>
    <row r="254" spans="8:10" ht="15.75" customHeight="1">
      <c r="H254" s="3"/>
      <c r="I254" s="3"/>
      <c r="J254" s="3"/>
    </row>
    <row r="255" spans="8:10" ht="15.75" customHeight="1">
      <c r="H255" s="3"/>
      <c r="I255" s="3"/>
      <c r="J255" s="3"/>
    </row>
    <row r="256" spans="8:10" ht="15.75" customHeight="1">
      <c r="H256" s="3"/>
      <c r="I256" s="3"/>
      <c r="J256" s="3"/>
    </row>
    <row r="257" spans="8:10" ht="15.75" customHeight="1">
      <c r="H257" s="3"/>
      <c r="I257" s="3"/>
      <c r="J257" s="3"/>
    </row>
    <row r="258" spans="8:10" ht="15.75" customHeight="1">
      <c r="H258" s="3"/>
      <c r="I258" s="3"/>
      <c r="J258" s="3"/>
    </row>
    <row r="259" spans="8:10" ht="15.75" customHeight="1">
      <c r="H259" s="3"/>
      <c r="I259" s="3"/>
      <c r="J259" s="3"/>
    </row>
    <row r="260" spans="8:10" ht="15.75" customHeight="1">
      <c r="H260" s="3"/>
      <c r="I260" s="3"/>
      <c r="J260" s="3"/>
    </row>
    <row r="261" spans="8:10" ht="15.75" customHeight="1">
      <c r="H261" s="3"/>
      <c r="I261" s="3"/>
      <c r="J261" s="3"/>
    </row>
    <row r="262" spans="8:10" ht="15.75" customHeight="1">
      <c r="H262" s="3"/>
      <c r="I262" s="3"/>
      <c r="J262" s="3"/>
    </row>
    <row r="263" spans="8:10" ht="15.75" customHeight="1">
      <c r="H263" s="3"/>
      <c r="I263" s="3"/>
      <c r="J263" s="3"/>
    </row>
    <row r="264" spans="8:10" ht="15.75" customHeight="1">
      <c r="H264" s="3"/>
      <c r="I264" s="3"/>
      <c r="J264" s="3"/>
    </row>
    <row r="265" spans="8:10" ht="15.75" customHeight="1">
      <c r="H265" s="3"/>
      <c r="I265" s="3"/>
      <c r="J265" s="3"/>
    </row>
    <row r="266" spans="8:10" ht="15.75" customHeight="1">
      <c r="H266" s="3"/>
      <c r="I266" s="3"/>
      <c r="J266" s="3"/>
    </row>
    <row r="267" spans="8:10" ht="15.75" customHeight="1">
      <c r="H267" s="3"/>
      <c r="I267" s="3"/>
      <c r="J267" s="3"/>
    </row>
    <row r="268" spans="8:10" ht="15.75" customHeight="1">
      <c r="H268" s="3"/>
      <c r="I268" s="3"/>
      <c r="J268" s="3"/>
    </row>
    <row r="269" spans="8:10" ht="15.75" customHeight="1">
      <c r="H269" s="3"/>
      <c r="I269" s="3"/>
      <c r="J269" s="3"/>
    </row>
    <row r="270" spans="8:10" ht="15.75" customHeight="1">
      <c r="H270" s="3"/>
      <c r="I270" s="3"/>
      <c r="J270" s="3"/>
    </row>
    <row r="271" spans="8:10" ht="15.75" customHeight="1">
      <c r="H271" s="3"/>
      <c r="I271" s="3"/>
      <c r="J271" s="3"/>
    </row>
    <row r="272" spans="8:10" ht="15.75" customHeight="1">
      <c r="H272" s="3"/>
      <c r="I272" s="3"/>
      <c r="J272" s="3"/>
    </row>
    <row r="273" spans="8:10" ht="15.75" customHeight="1">
      <c r="H273" s="3"/>
      <c r="I273" s="3"/>
      <c r="J273" s="3"/>
    </row>
    <row r="274" spans="8:10" ht="15.75" customHeight="1">
      <c r="H274" s="3"/>
      <c r="I274" s="3"/>
      <c r="J274" s="3"/>
    </row>
    <row r="275" spans="8:10" ht="15.75" customHeight="1">
      <c r="H275" s="3"/>
      <c r="I275" s="3"/>
      <c r="J275" s="3"/>
    </row>
    <row r="276" spans="8:10" ht="15.75" customHeight="1">
      <c r="H276" s="3"/>
      <c r="I276" s="3"/>
      <c r="J276" s="3"/>
    </row>
    <row r="277" spans="8:10" ht="15.75" customHeight="1">
      <c r="H277" s="3"/>
      <c r="I277" s="3"/>
      <c r="J277" s="3"/>
    </row>
    <row r="278" spans="8:10" ht="15.75" customHeight="1">
      <c r="H278" s="3"/>
      <c r="I278" s="3"/>
      <c r="J278" s="3"/>
    </row>
    <row r="279" spans="8:10" ht="15.75" customHeight="1">
      <c r="H279" s="3"/>
      <c r="I279" s="3"/>
      <c r="J279" s="3"/>
    </row>
    <row r="280" spans="8:10" ht="15.75" customHeight="1">
      <c r="H280" s="3"/>
      <c r="I280" s="3"/>
      <c r="J280" s="3"/>
    </row>
    <row r="281" spans="8:10" ht="15.75" customHeight="1">
      <c r="H281" s="3"/>
      <c r="I281" s="3"/>
      <c r="J281" s="3"/>
    </row>
    <row r="282" spans="8:10" ht="15.75" customHeight="1">
      <c r="H282" s="3"/>
      <c r="I282" s="3"/>
      <c r="J282" s="3"/>
    </row>
    <row r="283" spans="8:10" ht="15.75" customHeight="1">
      <c r="H283" s="3"/>
      <c r="I283" s="3"/>
      <c r="J283" s="3"/>
    </row>
    <row r="284" spans="8:10" ht="15.75" customHeight="1">
      <c r="H284" s="3"/>
      <c r="I284" s="3"/>
      <c r="J284" s="3"/>
    </row>
    <row r="285" spans="8:10" ht="15.75" customHeight="1">
      <c r="H285" s="3"/>
      <c r="I285" s="3"/>
      <c r="J285" s="3"/>
    </row>
    <row r="286" spans="8:10" ht="15.75" customHeight="1">
      <c r="H286" s="3"/>
      <c r="I286" s="3"/>
      <c r="J286" s="3"/>
    </row>
    <row r="287" spans="8:10" ht="15.75" customHeight="1">
      <c r="H287" s="3"/>
      <c r="I287" s="3"/>
      <c r="J287" s="3"/>
    </row>
    <row r="288" spans="8:10" ht="15.75" customHeight="1">
      <c r="H288" s="3"/>
      <c r="I288" s="3"/>
      <c r="J288" s="3"/>
    </row>
    <row r="289" spans="8:10" ht="15.75" customHeight="1">
      <c r="H289" s="3"/>
      <c r="I289" s="3"/>
      <c r="J289" s="3"/>
    </row>
    <row r="290" spans="8:10" ht="15.75" customHeight="1">
      <c r="H290" s="3"/>
      <c r="I290" s="3"/>
      <c r="J290" s="3"/>
    </row>
    <row r="291" spans="8:10" ht="15.75" customHeight="1">
      <c r="H291" s="3"/>
      <c r="I291" s="3"/>
      <c r="J291" s="3"/>
    </row>
    <row r="292" spans="8:10" ht="15.75" customHeight="1">
      <c r="H292" s="3"/>
      <c r="I292" s="3"/>
      <c r="J292" s="3"/>
    </row>
    <row r="293" spans="8:10" ht="15.75" customHeight="1">
      <c r="H293" s="3"/>
      <c r="I293" s="3"/>
      <c r="J293" s="3"/>
    </row>
    <row r="294" spans="8:10" ht="15.75" customHeight="1">
      <c r="H294" s="3"/>
      <c r="I294" s="3"/>
      <c r="J294" s="3"/>
    </row>
    <row r="295" spans="8:10" ht="15.75" customHeight="1">
      <c r="H295" s="3"/>
      <c r="I295" s="3"/>
      <c r="J295" s="3"/>
    </row>
    <row r="296" spans="8:10" ht="15.75" customHeight="1">
      <c r="H296" s="3"/>
      <c r="I296" s="3"/>
      <c r="J296" s="3"/>
    </row>
    <row r="297" spans="8:10" ht="15.75" customHeight="1">
      <c r="H297" s="3"/>
      <c r="I297" s="3"/>
      <c r="J297" s="3"/>
    </row>
    <row r="298" spans="8:10" ht="15.75" customHeight="1">
      <c r="H298" s="3"/>
      <c r="I298" s="3"/>
      <c r="J298" s="3"/>
    </row>
    <row r="299" spans="8:10" ht="15.75" customHeight="1">
      <c r="H299" s="3"/>
      <c r="I299" s="3"/>
      <c r="J299" s="3"/>
    </row>
    <row r="300" spans="8:10" ht="15.75" customHeight="1">
      <c r="H300" s="3"/>
      <c r="I300" s="3"/>
      <c r="J300" s="3"/>
    </row>
    <row r="301" spans="8:10" ht="15.75" customHeight="1">
      <c r="H301" s="3"/>
      <c r="I301" s="3"/>
      <c r="J301" s="3"/>
    </row>
    <row r="302" spans="8:10" ht="15.75" customHeight="1">
      <c r="H302" s="3"/>
      <c r="I302" s="3"/>
      <c r="J302" s="3"/>
    </row>
    <row r="303" spans="8:10" ht="15.75" customHeight="1">
      <c r="H303" s="3"/>
      <c r="I303" s="3"/>
      <c r="J303" s="3"/>
    </row>
    <row r="304" spans="8:10" ht="15.75" customHeight="1">
      <c r="H304" s="3"/>
      <c r="I304" s="3"/>
      <c r="J304" s="3"/>
    </row>
    <row r="305" spans="8:10" ht="15.75" customHeight="1">
      <c r="H305" s="3"/>
      <c r="I305" s="3"/>
      <c r="J305" s="3"/>
    </row>
    <row r="306" spans="8:10" ht="15.75" customHeight="1">
      <c r="H306" s="3"/>
      <c r="I306" s="3"/>
      <c r="J306" s="3"/>
    </row>
    <row r="307" spans="8:10" ht="15.75" customHeight="1">
      <c r="H307" s="3"/>
      <c r="I307" s="3"/>
      <c r="J307" s="3"/>
    </row>
    <row r="308" spans="8:10" ht="15.75" customHeight="1">
      <c r="H308" s="3"/>
      <c r="I308" s="3"/>
      <c r="J308" s="3"/>
    </row>
    <row r="309" spans="8:10" ht="15.75" customHeight="1">
      <c r="H309" s="3"/>
      <c r="I309" s="3"/>
      <c r="J309" s="3"/>
    </row>
    <row r="310" spans="8:10" ht="15.75" customHeight="1">
      <c r="H310" s="3"/>
      <c r="I310" s="3"/>
      <c r="J310" s="3"/>
    </row>
    <row r="311" spans="8:10" ht="15.75" customHeight="1">
      <c r="H311" s="3"/>
      <c r="I311" s="3"/>
      <c r="J311" s="3"/>
    </row>
    <row r="312" spans="8:10" ht="15.75" customHeight="1">
      <c r="H312" s="3"/>
      <c r="I312" s="3"/>
      <c r="J312" s="3"/>
    </row>
    <row r="313" spans="8:10" ht="15.75" customHeight="1">
      <c r="H313" s="3"/>
      <c r="I313" s="3"/>
      <c r="J313" s="3"/>
    </row>
    <row r="314" spans="8:10" ht="15.75" customHeight="1">
      <c r="H314" s="3"/>
      <c r="I314" s="3"/>
      <c r="J314" s="3"/>
    </row>
    <row r="315" spans="8:10" ht="15.75" customHeight="1">
      <c r="H315" s="3"/>
      <c r="I315" s="3"/>
      <c r="J315" s="3"/>
    </row>
    <row r="316" spans="8:10" ht="15.75" customHeight="1">
      <c r="H316" s="3"/>
      <c r="I316" s="3"/>
      <c r="J316" s="3"/>
    </row>
    <row r="317" spans="8:10" ht="15.75" customHeight="1">
      <c r="H317" s="3"/>
      <c r="I317" s="3"/>
      <c r="J317" s="3"/>
    </row>
    <row r="318" spans="8:10" ht="15.75" customHeight="1">
      <c r="H318" s="3"/>
      <c r="I318" s="3"/>
      <c r="J318" s="3"/>
    </row>
    <row r="319" spans="8:10" ht="15.75" customHeight="1">
      <c r="H319" s="3"/>
      <c r="I319" s="3"/>
      <c r="J319" s="3"/>
    </row>
    <row r="320" spans="8:10" ht="15.75" customHeight="1">
      <c r="H320" s="3"/>
      <c r="I320" s="3"/>
      <c r="J320" s="3"/>
    </row>
    <row r="321" spans="8:10" ht="15.75" customHeight="1">
      <c r="H321" s="3"/>
      <c r="I321" s="3"/>
      <c r="J321" s="3"/>
    </row>
    <row r="322" spans="8:10" ht="15.75" customHeight="1">
      <c r="H322" s="3"/>
      <c r="I322" s="3"/>
      <c r="J322" s="3"/>
    </row>
    <row r="323" spans="8:10" ht="15.75" customHeight="1">
      <c r="H323" s="3"/>
      <c r="I323" s="3"/>
      <c r="J323" s="3"/>
    </row>
    <row r="324" spans="8:10" ht="15.75" customHeight="1">
      <c r="H324" s="3"/>
      <c r="I324" s="3"/>
      <c r="J324" s="3"/>
    </row>
    <row r="325" spans="8:10" ht="15.75" customHeight="1">
      <c r="H325" s="3"/>
      <c r="I325" s="3"/>
      <c r="J325" s="3"/>
    </row>
    <row r="326" spans="8:10" ht="15.75" customHeight="1">
      <c r="H326" s="3"/>
      <c r="I326" s="3"/>
      <c r="J326" s="3"/>
    </row>
    <row r="327" spans="8:10" ht="15.75" customHeight="1">
      <c r="H327" s="3"/>
      <c r="I327" s="3"/>
      <c r="J327" s="3"/>
    </row>
    <row r="328" spans="8:10" ht="15.75" customHeight="1">
      <c r="H328" s="3"/>
      <c r="I328" s="3"/>
      <c r="J328" s="3"/>
    </row>
    <row r="329" spans="8:10" ht="15.75" customHeight="1">
      <c r="H329" s="3"/>
      <c r="I329" s="3"/>
      <c r="J329" s="3"/>
    </row>
    <row r="330" spans="8:10" ht="15.75" customHeight="1">
      <c r="H330" s="3"/>
      <c r="I330" s="3"/>
      <c r="J330" s="3"/>
    </row>
    <row r="331" spans="8:10" ht="15.75" customHeight="1">
      <c r="H331" s="3"/>
      <c r="I331" s="3"/>
      <c r="J331" s="3"/>
    </row>
    <row r="332" spans="8:10" ht="15.75" customHeight="1">
      <c r="H332" s="3"/>
      <c r="I332" s="3"/>
      <c r="J332" s="3"/>
    </row>
    <row r="333" spans="8:10" ht="15.75" customHeight="1">
      <c r="H333" s="3"/>
      <c r="I333" s="3"/>
      <c r="J333" s="3"/>
    </row>
    <row r="334" spans="8:10" ht="15.75" customHeight="1">
      <c r="H334" s="3"/>
      <c r="I334" s="3"/>
      <c r="J334" s="3"/>
    </row>
    <row r="335" spans="8:10" ht="15.75" customHeight="1">
      <c r="H335" s="3"/>
      <c r="I335" s="3"/>
      <c r="J335" s="3"/>
    </row>
    <row r="336" spans="8:10" ht="15.75" customHeight="1">
      <c r="H336" s="3"/>
      <c r="I336" s="3"/>
      <c r="J336" s="3"/>
    </row>
    <row r="337" spans="8:10" ht="15.75" customHeight="1">
      <c r="H337" s="3"/>
      <c r="I337" s="3"/>
      <c r="J337" s="3"/>
    </row>
    <row r="338" spans="8:10" ht="15.75" customHeight="1">
      <c r="H338" s="3"/>
      <c r="I338" s="3"/>
      <c r="J338" s="3"/>
    </row>
    <row r="339" spans="8:10" ht="15.75" customHeight="1">
      <c r="H339" s="3"/>
      <c r="I339" s="3"/>
      <c r="J339" s="3"/>
    </row>
    <row r="340" spans="8:10" ht="15.75" customHeight="1">
      <c r="H340" s="3"/>
      <c r="I340" s="3"/>
      <c r="J340" s="3"/>
    </row>
    <row r="341" spans="8:10" ht="15.75" customHeight="1">
      <c r="H341" s="3"/>
      <c r="I341" s="3"/>
      <c r="J341" s="3"/>
    </row>
    <row r="342" spans="8:10" ht="15.75" customHeight="1">
      <c r="H342" s="3"/>
      <c r="I342" s="3"/>
      <c r="J342" s="3"/>
    </row>
    <row r="343" spans="8:10" ht="15.75" customHeight="1">
      <c r="H343" s="3"/>
      <c r="I343" s="3"/>
      <c r="J343" s="3"/>
    </row>
    <row r="344" spans="8:10" ht="15.75" customHeight="1">
      <c r="H344" s="3"/>
      <c r="I344" s="3"/>
      <c r="J344" s="3"/>
    </row>
    <row r="345" spans="8:10" ht="15.75" customHeight="1">
      <c r="H345" s="3"/>
      <c r="I345" s="3"/>
      <c r="J345" s="3"/>
    </row>
    <row r="346" spans="8:10" ht="15.75" customHeight="1">
      <c r="H346" s="3"/>
      <c r="I346" s="3"/>
      <c r="J346" s="3"/>
    </row>
    <row r="347" spans="8:10" ht="15.75" customHeight="1">
      <c r="H347" s="3"/>
      <c r="I347" s="3"/>
      <c r="J347" s="3"/>
    </row>
    <row r="348" spans="8:10" ht="15.75" customHeight="1">
      <c r="H348" s="3"/>
      <c r="I348" s="3"/>
      <c r="J348" s="3"/>
    </row>
    <row r="349" spans="8:10" ht="15.75" customHeight="1">
      <c r="H349" s="3"/>
      <c r="I349" s="3"/>
      <c r="J349" s="3"/>
    </row>
    <row r="350" spans="8:10" ht="15.75" customHeight="1">
      <c r="H350" s="3"/>
      <c r="I350" s="3"/>
      <c r="J350" s="3"/>
    </row>
    <row r="351" spans="8:10" ht="15.75" customHeight="1">
      <c r="H351" s="3"/>
      <c r="I351" s="3"/>
      <c r="J351" s="3"/>
    </row>
    <row r="352" spans="8:10" ht="15.75" customHeight="1">
      <c r="H352" s="3"/>
      <c r="I352" s="3"/>
      <c r="J352" s="3"/>
    </row>
    <row r="353" spans="8:10" ht="15.75" customHeight="1">
      <c r="H353" s="3"/>
      <c r="I353" s="3"/>
      <c r="J353" s="3"/>
    </row>
    <row r="354" spans="8:10" ht="15.75" customHeight="1">
      <c r="H354" s="3"/>
      <c r="I354" s="3"/>
      <c r="J354" s="3"/>
    </row>
    <row r="355" spans="8:10" ht="15.75" customHeight="1">
      <c r="H355" s="3"/>
      <c r="I355" s="3"/>
      <c r="J355" s="3"/>
    </row>
    <row r="356" spans="8:10" ht="15.75" customHeight="1">
      <c r="H356" s="3"/>
      <c r="I356" s="3"/>
      <c r="J356" s="3"/>
    </row>
    <row r="357" spans="8:10" ht="15.75" customHeight="1">
      <c r="H357" s="3"/>
      <c r="I357" s="3"/>
      <c r="J357" s="3"/>
    </row>
    <row r="358" spans="8:10" ht="15.75" customHeight="1">
      <c r="H358" s="3"/>
      <c r="I358" s="3"/>
      <c r="J358" s="3"/>
    </row>
    <row r="359" spans="8:10" ht="15.75" customHeight="1">
      <c r="H359" s="3"/>
      <c r="I359" s="3"/>
      <c r="J359" s="3"/>
    </row>
    <row r="360" spans="8:10" ht="15.75" customHeight="1">
      <c r="H360" s="3"/>
      <c r="I360" s="3"/>
      <c r="J360" s="3"/>
    </row>
    <row r="361" spans="8:10" ht="15.75" customHeight="1">
      <c r="H361" s="3"/>
      <c r="I361" s="3"/>
      <c r="J361" s="3"/>
    </row>
    <row r="362" spans="8:10" ht="15.75" customHeight="1">
      <c r="H362" s="3"/>
      <c r="I362" s="3"/>
      <c r="J362" s="3"/>
    </row>
    <row r="363" spans="8:10" ht="15.75" customHeight="1">
      <c r="H363" s="3"/>
      <c r="I363" s="3"/>
      <c r="J363" s="3"/>
    </row>
    <row r="364" spans="8:10" ht="15.75" customHeight="1">
      <c r="H364" s="3"/>
      <c r="I364" s="3"/>
      <c r="J364" s="3"/>
    </row>
    <row r="365" spans="8:10" ht="15.75" customHeight="1">
      <c r="H365" s="3"/>
      <c r="I365" s="3"/>
      <c r="J365" s="3"/>
    </row>
    <row r="366" spans="8:10" ht="15.75" customHeight="1">
      <c r="H366" s="3"/>
      <c r="I366" s="3"/>
      <c r="J366" s="3"/>
    </row>
    <row r="367" spans="8:10" ht="15.75" customHeight="1">
      <c r="H367" s="3"/>
      <c r="I367" s="3"/>
      <c r="J367" s="3"/>
    </row>
    <row r="368" spans="8:10" ht="15.75" customHeight="1">
      <c r="H368" s="3"/>
      <c r="I368" s="3"/>
      <c r="J368" s="3"/>
    </row>
    <row r="369" spans="8:10" ht="15.75" customHeight="1">
      <c r="H369" s="3"/>
      <c r="I369" s="3"/>
      <c r="J369" s="3"/>
    </row>
    <row r="370" spans="8:10" ht="15.75" customHeight="1">
      <c r="H370" s="3"/>
      <c r="I370" s="3"/>
      <c r="J370" s="3"/>
    </row>
    <row r="371" spans="8:10" ht="15.75" customHeight="1">
      <c r="H371" s="3"/>
      <c r="I371" s="3"/>
      <c r="J371" s="3"/>
    </row>
    <row r="372" spans="8:10" ht="15.75" customHeight="1">
      <c r="H372" s="3"/>
      <c r="I372" s="3"/>
      <c r="J372" s="3"/>
    </row>
    <row r="373" spans="8:10" ht="15.75" customHeight="1">
      <c r="H373" s="3"/>
      <c r="I373" s="3"/>
      <c r="J373" s="3"/>
    </row>
    <row r="374" spans="8:10" ht="15.75" customHeight="1">
      <c r="H374" s="3"/>
      <c r="I374" s="3"/>
      <c r="J374" s="3"/>
    </row>
    <row r="375" spans="8:10" ht="15.75" customHeight="1">
      <c r="H375" s="3"/>
      <c r="I375" s="3"/>
      <c r="J375" s="3"/>
    </row>
    <row r="376" spans="8:10" ht="15.75" customHeight="1">
      <c r="H376" s="3"/>
      <c r="I376" s="3"/>
      <c r="J376" s="3"/>
    </row>
    <row r="377" spans="8:10" ht="15.75" customHeight="1">
      <c r="H377" s="3"/>
      <c r="I377" s="3"/>
      <c r="J377" s="3"/>
    </row>
    <row r="378" spans="8:10" ht="15.75" customHeight="1">
      <c r="H378" s="3"/>
      <c r="I378" s="3"/>
      <c r="J378" s="3"/>
    </row>
    <row r="379" spans="8:10" ht="15.75" customHeight="1">
      <c r="H379" s="3"/>
      <c r="I379" s="3"/>
      <c r="J379" s="3"/>
    </row>
    <row r="380" spans="8:10" ht="15.75" customHeight="1">
      <c r="H380" s="3"/>
      <c r="I380" s="3"/>
      <c r="J380" s="3"/>
    </row>
    <row r="381" spans="8:10" ht="15.75" customHeight="1">
      <c r="H381" s="3"/>
      <c r="I381" s="3"/>
      <c r="J381" s="3"/>
    </row>
    <row r="382" spans="8:10" ht="15.75" customHeight="1">
      <c r="H382" s="3"/>
      <c r="I382" s="3"/>
      <c r="J382" s="3"/>
    </row>
    <row r="383" spans="8:10" ht="15.75" customHeight="1">
      <c r="H383" s="3"/>
      <c r="I383" s="3"/>
      <c r="J383" s="3"/>
    </row>
    <row r="384" spans="8:10" ht="15.75" customHeight="1">
      <c r="H384" s="3"/>
      <c r="I384" s="3"/>
      <c r="J384" s="3"/>
    </row>
    <row r="385" spans="8:10" ht="15.75" customHeight="1">
      <c r="H385" s="3"/>
      <c r="I385" s="3"/>
      <c r="J385" s="3"/>
    </row>
    <row r="386" spans="8:10" ht="15.75" customHeight="1">
      <c r="H386" s="3"/>
      <c r="I386" s="3"/>
      <c r="J386" s="3"/>
    </row>
    <row r="387" spans="8:10" ht="15.75" customHeight="1">
      <c r="H387" s="3"/>
      <c r="I387" s="3"/>
      <c r="J387" s="3"/>
    </row>
    <row r="388" spans="8:10" ht="15.75" customHeight="1">
      <c r="H388" s="3"/>
      <c r="I388" s="3"/>
      <c r="J388" s="3"/>
    </row>
    <row r="389" spans="8:10" ht="15.75" customHeight="1">
      <c r="H389" s="3"/>
      <c r="I389" s="3"/>
      <c r="J389" s="3"/>
    </row>
    <row r="390" spans="8:10" ht="15.75" customHeight="1">
      <c r="H390" s="3"/>
      <c r="I390" s="3"/>
      <c r="J390" s="3"/>
    </row>
    <row r="391" spans="8:10" ht="15.75" customHeight="1">
      <c r="H391" s="3"/>
      <c r="I391" s="3"/>
      <c r="J391" s="3"/>
    </row>
    <row r="392" spans="8:10" ht="15.75" customHeight="1">
      <c r="H392" s="3"/>
      <c r="I392" s="3"/>
      <c r="J392" s="3"/>
    </row>
    <row r="393" spans="8:10" ht="15.75" customHeight="1">
      <c r="H393" s="3"/>
      <c r="I393" s="3"/>
      <c r="J393" s="3"/>
    </row>
    <row r="394" spans="8:10" ht="15.75" customHeight="1">
      <c r="H394" s="3"/>
      <c r="I394" s="3"/>
      <c r="J394" s="3"/>
    </row>
    <row r="395" spans="8:10" ht="15.75" customHeight="1">
      <c r="H395" s="3"/>
      <c r="I395" s="3"/>
      <c r="J395" s="3"/>
    </row>
    <row r="396" spans="8:10" ht="15.75" customHeight="1">
      <c r="H396" s="3"/>
      <c r="I396" s="3"/>
      <c r="J396" s="3"/>
    </row>
    <row r="397" spans="8:10" ht="15.75" customHeight="1">
      <c r="H397" s="3"/>
      <c r="I397" s="3"/>
      <c r="J397" s="3"/>
    </row>
    <row r="398" spans="8:10" ht="15.75" customHeight="1">
      <c r="H398" s="3"/>
      <c r="I398" s="3"/>
      <c r="J398" s="3"/>
    </row>
    <row r="399" spans="8:10" ht="15.75" customHeight="1">
      <c r="H399" s="3"/>
      <c r="I399" s="3"/>
      <c r="J399" s="3"/>
    </row>
    <row r="400" spans="8:10" ht="15.75" customHeight="1">
      <c r="H400" s="3"/>
      <c r="I400" s="3"/>
      <c r="J400" s="3"/>
    </row>
    <row r="401" spans="8:10" ht="15.75" customHeight="1">
      <c r="H401" s="3"/>
      <c r="I401" s="3"/>
      <c r="J401" s="3"/>
    </row>
    <row r="402" spans="8:10" ht="15.75" customHeight="1">
      <c r="H402" s="3"/>
      <c r="I402" s="3"/>
      <c r="J402" s="3"/>
    </row>
    <row r="403" spans="8:10" ht="15.75" customHeight="1">
      <c r="H403" s="3"/>
      <c r="I403" s="3"/>
      <c r="J403" s="3"/>
    </row>
    <row r="404" spans="8:10" ht="15.75" customHeight="1">
      <c r="H404" s="3"/>
      <c r="I404" s="3"/>
      <c r="J404" s="3"/>
    </row>
    <row r="405" spans="8:10" ht="15.75" customHeight="1">
      <c r="H405" s="3"/>
      <c r="I405" s="3"/>
      <c r="J405" s="3"/>
    </row>
    <row r="406" spans="8:10" ht="15.75" customHeight="1">
      <c r="H406" s="3"/>
      <c r="I406" s="3"/>
      <c r="J406" s="3"/>
    </row>
    <row r="407" spans="8:10" ht="15.75" customHeight="1">
      <c r="H407" s="3"/>
      <c r="I407" s="3"/>
      <c r="J407" s="3"/>
    </row>
    <row r="408" spans="8:10" ht="15.75" customHeight="1">
      <c r="H408" s="3"/>
      <c r="I408" s="3"/>
      <c r="J408" s="3"/>
    </row>
    <row r="409" spans="8:10" ht="15.75" customHeight="1">
      <c r="H409" s="3"/>
      <c r="I409" s="3"/>
      <c r="J409" s="3"/>
    </row>
    <row r="410" spans="8:10" ht="15.75" customHeight="1">
      <c r="H410" s="3"/>
      <c r="I410" s="3"/>
      <c r="J410" s="3"/>
    </row>
    <row r="411" spans="8:10" ht="15.75" customHeight="1">
      <c r="H411" s="3"/>
      <c r="I411" s="3"/>
      <c r="J411" s="3"/>
    </row>
    <row r="412" spans="8:10" ht="15.75" customHeight="1">
      <c r="H412" s="3"/>
      <c r="I412" s="3"/>
      <c r="J412" s="3"/>
    </row>
    <row r="413" spans="8:10" ht="15.75" customHeight="1">
      <c r="H413" s="3"/>
      <c r="I413" s="3"/>
      <c r="J413" s="3"/>
    </row>
    <row r="414" spans="8:10" ht="15.75" customHeight="1">
      <c r="H414" s="3"/>
      <c r="I414" s="3"/>
      <c r="J414" s="3"/>
    </row>
    <row r="415" spans="8:10" ht="15.75" customHeight="1">
      <c r="H415" s="3"/>
      <c r="I415" s="3"/>
      <c r="J415" s="3"/>
    </row>
    <row r="416" spans="8:10" ht="15.75" customHeight="1">
      <c r="H416" s="3"/>
      <c r="I416" s="3"/>
      <c r="J416" s="3"/>
    </row>
    <row r="417" spans="8:10" ht="15.75" customHeight="1">
      <c r="H417" s="3"/>
      <c r="I417" s="3"/>
      <c r="J417" s="3"/>
    </row>
    <row r="418" spans="8:10" ht="15.75" customHeight="1">
      <c r="H418" s="3"/>
      <c r="I418" s="3"/>
      <c r="J418" s="3"/>
    </row>
    <row r="419" spans="8:10" ht="15.75" customHeight="1">
      <c r="H419" s="3"/>
      <c r="I419" s="3"/>
      <c r="J419" s="3"/>
    </row>
    <row r="420" spans="8:10" ht="15.75" customHeight="1">
      <c r="H420" s="3"/>
      <c r="I420" s="3"/>
      <c r="J420" s="3"/>
    </row>
    <row r="421" spans="8:10" ht="15.75" customHeight="1">
      <c r="H421" s="3"/>
      <c r="I421" s="3"/>
      <c r="J421" s="3"/>
    </row>
    <row r="422" spans="8:10" ht="15.75" customHeight="1">
      <c r="H422" s="3"/>
      <c r="I422" s="3"/>
      <c r="J422" s="3"/>
    </row>
    <row r="423" spans="8:10" ht="15.75" customHeight="1">
      <c r="H423" s="3"/>
      <c r="I423" s="3"/>
      <c r="J423" s="3"/>
    </row>
    <row r="424" spans="8:10" ht="15.75" customHeight="1">
      <c r="H424" s="3"/>
      <c r="I424" s="3"/>
      <c r="J424" s="3"/>
    </row>
    <row r="425" spans="8:10" ht="15.75" customHeight="1">
      <c r="H425" s="3"/>
      <c r="I425" s="3"/>
      <c r="J425" s="3"/>
    </row>
    <row r="426" spans="8:10" ht="15.75" customHeight="1">
      <c r="H426" s="3"/>
      <c r="I426" s="3"/>
      <c r="J426" s="3"/>
    </row>
    <row r="427" spans="8:10" ht="15.75" customHeight="1">
      <c r="H427" s="3"/>
      <c r="I427" s="3"/>
      <c r="J427" s="3"/>
    </row>
    <row r="428" spans="8:10" ht="15.75" customHeight="1">
      <c r="H428" s="3"/>
      <c r="I428" s="3"/>
      <c r="J428" s="3"/>
    </row>
    <row r="429" spans="8:10" ht="15.75" customHeight="1">
      <c r="H429" s="3"/>
      <c r="I429" s="3"/>
      <c r="J429" s="3"/>
    </row>
    <row r="430" spans="8:10" ht="15.75" customHeight="1">
      <c r="H430" s="3"/>
      <c r="I430" s="3"/>
      <c r="J430" s="3"/>
    </row>
    <row r="431" spans="8:10" ht="15.75" customHeight="1">
      <c r="H431" s="3"/>
      <c r="I431" s="3"/>
      <c r="J431" s="3"/>
    </row>
    <row r="432" spans="8:10" ht="15.75" customHeight="1">
      <c r="H432" s="3"/>
      <c r="I432" s="3"/>
      <c r="J432" s="3"/>
    </row>
    <row r="433" spans="8:10" ht="15.75" customHeight="1">
      <c r="H433" s="3"/>
      <c r="I433" s="3"/>
      <c r="J433" s="3"/>
    </row>
    <row r="434" spans="8:10" ht="15.75" customHeight="1">
      <c r="H434" s="3"/>
      <c r="I434" s="3"/>
      <c r="J434" s="3"/>
    </row>
    <row r="435" spans="8:10" ht="15.75" customHeight="1">
      <c r="H435" s="3"/>
      <c r="I435" s="3"/>
      <c r="J435" s="3"/>
    </row>
    <row r="436" spans="8:10" ht="15.75" customHeight="1">
      <c r="H436" s="3"/>
      <c r="I436" s="3"/>
      <c r="J436" s="3"/>
    </row>
    <row r="437" spans="8:10" ht="15.75" customHeight="1">
      <c r="H437" s="3"/>
      <c r="I437" s="3"/>
      <c r="J437" s="3"/>
    </row>
    <row r="438" spans="8:10" ht="15.75" customHeight="1">
      <c r="H438" s="3"/>
      <c r="I438" s="3"/>
      <c r="J438" s="3"/>
    </row>
    <row r="439" spans="8:10" ht="15.75" customHeight="1">
      <c r="H439" s="3"/>
      <c r="I439" s="3"/>
      <c r="J439" s="3"/>
    </row>
    <row r="440" spans="8:10" ht="15.75" customHeight="1">
      <c r="H440" s="3"/>
      <c r="I440" s="3"/>
      <c r="J440" s="3"/>
    </row>
    <row r="441" spans="8:10" ht="15.75" customHeight="1">
      <c r="H441" s="3"/>
      <c r="I441" s="3"/>
      <c r="J441" s="3"/>
    </row>
    <row r="442" spans="8:10" ht="15.75" customHeight="1">
      <c r="H442" s="3"/>
      <c r="I442" s="3"/>
      <c r="J442" s="3"/>
    </row>
    <row r="443" spans="8:10" ht="15.75" customHeight="1">
      <c r="H443" s="3"/>
      <c r="I443" s="3"/>
      <c r="J443" s="3"/>
    </row>
    <row r="444" spans="8:10" ht="15.75" customHeight="1">
      <c r="H444" s="3"/>
      <c r="I444" s="3"/>
      <c r="J444" s="3"/>
    </row>
    <row r="445" spans="8:10" ht="15.75" customHeight="1">
      <c r="H445" s="3"/>
      <c r="I445" s="3"/>
      <c r="J445" s="3"/>
    </row>
    <row r="446" spans="8:10" ht="15.75" customHeight="1">
      <c r="H446" s="3"/>
      <c r="I446" s="3"/>
      <c r="J446" s="3"/>
    </row>
    <row r="447" spans="8:10" ht="15.75" customHeight="1">
      <c r="H447" s="3"/>
      <c r="I447" s="3"/>
      <c r="J447" s="3"/>
    </row>
    <row r="448" spans="8:10" ht="15.75" customHeight="1">
      <c r="H448" s="3"/>
      <c r="I448" s="3"/>
      <c r="J448" s="3"/>
    </row>
    <row r="449" spans="8:10" ht="15.75" customHeight="1">
      <c r="H449" s="3"/>
      <c r="I449" s="3"/>
      <c r="J449" s="3"/>
    </row>
    <row r="450" spans="8:10" ht="15.75" customHeight="1">
      <c r="H450" s="3"/>
      <c r="I450" s="3"/>
      <c r="J450" s="3"/>
    </row>
    <row r="451" spans="8:10" ht="15.75" customHeight="1">
      <c r="H451" s="3"/>
      <c r="I451" s="3"/>
      <c r="J451" s="3"/>
    </row>
    <row r="452" spans="8:10" ht="15.75" customHeight="1">
      <c r="H452" s="3"/>
      <c r="I452" s="3"/>
      <c r="J452" s="3"/>
    </row>
    <row r="453" spans="8:10" ht="15.75" customHeight="1">
      <c r="H453" s="3"/>
      <c r="I453" s="3"/>
      <c r="J453" s="3"/>
    </row>
    <row r="454" spans="8:10" ht="15.75" customHeight="1">
      <c r="H454" s="3"/>
      <c r="I454" s="3"/>
      <c r="J454" s="3"/>
    </row>
    <row r="455" spans="8:10" ht="15.75" customHeight="1">
      <c r="H455" s="3"/>
      <c r="I455" s="3"/>
      <c r="J455" s="3"/>
    </row>
    <row r="456" spans="8:10" ht="15.75" customHeight="1">
      <c r="H456" s="3"/>
      <c r="I456" s="3"/>
      <c r="J456" s="3"/>
    </row>
    <row r="457" spans="8:10" ht="15.75" customHeight="1">
      <c r="H457" s="3"/>
      <c r="I457" s="3"/>
      <c r="J457" s="3"/>
    </row>
    <row r="458" spans="8:10" ht="15.75" customHeight="1">
      <c r="H458" s="3"/>
      <c r="I458" s="3"/>
      <c r="J458" s="3"/>
    </row>
    <row r="459" spans="8:10" ht="15.75" customHeight="1">
      <c r="H459" s="3"/>
      <c r="I459" s="3"/>
      <c r="J459" s="3"/>
    </row>
    <row r="460" spans="8:10" ht="15.75" customHeight="1">
      <c r="H460" s="3"/>
      <c r="I460" s="3"/>
      <c r="J460" s="3"/>
    </row>
    <row r="461" spans="8:10" ht="15.75" customHeight="1">
      <c r="H461" s="3"/>
      <c r="I461" s="3"/>
      <c r="J461" s="3"/>
    </row>
    <row r="462" spans="8:10" ht="15.75" customHeight="1">
      <c r="H462" s="3"/>
      <c r="I462" s="3"/>
      <c r="J462" s="3"/>
    </row>
    <row r="463" spans="8:10" ht="15.75" customHeight="1">
      <c r="H463" s="3"/>
      <c r="I463" s="3"/>
      <c r="J463" s="3"/>
    </row>
    <row r="464" spans="8:10" ht="15.75" customHeight="1">
      <c r="H464" s="3"/>
      <c r="I464" s="3"/>
      <c r="J464" s="3"/>
    </row>
    <row r="465" spans="8:10" ht="15.75" customHeight="1">
      <c r="H465" s="3"/>
      <c r="I465" s="3"/>
      <c r="J465" s="3"/>
    </row>
    <row r="466" spans="8:10" ht="15.75" customHeight="1">
      <c r="H466" s="3"/>
      <c r="I466" s="3"/>
      <c r="J466" s="3"/>
    </row>
    <row r="467" spans="8:10" ht="15.75" customHeight="1">
      <c r="H467" s="3"/>
      <c r="I467" s="3"/>
      <c r="J467" s="3"/>
    </row>
    <row r="468" spans="8:10" ht="15.75" customHeight="1">
      <c r="H468" s="3"/>
      <c r="I468" s="3"/>
      <c r="J468" s="3"/>
    </row>
    <row r="469" spans="8:10" ht="15.75" customHeight="1">
      <c r="H469" s="3"/>
      <c r="I469" s="3"/>
      <c r="J469" s="3"/>
    </row>
    <row r="470" spans="8:10" ht="15.75" customHeight="1">
      <c r="H470" s="3"/>
      <c r="I470" s="3"/>
      <c r="J470" s="3"/>
    </row>
    <row r="471" spans="8:10" ht="15.75" customHeight="1">
      <c r="H471" s="3"/>
      <c r="I471" s="3"/>
      <c r="J471" s="3"/>
    </row>
    <row r="472" spans="8:10" ht="15.75" customHeight="1">
      <c r="H472" s="3"/>
      <c r="I472" s="3"/>
      <c r="J472" s="3"/>
    </row>
    <row r="473" spans="8:10" ht="15.75" customHeight="1">
      <c r="H473" s="3"/>
      <c r="I473" s="3"/>
      <c r="J473" s="3"/>
    </row>
    <row r="474" spans="8:10" ht="15.75" customHeight="1">
      <c r="H474" s="3"/>
      <c r="I474" s="3"/>
      <c r="J474" s="3"/>
    </row>
    <row r="475" spans="8:10" ht="15.75" customHeight="1">
      <c r="H475" s="3"/>
      <c r="I475" s="3"/>
      <c r="J475" s="3"/>
    </row>
    <row r="476" spans="8:10" ht="15.75" customHeight="1">
      <c r="H476" s="3"/>
      <c r="I476" s="3"/>
      <c r="J476" s="3"/>
    </row>
    <row r="477" spans="8:10" ht="15.75" customHeight="1">
      <c r="H477" s="3"/>
      <c r="I477" s="3"/>
      <c r="J477" s="3"/>
    </row>
    <row r="478" spans="8:10" ht="15.75" customHeight="1">
      <c r="H478" s="3"/>
      <c r="I478" s="3"/>
      <c r="J478" s="3"/>
    </row>
    <row r="479" spans="8:10" ht="15.75" customHeight="1">
      <c r="H479" s="3"/>
      <c r="I479" s="3"/>
      <c r="J479" s="3"/>
    </row>
    <row r="480" spans="8:10" ht="15.75" customHeight="1">
      <c r="H480" s="3"/>
      <c r="I480" s="3"/>
      <c r="J480" s="3"/>
    </row>
    <row r="481" spans="8:10" ht="15.75" customHeight="1">
      <c r="H481" s="3"/>
      <c r="I481" s="3"/>
      <c r="J481" s="3"/>
    </row>
    <row r="482" spans="8:10" ht="15.75" customHeight="1">
      <c r="H482" s="3"/>
      <c r="I482" s="3"/>
      <c r="J482" s="3"/>
    </row>
    <row r="483" spans="8:10" ht="15.75" customHeight="1">
      <c r="H483" s="3"/>
      <c r="I483" s="3"/>
      <c r="J483" s="3"/>
    </row>
    <row r="484" spans="8:10" ht="15.75" customHeight="1">
      <c r="H484" s="3"/>
      <c r="I484" s="3"/>
      <c r="J484" s="3"/>
    </row>
    <row r="485" spans="8:10" ht="15.75" customHeight="1">
      <c r="H485" s="3"/>
      <c r="I485" s="3"/>
      <c r="J485" s="3"/>
    </row>
    <row r="486" spans="8:10" ht="15.75" customHeight="1">
      <c r="H486" s="3"/>
      <c r="I486" s="3"/>
      <c r="J486" s="3"/>
    </row>
    <row r="487" spans="8:10" ht="15.75" customHeight="1">
      <c r="H487" s="3"/>
      <c r="I487" s="3"/>
      <c r="J487" s="3"/>
    </row>
    <row r="488" spans="8:10" ht="15.75" customHeight="1">
      <c r="H488" s="3"/>
      <c r="I488" s="3"/>
      <c r="J488" s="3"/>
    </row>
    <row r="489" spans="8:10" ht="15.75" customHeight="1">
      <c r="H489" s="3"/>
      <c r="I489" s="3"/>
      <c r="J489" s="3"/>
    </row>
    <row r="490" spans="8:10" ht="15.75" customHeight="1">
      <c r="H490" s="3"/>
      <c r="I490" s="3"/>
      <c r="J490" s="3"/>
    </row>
    <row r="491" spans="8:10" ht="15.75" customHeight="1">
      <c r="H491" s="3"/>
      <c r="I491" s="3"/>
      <c r="J491" s="3"/>
    </row>
    <row r="492" spans="8:10" ht="15.75" customHeight="1">
      <c r="H492" s="3"/>
      <c r="I492" s="3"/>
      <c r="J492" s="3"/>
    </row>
    <row r="493" spans="8:10" ht="15.75" customHeight="1">
      <c r="H493" s="3"/>
      <c r="I493" s="3"/>
      <c r="J493" s="3"/>
    </row>
    <row r="494" spans="8:10" ht="15.75" customHeight="1">
      <c r="H494" s="3"/>
      <c r="I494" s="3"/>
      <c r="J494" s="3"/>
    </row>
    <row r="495" spans="8:10" ht="15.75" customHeight="1">
      <c r="H495" s="3"/>
      <c r="I495" s="3"/>
      <c r="J495" s="3"/>
    </row>
    <row r="496" spans="8:10" ht="15.75" customHeight="1">
      <c r="H496" s="3"/>
      <c r="I496" s="3"/>
      <c r="J496" s="3"/>
    </row>
    <row r="497" spans="8:10" ht="15.75" customHeight="1">
      <c r="H497" s="3"/>
      <c r="I497" s="3"/>
      <c r="J497" s="3"/>
    </row>
    <row r="498" spans="8:10" ht="15.75" customHeight="1">
      <c r="H498" s="3"/>
      <c r="I498" s="3"/>
      <c r="J498" s="3"/>
    </row>
    <row r="499" spans="8:10" ht="15.75" customHeight="1">
      <c r="H499" s="3"/>
      <c r="I499" s="3"/>
      <c r="J499" s="3"/>
    </row>
    <row r="500" spans="8:10" ht="15.75" customHeight="1">
      <c r="H500" s="3"/>
      <c r="I500" s="3"/>
      <c r="J500" s="3"/>
    </row>
    <row r="501" spans="8:10" ht="15.75" customHeight="1">
      <c r="H501" s="3"/>
      <c r="I501" s="3"/>
      <c r="J501" s="3"/>
    </row>
    <row r="502" spans="8:10" ht="15.75" customHeight="1">
      <c r="H502" s="3"/>
      <c r="I502" s="3"/>
      <c r="J502" s="3"/>
    </row>
    <row r="503" spans="8:10" ht="15.75" customHeight="1">
      <c r="H503" s="3"/>
      <c r="I503" s="3"/>
      <c r="J503" s="3"/>
    </row>
    <row r="504" spans="8:10" ht="15.75" customHeight="1">
      <c r="H504" s="3"/>
      <c r="I504" s="3"/>
      <c r="J504" s="3"/>
    </row>
    <row r="505" spans="8:10" ht="15.75" customHeight="1">
      <c r="H505" s="3"/>
      <c r="I505" s="3"/>
      <c r="J505" s="3"/>
    </row>
    <row r="506" spans="8:10" ht="15.75" customHeight="1">
      <c r="H506" s="3"/>
      <c r="I506" s="3"/>
      <c r="J506" s="3"/>
    </row>
    <row r="507" spans="8:10" ht="15.75" customHeight="1">
      <c r="H507" s="3"/>
      <c r="I507" s="3"/>
      <c r="J507" s="3"/>
    </row>
    <row r="508" spans="8:10" ht="15.75" customHeight="1">
      <c r="H508" s="3"/>
      <c r="I508" s="3"/>
      <c r="J508" s="3"/>
    </row>
    <row r="509" spans="8:10" ht="15.75" customHeight="1">
      <c r="H509" s="3"/>
      <c r="I509" s="3"/>
      <c r="J509" s="3"/>
    </row>
    <row r="510" spans="8:10" ht="15.75" customHeight="1">
      <c r="H510" s="3"/>
      <c r="I510" s="3"/>
      <c r="J510" s="3"/>
    </row>
    <row r="511" spans="8:10" ht="15.75" customHeight="1">
      <c r="H511" s="3"/>
      <c r="I511" s="3"/>
      <c r="J511" s="3"/>
    </row>
    <row r="512" spans="8:10" ht="15.75" customHeight="1">
      <c r="H512" s="3"/>
      <c r="I512" s="3"/>
      <c r="J512" s="3"/>
    </row>
    <row r="513" spans="8:10" ht="15.75" customHeight="1">
      <c r="H513" s="3"/>
      <c r="I513" s="3"/>
      <c r="J513" s="3"/>
    </row>
    <row r="514" spans="8:10" ht="15.75" customHeight="1">
      <c r="H514" s="3"/>
      <c r="I514" s="3"/>
      <c r="J514" s="3"/>
    </row>
    <row r="515" spans="8:10" ht="15.75" customHeight="1">
      <c r="H515" s="3"/>
      <c r="I515" s="3"/>
      <c r="J515" s="3"/>
    </row>
    <row r="516" spans="8:10" ht="15.75" customHeight="1">
      <c r="H516" s="3"/>
      <c r="I516" s="3"/>
      <c r="J516" s="3"/>
    </row>
    <row r="517" spans="8:10" ht="15.75" customHeight="1">
      <c r="H517" s="3"/>
      <c r="I517" s="3"/>
      <c r="J517" s="3"/>
    </row>
    <row r="518" spans="8:10" ht="15.75" customHeight="1">
      <c r="H518" s="3"/>
      <c r="I518" s="3"/>
      <c r="J518" s="3"/>
    </row>
    <row r="519" spans="8:10" ht="15.75" customHeight="1">
      <c r="H519" s="3"/>
      <c r="I519" s="3"/>
      <c r="J519" s="3"/>
    </row>
    <row r="520" spans="8:10" ht="15.75" customHeight="1">
      <c r="H520" s="3"/>
      <c r="I520" s="3"/>
      <c r="J520" s="3"/>
    </row>
    <row r="521" spans="8:10" ht="15.75" customHeight="1">
      <c r="H521" s="3"/>
      <c r="I521" s="3"/>
      <c r="J521" s="3"/>
    </row>
    <row r="522" spans="8:10" ht="15.75" customHeight="1">
      <c r="H522" s="3"/>
      <c r="I522" s="3"/>
      <c r="J522" s="3"/>
    </row>
    <row r="523" spans="8:10" ht="15.75" customHeight="1">
      <c r="H523" s="3"/>
      <c r="I523" s="3"/>
      <c r="J523" s="3"/>
    </row>
    <row r="524" spans="8:10" ht="15.75" customHeight="1">
      <c r="H524" s="3"/>
      <c r="I524" s="3"/>
      <c r="J524" s="3"/>
    </row>
    <row r="525" spans="8:10" ht="15.75" customHeight="1">
      <c r="H525" s="3"/>
      <c r="I525" s="3"/>
      <c r="J525" s="3"/>
    </row>
    <row r="526" spans="8:10" ht="15.75" customHeight="1">
      <c r="H526" s="3"/>
      <c r="I526" s="3"/>
      <c r="J526" s="3"/>
    </row>
    <row r="527" spans="8:10" ht="15.75" customHeight="1">
      <c r="H527" s="3"/>
      <c r="I527" s="3"/>
      <c r="J527" s="3"/>
    </row>
    <row r="528" spans="8:10" ht="15.75" customHeight="1">
      <c r="H528" s="3"/>
      <c r="I528" s="3"/>
      <c r="J528" s="3"/>
    </row>
    <row r="529" spans="8:10" ht="15.75" customHeight="1">
      <c r="H529" s="3"/>
      <c r="I529" s="3"/>
      <c r="J529" s="3"/>
    </row>
    <row r="530" spans="8:10" ht="15.75" customHeight="1">
      <c r="H530" s="3"/>
      <c r="I530" s="3"/>
      <c r="J530" s="3"/>
    </row>
    <row r="531" spans="8:10" ht="15.75" customHeight="1">
      <c r="H531" s="3"/>
      <c r="I531" s="3"/>
      <c r="J531" s="3"/>
    </row>
    <row r="532" spans="8:10" ht="15.75" customHeight="1">
      <c r="H532" s="3"/>
      <c r="I532" s="3"/>
      <c r="J532" s="3"/>
    </row>
    <row r="533" spans="8:10" ht="15.75" customHeight="1">
      <c r="H533" s="3"/>
      <c r="I533" s="3"/>
      <c r="J533" s="3"/>
    </row>
    <row r="534" spans="8:10" ht="15.75" customHeight="1">
      <c r="H534" s="3"/>
      <c r="I534" s="3"/>
      <c r="J534" s="3"/>
    </row>
    <row r="535" spans="8:10" ht="15.75" customHeight="1">
      <c r="H535" s="3"/>
      <c r="I535" s="3"/>
      <c r="J535" s="3"/>
    </row>
    <row r="536" spans="8:10" ht="15.75" customHeight="1">
      <c r="H536" s="3"/>
      <c r="I536" s="3"/>
      <c r="J536" s="3"/>
    </row>
    <row r="537" spans="8:10" ht="15.75" customHeight="1">
      <c r="H537" s="3"/>
      <c r="I537" s="3"/>
      <c r="J537" s="3"/>
    </row>
    <row r="538" spans="8:10" ht="15.75" customHeight="1">
      <c r="H538" s="3"/>
      <c r="I538" s="3"/>
      <c r="J538" s="3"/>
    </row>
    <row r="539" spans="8:10" ht="15.75" customHeight="1">
      <c r="H539" s="3"/>
      <c r="I539" s="3"/>
      <c r="J539" s="3"/>
    </row>
    <row r="540" spans="8:10" ht="15.75" customHeight="1">
      <c r="H540" s="3"/>
      <c r="I540" s="3"/>
      <c r="J540" s="3"/>
    </row>
    <row r="541" spans="8:10" ht="15.75" customHeight="1">
      <c r="H541" s="3"/>
      <c r="I541" s="3"/>
      <c r="J541" s="3"/>
    </row>
    <row r="542" spans="8:10" ht="15.75" customHeight="1">
      <c r="H542" s="3"/>
      <c r="I542" s="3"/>
      <c r="J542" s="3"/>
    </row>
    <row r="543" spans="8:10" ht="15.75" customHeight="1">
      <c r="H543" s="3"/>
      <c r="I543" s="3"/>
      <c r="J543" s="3"/>
    </row>
    <row r="544" spans="8:10" ht="15.75" customHeight="1">
      <c r="H544" s="3"/>
      <c r="I544" s="3"/>
      <c r="J544" s="3"/>
    </row>
    <row r="545" spans="8:10" ht="15.75" customHeight="1">
      <c r="H545" s="3"/>
      <c r="I545" s="3"/>
      <c r="J545" s="3"/>
    </row>
    <row r="546" spans="8:10" ht="15.75" customHeight="1">
      <c r="H546" s="3"/>
      <c r="I546" s="3"/>
      <c r="J546" s="3"/>
    </row>
    <row r="547" spans="8:10" ht="15.75" customHeight="1">
      <c r="H547" s="3"/>
      <c r="I547" s="3"/>
      <c r="J547" s="3"/>
    </row>
    <row r="548" spans="8:10" ht="15.75" customHeight="1">
      <c r="H548" s="3"/>
      <c r="I548" s="3"/>
      <c r="J548" s="3"/>
    </row>
    <row r="549" spans="8:10" ht="15.75" customHeight="1">
      <c r="H549" s="3"/>
      <c r="I549" s="3"/>
      <c r="J549" s="3"/>
    </row>
    <row r="550" spans="8:10" ht="15.75" customHeight="1">
      <c r="H550" s="3"/>
      <c r="I550" s="3"/>
      <c r="J550" s="3"/>
    </row>
    <row r="551" spans="8:10" ht="15.75" customHeight="1">
      <c r="H551" s="3"/>
      <c r="I551" s="3"/>
      <c r="J551" s="3"/>
    </row>
    <row r="552" spans="8:10" ht="15.75" customHeight="1">
      <c r="H552" s="3"/>
      <c r="I552" s="3"/>
      <c r="J552" s="3"/>
    </row>
    <row r="553" spans="8:10" ht="15.75" customHeight="1">
      <c r="H553" s="3"/>
      <c r="I553" s="3"/>
      <c r="J553" s="3"/>
    </row>
    <row r="554" spans="8:10" ht="15.75" customHeight="1">
      <c r="H554" s="3"/>
      <c r="I554" s="3"/>
      <c r="J554" s="3"/>
    </row>
    <row r="555" spans="8:10" ht="15.75" customHeight="1">
      <c r="H555" s="3"/>
      <c r="I555" s="3"/>
      <c r="J555" s="3"/>
    </row>
    <row r="556" spans="8:10" ht="15.75" customHeight="1">
      <c r="H556" s="3"/>
      <c r="I556" s="3"/>
      <c r="J556" s="3"/>
    </row>
    <row r="557" spans="8:10" ht="15.75" customHeight="1">
      <c r="H557" s="3"/>
      <c r="I557" s="3"/>
      <c r="J557" s="3"/>
    </row>
    <row r="558" spans="8:10" ht="15.75" customHeight="1">
      <c r="H558" s="3"/>
      <c r="I558" s="3"/>
      <c r="J558" s="3"/>
    </row>
    <row r="559" spans="8:10" ht="15.75" customHeight="1">
      <c r="H559" s="3"/>
      <c r="I559" s="3"/>
      <c r="J559" s="3"/>
    </row>
    <row r="560" spans="8:10" ht="15.75" customHeight="1">
      <c r="H560" s="3"/>
      <c r="I560" s="3"/>
      <c r="J560" s="3"/>
    </row>
    <row r="561" spans="8:10" ht="15.75" customHeight="1">
      <c r="H561" s="3"/>
      <c r="I561" s="3"/>
      <c r="J561" s="3"/>
    </row>
    <row r="562" spans="8:10" ht="15.75" customHeight="1">
      <c r="H562" s="3"/>
      <c r="I562" s="3"/>
      <c r="J562" s="3"/>
    </row>
    <row r="563" spans="8:10" ht="15.75" customHeight="1">
      <c r="H563" s="3"/>
      <c r="I563" s="3"/>
      <c r="J563" s="3"/>
    </row>
    <row r="564" spans="8:10" ht="15.75" customHeight="1">
      <c r="H564" s="3"/>
      <c r="I564" s="3"/>
      <c r="J564" s="3"/>
    </row>
    <row r="565" spans="8:10" ht="15.75" customHeight="1">
      <c r="H565" s="3"/>
      <c r="I565" s="3"/>
      <c r="J565" s="3"/>
    </row>
    <row r="566" spans="8:10" ht="15.75" customHeight="1">
      <c r="H566" s="3"/>
      <c r="I566" s="3"/>
      <c r="J566" s="3"/>
    </row>
    <row r="567" spans="8:10" ht="15.75" customHeight="1">
      <c r="H567" s="3"/>
      <c r="I567" s="3"/>
      <c r="J567" s="3"/>
    </row>
    <row r="568" spans="8:10" ht="15.75" customHeight="1">
      <c r="H568" s="3"/>
      <c r="I568" s="3"/>
      <c r="J568" s="3"/>
    </row>
    <row r="569" spans="8:10" ht="15.75" customHeight="1">
      <c r="H569" s="3"/>
      <c r="I569" s="3"/>
      <c r="J569" s="3"/>
    </row>
    <row r="570" spans="8:10" ht="15.75" customHeight="1">
      <c r="H570" s="3"/>
      <c r="I570" s="3"/>
      <c r="J570" s="3"/>
    </row>
    <row r="571" spans="8:10" ht="15.75" customHeight="1">
      <c r="H571" s="3"/>
      <c r="I571" s="3"/>
      <c r="J571" s="3"/>
    </row>
    <row r="572" spans="8:10" ht="15.75" customHeight="1">
      <c r="H572" s="3"/>
      <c r="I572" s="3"/>
      <c r="J572" s="3"/>
    </row>
    <row r="573" spans="8:10" ht="15.75" customHeight="1">
      <c r="H573" s="3"/>
      <c r="I573" s="3"/>
      <c r="J573" s="3"/>
    </row>
    <row r="574" spans="8:10" ht="15.75" customHeight="1">
      <c r="H574" s="3"/>
      <c r="I574" s="3"/>
      <c r="J574" s="3"/>
    </row>
    <row r="575" spans="8:10" ht="15.75" customHeight="1">
      <c r="H575" s="3"/>
      <c r="I575" s="3"/>
      <c r="J575" s="3"/>
    </row>
    <row r="576" spans="8:10" ht="15.75" customHeight="1">
      <c r="H576" s="3"/>
      <c r="I576" s="3"/>
      <c r="J576" s="3"/>
    </row>
    <row r="577" spans="8:10" ht="15.75" customHeight="1">
      <c r="H577" s="3"/>
      <c r="I577" s="3"/>
      <c r="J577" s="3"/>
    </row>
    <row r="578" spans="8:10" ht="15.75" customHeight="1">
      <c r="H578" s="3"/>
      <c r="I578" s="3"/>
      <c r="J578" s="3"/>
    </row>
    <row r="579" spans="8:10" ht="15.75" customHeight="1">
      <c r="H579" s="3"/>
      <c r="I579" s="3"/>
      <c r="J579" s="3"/>
    </row>
    <row r="580" spans="8:10" ht="15.75" customHeight="1">
      <c r="H580" s="3"/>
      <c r="I580" s="3"/>
      <c r="J580" s="3"/>
    </row>
    <row r="581" spans="8:10" ht="15.75" customHeight="1">
      <c r="H581" s="3"/>
      <c r="I581" s="3"/>
      <c r="J581" s="3"/>
    </row>
    <row r="582" spans="8:10" ht="15.75" customHeight="1">
      <c r="H582" s="3"/>
      <c r="I582" s="3"/>
      <c r="J582" s="3"/>
    </row>
    <row r="583" spans="8:10" ht="15.75" customHeight="1">
      <c r="H583" s="3"/>
      <c r="I583" s="3"/>
      <c r="J583" s="3"/>
    </row>
    <row r="584" spans="8:10" ht="15.75" customHeight="1">
      <c r="H584" s="3"/>
      <c r="I584" s="3"/>
      <c r="J584" s="3"/>
    </row>
    <row r="585" spans="8:10" ht="15.75" customHeight="1">
      <c r="H585" s="3"/>
      <c r="I585" s="3"/>
      <c r="J585" s="3"/>
    </row>
    <row r="586" spans="8:10" ht="15.75" customHeight="1">
      <c r="H586" s="3"/>
      <c r="I586" s="3"/>
      <c r="J586" s="3"/>
    </row>
    <row r="587" spans="8:10" ht="15.75" customHeight="1">
      <c r="H587" s="3"/>
      <c r="I587" s="3"/>
      <c r="J587" s="3"/>
    </row>
    <row r="588" spans="8:10" ht="15.75" customHeight="1">
      <c r="H588" s="3"/>
      <c r="I588" s="3"/>
      <c r="J588" s="3"/>
    </row>
    <row r="589" spans="8:10" ht="15.75" customHeight="1">
      <c r="H589" s="3"/>
      <c r="I589" s="3"/>
      <c r="J589" s="3"/>
    </row>
    <row r="590" spans="8:10" ht="15.75" customHeight="1">
      <c r="H590" s="3"/>
      <c r="I590" s="3"/>
      <c r="J590" s="3"/>
    </row>
    <row r="591" spans="8:10" ht="15.75" customHeight="1">
      <c r="H591" s="3"/>
      <c r="I591" s="3"/>
      <c r="J591" s="3"/>
    </row>
    <row r="592" spans="8:10" ht="15.75" customHeight="1">
      <c r="H592" s="3"/>
      <c r="I592" s="3"/>
      <c r="J592" s="3"/>
    </row>
    <row r="593" spans="8:10" ht="15.75" customHeight="1">
      <c r="H593" s="3"/>
      <c r="I593" s="3"/>
      <c r="J593" s="3"/>
    </row>
    <row r="594" spans="8:10" ht="15.75" customHeight="1">
      <c r="H594" s="3"/>
      <c r="I594" s="3"/>
      <c r="J594" s="3"/>
    </row>
    <row r="595" spans="8:10" ht="15.75" customHeight="1">
      <c r="H595" s="3"/>
      <c r="I595" s="3"/>
      <c r="J595" s="3"/>
    </row>
    <row r="596" spans="8:10" ht="15.75" customHeight="1">
      <c r="H596" s="3"/>
      <c r="I596" s="3"/>
      <c r="J596" s="3"/>
    </row>
    <row r="597" spans="8:10" ht="15.75" customHeight="1">
      <c r="H597" s="3"/>
      <c r="I597" s="3"/>
      <c r="J597" s="3"/>
    </row>
    <row r="598" spans="8:10" ht="15.75" customHeight="1">
      <c r="H598" s="3"/>
      <c r="I598" s="3"/>
      <c r="J598" s="3"/>
    </row>
    <row r="599" spans="8:10" ht="15.75" customHeight="1">
      <c r="H599" s="3"/>
      <c r="I599" s="3"/>
      <c r="J599" s="3"/>
    </row>
    <row r="600" spans="8:10" ht="15.75" customHeight="1">
      <c r="H600" s="3"/>
      <c r="I600" s="3"/>
      <c r="J600" s="3"/>
    </row>
    <row r="601" spans="8:10" ht="15.75" customHeight="1">
      <c r="H601" s="3"/>
      <c r="I601" s="3"/>
      <c r="J601" s="3"/>
    </row>
    <row r="602" spans="8:10" ht="15.75" customHeight="1">
      <c r="H602" s="3"/>
      <c r="I602" s="3"/>
      <c r="J602" s="3"/>
    </row>
    <row r="603" spans="8:10" ht="15.75" customHeight="1">
      <c r="H603" s="3"/>
      <c r="I603" s="3"/>
      <c r="J603" s="3"/>
    </row>
    <row r="604" spans="8:10" ht="15.75" customHeight="1">
      <c r="H604" s="3"/>
      <c r="I604" s="3"/>
      <c r="J604" s="3"/>
    </row>
    <row r="605" spans="8:10" ht="15.75" customHeight="1">
      <c r="H605" s="3"/>
      <c r="I605" s="3"/>
      <c r="J605" s="3"/>
    </row>
    <row r="606" spans="8:10" ht="15.75" customHeight="1">
      <c r="H606" s="3"/>
      <c r="I606" s="3"/>
      <c r="J606" s="3"/>
    </row>
    <row r="607" spans="8:10" ht="15.75" customHeight="1">
      <c r="H607" s="3"/>
      <c r="I607" s="3"/>
      <c r="J607" s="3"/>
    </row>
    <row r="608" spans="8:10" ht="15.75" customHeight="1">
      <c r="H608" s="3"/>
      <c r="I608" s="3"/>
      <c r="J608" s="3"/>
    </row>
    <row r="609" spans="8:10" ht="15.75" customHeight="1">
      <c r="H609" s="3"/>
      <c r="I609" s="3"/>
      <c r="J609" s="3"/>
    </row>
    <row r="610" spans="8:10" ht="15.75" customHeight="1">
      <c r="H610" s="3"/>
      <c r="I610" s="3"/>
      <c r="J610" s="3"/>
    </row>
    <row r="611" spans="8:10" ht="15.75" customHeight="1">
      <c r="H611" s="3"/>
      <c r="I611" s="3"/>
      <c r="J611" s="3"/>
    </row>
    <row r="612" spans="8:10" ht="15.75" customHeight="1">
      <c r="H612" s="3"/>
      <c r="I612" s="3"/>
      <c r="J612" s="3"/>
    </row>
    <row r="613" spans="8:10" ht="15.75" customHeight="1">
      <c r="H613" s="3"/>
      <c r="I613" s="3"/>
      <c r="J613" s="3"/>
    </row>
    <row r="614" spans="8:10" ht="15.75" customHeight="1">
      <c r="H614" s="3"/>
      <c r="I614" s="3"/>
      <c r="J614" s="3"/>
    </row>
    <row r="615" spans="8:10" ht="15.75" customHeight="1">
      <c r="H615" s="3"/>
      <c r="I615" s="3"/>
      <c r="J615" s="3"/>
    </row>
    <row r="616" spans="8:10" ht="15.75" customHeight="1">
      <c r="H616" s="3"/>
      <c r="I616" s="3"/>
      <c r="J616" s="3"/>
    </row>
    <row r="617" spans="8:10" ht="15.75" customHeight="1">
      <c r="H617" s="3"/>
      <c r="I617" s="3"/>
      <c r="J617" s="3"/>
    </row>
    <row r="618" spans="8:10" ht="15.75" customHeight="1">
      <c r="H618" s="3"/>
      <c r="I618" s="3"/>
      <c r="J618" s="3"/>
    </row>
    <row r="619" spans="8:10" ht="15.75" customHeight="1">
      <c r="H619" s="3"/>
      <c r="I619" s="3"/>
      <c r="J619" s="3"/>
    </row>
    <row r="620" spans="8:10" ht="15.75" customHeight="1">
      <c r="H620" s="3"/>
      <c r="I620" s="3"/>
      <c r="J620" s="3"/>
    </row>
    <row r="621" spans="8:10" ht="15.75" customHeight="1">
      <c r="H621" s="3"/>
      <c r="I621" s="3"/>
      <c r="J621" s="3"/>
    </row>
    <row r="622" spans="8:10" ht="15.75" customHeight="1">
      <c r="H622" s="3"/>
      <c r="I622" s="3"/>
      <c r="J622" s="3"/>
    </row>
    <row r="623" spans="8:10" ht="15.75" customHeight="1">
      <c r="H623" s="3"/>
      <c r="I623" s="3"/>
      <c r="J623" s="3"/>
    </row>
    <row r="624" spans="8:10" ht="15.75" customHeight="1">
      <c r="H624" s="3"/>
      <c r="I624" s="3"/>
      <c r="J624" s="3"/>
    </row>
    <row r="625" spans="8:10" ht="15.75" customHeight="1">
      <c r="H625" s="3"/>
      <c r="I625" s="3"/>
      <c r="J625" s="3"/>
    </row>
    <row r="626" spans="8:10" ht="15.75" customHeight="1">
      <c r="H626" s="3"/>
      <c r="I626" s="3"/>
      <c r="J626" s="3"/>
    </row>
    <row r="627" spans="8:10" ht="15.75" customHeight="1">
      <c r="H627" s="3"/>
      <c r="I627" s="3"/>
      <c r="J627" s="3"/>
    </row>
    <row r="628" spans="8:10" ht="15.75" customHeight="1">
      <c r="H628" s="3"/>
      <c r="I628" s="3"/>
      <c r="J628" s="3"/>
    </row>
    <row r="629" spans="8:10" ht="15.75" customHeight="1">
      <c r="H629" s="3"/>
      <c r="I629" s="3"/>
      <c r="J629" s="3"/>
    </row>
    <row r="630" spans="8:10" ht="15.75" customHeight="1">
      <c r="H630" s="3"/>
      <c r="I630" s="3"/>
      <c r="J630" s="3"/>
    </row>
    <row r="631" spans="8:10" ht="15.75" customHeight="1">
      <c r="H631" s="3"/>
      <c r="I631" s="3"/>
      <c r="J631" s="3"/>
    </row>
    <row r="632" spans="8:10" ht="15.75" customHeight="1">
      <c r="H632" s="3"/>
      <c r="I632" s="3"/>
      <c r="J632" s="3"/>
    </row>
    <row r="633" spans="8:10" ht="15.75" customHeight="1">
      <c r="H633" s="3"/>
      <c r="I633" s="3"/>
      <c r="J633" s="3"/>
    </row>
    <row r="634" spans="8:10" ht="15.75" customHeight="1">
      <c r="H634" s="3"/>
      <c r="I634" s="3"/>
      <c r="J634" s="3"/>
    </row>
    <row r="635" spans="8:10" ht="15.75" customHeight="1">
      <c r="H635" s="3"/>
      <c r="I635" s="3"/>
      <c r="J635" s="3"/>
    </row>
    <row r="636" spans="8:10" ht="15.75" customHeight="1">
      <c r="H636" s="3"/>
      <c r="I636" s="3"/>
      <c r="J636" s="3"/>
    </row>
    <row r="637" spans="8:10" ht="15.75" customHeight="1">
      <c r="H637" s="3"/>
      <c r="I637" s="3"/>
      <c r="J637" s="3"/>
    </row>
    <row r="638" spans="8:10" ht="15.75" customHeight="1">
      <c r="H638" s="3"/>
      <c r="I638" s="3"/>
      <c r="J638" s="3"/>
    </row>
    <row r="639" spans="8:10" ht="15.75" customHeight="1">
      <c r="H639" s="3"/>
      <c r="I639" s="3"/>
      <c r="J639" s="3"/>
    </row>
    <row r="640" spans="8:10" ht="15.75" customHeight="1">
      <c r="H640" s="3"/>
      <c r="I640" s="3"/>
      <c r="J640" s="3"/>
    </row>
    <row r="641" spans="8:10" ht="15.75" customHeight="1">
      <c r="H641" s="3"/>
      <c r="I641" s="3"/>
      <c r="J641" s="3"/>
    </row>
    <row r="642" spans="8:10" ht="15.75" customHeight="1">
      <c r="H642" s="3"/>
      <c r="I642" s="3"/>
      <c r="J642" s="3"/>
    </row>
    <row r="643" spans="8:10" ht="15.75" customHeight="1">
      <c r="H643" s="3"/>
      <c r="I643" s="3"/>
      <c r="J643" s="3"/>
    </row>
    <row r="644" spans="8:10" ht="15.75" customHeight="1">
      <c r="H644" s="3"/>
      <c r="I644" s="3"/>
      <c r="J644" s="3"/>
    </row>
    <row r="645" spans="8:10" ht="15.75" customHeight="1">
      <c r="H645" s="3"/>
      <c r="I645" s="3"/>
      <c r="J645" s="3"/>
    </row>
    <row r="646" spans="8:10" ht="15.75" customHeight="1">
      <c r="H646" s="3"/>
      <c r="I646" s="3"/>
      <c r="J646" s="3"/>
    </row>
    <row r="647" spans="8:10" ht="15.75" customHeight="1">
      <c r="H647" s="3"/>
      <c r="I647" s="3"/>
      <c r="J647" s="3"/>
    </row>
    <row r="648" spans="8:10" ht="15.75" customHeight="1">
      <c r="H648" s="3"/>
      <c r="I648" s="3"/>
      <c r="J648" s="3"/>
    </row>
    <row r="649" spans="8:10" ht="15.75" customHeight="1">
      <c r="H649" s="3"/>
      <c r="I649" s="3"/>
      <c r="J649" s="3"/>
    </row>
    <row r="650" spans="8:10" ht="15.75" customHeight="1">
      <c r="H650" s="3"/>
      <c r="I650" s="3"/>
      <c r="J650" s="3"/>
    </row>
    <row r="651" spans="8:10" ht="15.75" customHeight="1">
      <c r="H651" s="3"/>
      <c r="I651" s="3"/>
      <c r="J651" s="3"/>
    </row>
    <row r="652" spans="8:10" ht="15.75" customHeight="1">
      <c r="H652" s="3"/>
      <c r="I652" s="3"/>
      <c r="J652" s="3"/>
    </row>
    <row r="653" spans="8:10" ht="15.75" customHeight="1">
      <c r="H653" s="3"/>
      <c r="I653" s="3"/>
      <c r="J653" s="3"/>
    </row>
    <row r="654" spans="8:10" ht="15.75" customHeight="1">
      <c r="H654" s="3"/>
      <c r="I654" s="3"/>
      <c r="J654" s="3"/>
    </row>
    <row r="655" spans="8:10" ht="15.75" customHeight="1">
      <c r="H655" s="3"/>
      <c r="I655" s="3"/>
      <c r="J655" s="3"/>
    </row>
    <row r="656" spans="8:10" ht="15.75" customHeight="1">
      <c r="H656" s="3"/>
      <c r="I656" s="3"/>
      <c r="J656" s="3"/>
    </row>
    <row r="657" spans="8:10" ht="15.75" customHeight="1">
      <c r="H657" s="3"/>
      <c r="I657" s="3"/>
      <c r="J657" s="3"/>
    </row>
    <row r="658" spans="8:10" ht="15.75" customHeight="1">
      <c r="H658" s="3"/>
      <c r="I658" s="3"/>
      <c r="J658" s="3"/>
    </row>
    <row r="659" spans="8:10" ht="15.75" customHeight="1">
      <c r="H659" s="3"/>
      <c r="I659" s="3"/>
      <c r="J659" s="3"/>
    </row>
    <row r="660" spans="8:10" ht="15.75" customHeight="1">
      <c r="H660" s="3"/>
      <c r="I660" s="3"/>
      <c r="J660" s="3"/>
    </row>
    <row r="661" spans="8:10" ht="15.75" customHeight="1">
      <c r="H661" s="3"/>
      <c r="I661" s="3"/>
      <c r="J661" s="3"/>
    </row>
    <row r="662" spans="8:10" ht="15.75" customHeight="1">
      <c r="H662" s="3"/>
      <c r="I662" s="3"/>
      <c r="J662" s="3"/>
    </row>
    <row r="663" spans="8:10" ht="15.75" customHeight="1">
      <c r="H663" s="3"/>
      <c r="I663" s="3"/>
      <c r="J663" s="3"/>
    </row>
    <row r="664" spans="8:10" ht="15.75" customHeight="1">
      <c r="H664" s="3"/>
      <c r="I664" s="3"/>
      <c r="J664" s="3"/>
    </row>
    <row r="665" spans="8:10" ht="15.75" customHeight="1">
      <c r="H665" s="3"/>
      <c r="I665" s="3"/>
      <c r="J665" s="3"/>
    </row>
    <row r="666" spans="8:10" ht="15.75" customHeight="1">
      <c r="H666" s="3"/>
      <c r="I666" s="3"/>
      <c r="J666" s="3"/>
    </row>
    <row r="667" spans="8:10" ht="15.75" customHeight="1">
      <c r="H667" s="3"/>
      <c r="I667" s="3"/>
      <c r="J667" s="3"/>
    </row>
    <row r="668" spans="8:10" ht="15.75" customHeight="1">
      <c r="H668" s="3"/>
      <c r="I668" s="3"/>
      <c r="J668" s="3"/>
    </row>
    <row r="669" spans="8:10" ht="15.75" customHeight="1">
      <c r="H669" s="3"/>
      <c r="I669" s="3"/>
      <c r="J669" s="3"/>
    </row>
    <row r="670" spans="8:10" ht="15.75" customHeight="1">
      <c r="H670" s="3"/>
      <c r="I670" s="3"/>
      <c r="J670" s="3"/>
    </row>
    <row r="671" spans="8:10" ht="15.75" customHeight="1">
      <c r="H671" s="3"/>
      <c r="I671" s="3"/>
      <c r="J671" s="3"/>
    </row>
    <row r="672" spans="8:10" ht="15.75" customHeight="1">
      <c r="H672" s="3"/>
      <c r="I672" s="3"/>
      <c r="J672" s="3"/>
    </row>
    <row r="673" spans="8:10" ht="15.75" customHeight="1">
      <c r="H673" s="3"/>
      <c r="I673" s="3"/>
      <c r="J673" s="3"/>
    </row>
    <row r="674" spans="8:10" ht="15.75" customHeight="1">
      <c r="H674" s="3"/>
      <c r="I674" s="3"/>
      <c r="J674" s="3"/>
    </row>
    <row r="675" spans="8:10" ht="15.75" customHeight="1">
      <c r="H675" s="3"/>
      <c r="I675" s="3"/>
      <c r="J675" s="3"/>
    </row>
    <row r="676" spans="8:10" ht="15.75" customHeight="1">
      <c r="H676" s="3"/>
      <c r="I676" s="3"/>
      <c r="J676" s="3"/>
    </row>
    <row r="677" spans="8:10" ht="15.75" customHeight="1">
      <c r="H677" s="3"/>
      <c r="I677" s="3"/>
      <c r="J677" s="3"/>
    </row>
    <row r="678" spans="8:10" ht="15.75" customHeight="1">
      <c r="H678" s="3"/>
      <c r="I678" s="3"/>
      <c r="J678" s="3"/>
    </row>
    <row r="679" spans="8:10" ht="15.75" customHeight="1">
      <c r="H679" s="3"/>
      <c r="I679" s="3"/>
      <c r="J679" s="3"/>
    </row>
    <row r="680" spans="8:10" ht="15.75" customHeight="1">
      <c r="H680" s="3"/>
      <c r="I680" s="3"/>
      <c r="J680" s="3"/>
    </row>
    <row r="681" spans="8:10" ht="15.75" customHeight="1">
      <c r="H681" s="3"/>
      <c r="I681" s="3"/>
      <c r="J681" s="3"/>
    </row>
    <row r="682" spans="8:10" ht="15.75" customHeight="1">
      <c r="H682" s="3"/>
      <c r="I682" s="3"/>
      <c r="J682" s="3"/>
    </row>
    <row r="683" spans="8:10" ht="15.75" customHeight="1">
      <c r="H683" s="3"/>
      <c r="I683" s="3"/>
      <c r="J683" s="3"/>
    </row>
    <row r="684" spans="8:10" ht="15.75" customHeight="1">
      <c r="H684" s="3"/>
      <c r="I684" s="3"/>
      <c r="J684" s="3"/>
    </row>
    <row r="685" spans="8:10" ht="15.75" customHeight="1">
      <c r="H685" s="3"/>
      <c r="I685" s="3"/>
      <c r="J685" s="3"/>
    </row>
    <row r="686" spans="8:10" ht="15.75" customHeight="1">
      <c r="H686" s="3"/>
      <c r="I686" s="3"/>
      <c r="J686" s="3"/>
    </row>
    <row r="687" spans="8:10" ht="15.75" customHeight="1">
      <c r="H687" s="3"/>
      <c r="I687" s="3"/>
      <c r="J687" s="3"/>
    </row>
    <row r="688" spans="8:10" ht="15.75" customHeight="1">
      <c r="H688" s="3"/>
      <c r="I688" s="3"/>
      <c r="J688" s="3"/>
    </row>
    <row r="689" spans="8:10" ht="15.75" customHeight="1">
      <c r="H689" s="3"/>
      <c r="I689" s="3"/>
      <c r="J689" s="3"/>
    </row>
    <row r="690" spans="8:10" ht="15.75" customHeight="1">
      <c r="H690" s="3"/>
      <c r="I690" s="3"/>
      <c r="J690" s="3"/>
    </row>
    <row r="691" spans="8:10" ht="15.75" customHeight="1">
      <c r="H691" s="3"/>
      <c r="I691" s="3"/>
      <c r="J691" s="3"/>
    </row>
    <row r="692" spans="8:10" ht="15.75" customHeight="1">
      <c r="H692" s="3"/>
      <c r="I692" s="3"/>
      <c r="J692" s="3"/>
    </row>
    <row r="693" spans="8:10" ht="15.75" customHeight="1">
      <c r="H693" s="3"/>
      <c r="I693" s="3"/>
      <c r="J693" s="3"/>
    </row>
    <row r="694" spans="8:10" ht="15.75" customHeight="1">
      <c r="H694" s="3"/>
      <c r="I694" s="3"/>
      <c r="J694" s="3"/>
    </row>
    <row r="695" spans="8:10" ht="15.75" customHeight="1">
      <c r="H695" s="3"/>
      <c r="I695" s="3"/>
      <c r="J695" s="3"/>
    </row>
    <row r="696" spans="8:10" ht="15.75" customHeight="1">
      <c r="H696" s="3"/>
      <c r="I696" s="3"/>
      <c r="J696" s="3"/>
    </row>
    <row r="697" spans="8:10" ht="15.75" customHeight="1">
      <c r="H697" s="3"/>
      <c r="I697" s="3"/>
      <c r="J697" s="3"/>
    </row>
    <row r="698" spans="8:10" ht="15.75" customHeight="1">
      <c r="H698" s="3"/>
      <c r="I698" s="3"/>
      <c r="J698" s="3"/>
    </row>
    <row r="699" spans="8:10" ht="15.75" customHeight="1">
      <c r="H699" s="3"/>
      <c r="I699" s="3"/>
      <c r="J699" s="3"/>
    </row>
    <row r="700" spans="8:10" ht="15.75" customHeight="1">
      <c r="H700" s="3"/>
      <c r="I700" s="3"/>
      <c r="J700" s="3"/>
    </row>
    <row r="701" spans="8:10" ht="15.75" customHeight="1">
      <c r="H701" s="3"/>
      <c r="I701" s="3"/>
      <c r="J701" s="3"/>
    </row>
    <row r="702" spans="8:10" ht="15.75" customHeight="1">
      <c r="H702" s="3"/>
      <c r="I702" s="3"/>
      <c r="J702" s="3"/>
    </row>
    <row r="703" spans="8:10" ht="15.75" customHeight="1">
      <c r="H703" s="3"/>
      <c r="I703" s="3"/>
      <c r="J703" s="3"/>
    </row>
    <row r="704" spans="8:10" ht="15.75" customHeight="1">
      <c r="H704" s="3"/>
      <c r="I704" s="3"/>
      <c r="J704" s="3"/>
    </row>
    <row r="705" spans="8:10" ht="15.75" customHeight="1">
      <c r="H705" s="3"/>
      <c r="I705" s="3"/>
      <c r="J705" s="3"/>
    </row>
    <row r="706" spans="8:10" ht="15.75" customHeight="1">
      <c r="H706" s="3"/>
      <c r="I706" s="3"/>
      <c r="J706" s="3"/>
    </row>
    <row r="707" spans="8:10" ht="15.75" customHeight="1">
      <c r="H707" s="3"/>
      <c r="I707" s="3"/>
      <c r="J707" s="3"/>
    </row>
    <row r="708" spans="8:10" ht="15.75" customHeight="1">
      <c r="H708" s="3"/>
      <c r="I708" s="3"/>
      <c r="J708" s="3"/>
    </row>
    <row r="709" spans="8:10" ht="15.75" customHeight="1">
      <c r="H709" s="3"/>
      <c r="I709" s="3"/>
      <c r="J709" s="3"/>
    </row>
    <row r="710" spans="8:10" ht="15.75" customHeight="1">
      <c r="H710" s="3"/>
      <c r="I710" s="3"/>
      <c r="J710" s="3"/>
    </row>
    <row r="711" spans="8:10" ht="15.75" customHeight="1">
      <c r="H711" s="3"/>
      <c r="I711" s="3"/>
      <c r="J711" s="3"/>
    </row>
    <row r="712" spans="8:10" ht="15.75" customHeight="1">
      <c r="H712" s="3"/>
      <c r="I712" s="3"/>
      <c r="J712" s="3"/>
    </row>
    <row r="713" spans="8:10" ht="15.75" customHeight="1">
      <c r="H713" s="3"/>
      <c r="I713" s="3"/>
      <c r="J713" s="3"/>
    </row>
    <row r="714" spans="8:10" ht="15.75" customHeight="1">
      <c r="H714" s="3"/>
      <c r="I714" s="3"/>
      <c r="J714" s="3"/>
    </row>
    <row r="715" spans="8:10" ht="15.75" customHeight="1">
      <c r="H715" s="3"/>
      <c r="I715" s="3"/>
      <c r="J715" s="3"/>
    </row>
    <row r="716" spans="8:10" ht="15.75" customHeight="1">
      <c r="H716" s="3"/>
      <c r="I716" s="3"/>
      <c r="J716" s="3"/>
    </row>
    <row r="717" spans="8:10" ht="15.75" customHeight="1">
      <c r="H717" s="3"/>
      <c r="I717" s="3"/>
      <c r="J717" s="3"/>
    </row>
    <row r="718" spans="8:10" ht="15.75" customHeight="1">
      <c r="H718" s="3"/>
      <c r="I718" s="3"/>
      <c r="J718" s="3"/>
    </row>
    <row r="719" spans="8:10" ht="15.75" customHeight="1">
      <c r="H719" s="3"/>
      <c r="I719" s="3"/>
      <c r="J719" s="3"/>
    </row>
    <row r="720" spans="8:10" ht="15.75" customHeight="1">
      <c r="H720" s="3"/>
      <c r="I720" s="3"/>
      <c r="J720" s="3"/>
    </row>
    <row r="721" spans="8:10" ht="15.75" customHeight="1">
      <c r="H721" s="3"/>
      <c r="I721" s="3"/>
      <c r="J721" s="3"/>
    </row>
    <row r="722" spans="8:10" ht="15.75" customHeight="1">
      <c r="H722" s="3"/>
      <c r="I722" s="3"/>
      <c r="J722" s="3"/>
    </row>
    <row r="723" spans="8:10" ht="15.75" customHeight="1">
      <c r="H723" s="3"/>
      <c r="I723" s="3"/>
      <c r="J723" s="3"/>
    </row>
    <row r="724" spans="8:10" ht="15.75" customHeight="1">
      <c r="H724" s="3"/>
      <c r="I724" s="3"/>
      <c r="J724" s="3"/>
    </row>
    <row r="725" spans="8:10" ht="15.75" customHeight="1">
      <c r="H725" s="3"/>
      <c r="I725" s="3"/>
      <c r="J725" s="3"/>
    </row>
    <row r="726" spans="8:10" ht="15.75" customHeight="1">
      <c r="H726" s="3"/>
      <c r="I726" s="3"/>
      <c r="J726" s="3"/>
    </row>
    <row r="727" spans="8:10" ht="15.75" customHeight="1">
      <c r="H727" s="3"/>
      <c r="I727" s="3"/>
      <c r="J727" s="3"/>
    </row>
    <row r="728" spans="8:10" ht="15.75" customHeight="1">
      <c r="H728" s="3"/>
      <c r="I728" s="3"/>
      <c r="J728" s="3"/>
    </row>
    <row r="729" spans="8:10" ht="15.75" customHeight="1">
      <c r="H729" s="3"/>
      <c r="I729" s="3"/>
      <c r="J729" s="3"/>
    </row>
    <row r="730" spans="8:10" ht="15.75" customHeight="1">
      <c r="H730" s="3"/>
      <c r="I730" s="3"/>
      <c r="J730" s="3"/>
    </row>
    <row r="731" spans="8:10" ht="15.75" customHeight="1">
      <c r="H731" s="3"/>
      <c r="I731" s="3"/>
      <c r="J731" s="3"/>
    </row>
    <row r="732" spans="8:10" ht="15.75" customHeight="1">
      <c r="H732" s="3"/>
      <c r="I732" s="3"/>
      <c r="J732" s="3"/>
    </row>
    <row r="733" spans="8:10" ht="15.75" customHeight="1">
      <c r="H733" s="3"/>
      <c r="I733" s="3"/>
      <c r="J733" s="3"/>
    </row>
    <row r="734" spans="8:10" ht="15.75" customHeight="1">
      <c r="H734" s="3"/>
      <c r="I734" s="3"/>
      <c r="J734" s="3"/>
    </row>
    <row r="735" spans="8:10" ht="15.75" customHeight="1">
      <c r="H735" s="3"/>
      <c r="I735" s="3"/>
      <c r="J735" s="3"/>
    </row>
    <row r="736" spans="8:10" ht="15.75" customHeight="1">
      <c r="H736" s="3"/>
      <c r="I736" s="3"/>
      <c r="J736" s="3"/>
    </row>
    <row r="737" spans="8:10" ht="15.75" customHeight="1">
      <c r="H737" s="3"/>
      <c r="I737" s="3"/>
      <c r="J737" s="3"/>
    </row>
    <row r="738" spans="8:10" ht="15.75" customHeight="1">
      <c r="H738" s="3"/>
      <c r="I738" s="3"/>
      <c r="J738" s="3"/>
    </row>
    <row r="739" spans="8:10" ht="15.75" customHeight="1">
      <c r="H739" s="3"/>
      <c r="I739" s="3"/>
      <c r="J739" s="3"/>
    </row>
    <row r="740" spans="8:10" ht="15.75" customHeight="1">
      <c r="H740" s="3"/>
      <c r="I740" s="3"/>
      <c r="J740" s="3"/>
    </row>
    <row r="741" spans="8:10" ht="15.75" customHeight="1">
      <c r="H741" s="3"/>
      <c r="I741" s="3"/>
      <c r="J741" s="3"/>
    </row>
    <row r="742" spans="8:10" ht="15.75" customHeight="1">
      <c r="H742" s="3"/>
      <c r="I742" s="3"/>
      <c r="J742" s="3"/>
    </row>
    <row r="743" spans="8:10" ht="15.75" customHeight="1">
      <c r="H743" s="3"/>
      <c r="I743" s="3"/>
      <c r="J743" s="3"/>
    </row>
    <row r="744" spans="8:10" ht="15.75" customHeight="1">
      <c r="H744" s="3"/>
      <c r="I744" s="3"/>
      <c r="J744" s="3"/>
    </row>
    <row r="745" spans="8:10" ht="15.75" customHeight="1">
      <c r="H745" s="3"/>
      <c r="I745" s="3"/>
      <c r="J745" s="3"/>
    </row>
    <row r="746" spans="8:10" ht="15.75" customHeight="1">
      <c r="H746" s="3"/>
      <c r="I746" s="3"/>
      <c r="J746" s="3"/>
    </row>
    <row r="747" spans="8:10" ht="15.75" customHeight="1">
      <c r="H747" s="3"/>
      <c r="I747" s="3"/>
      <c r="J747" s="3"/>
    </row>
    <row r="748" spans="8:10" ht="15.75" customHeight="1">
      <c r="H748" s="3"/>
      <c r="I748" s="3"/>
      <c r="J748" s="3"/>
    </row>
    <row r="749" spans="8:10" ht="15.75" customHeight="1">
      <c r="H749" s="3"/>
      <c r="I749" s="3"/>
      <c r="J749" s="3"/>
    </row>
    <row r="750" spans="8:10" ht="15.75" customHeight="1">
      <c r="H750" s="3"/>
      <c r="I750" s="3"/>
      <c r="J750" s="3"/>
    </row>
    <row r="751" spans="8:10" ht="15.75" customHeight="1">
      <c r="H751" s="3"/>
      <c r="I751" s="3"/>
      <c r="J751" s="3"/>
    </row>
    <row r="752" spans="8:10" ht="15.75" customHeight="1">
      <c r="H752" s="3"/>
      <c r="I752" s="3"/>
      <c r="J752" s="3"/>
    </row>
    <row r="753" spans="8:10" ht="15.75" customHeight="1">
      <c r="H753" s="3"/>
      <c r="I753" s="3"/>
      <c r="J753" s="3"/>
    </row>
    <row r="754" spans="8:10" ht="15.75" customHeight="1">
      <c r="H754" s="3"/>
      <c r="I754" s="3"/>
      <c r="J754" s="3"/>
    </row>
    <row r="755" spans="8:10" ht="15.75" customHeight="1">
      <c r="H755" s="3"/>
      <c r="I755" s="3"/>
      <c r="J755" s="3"/>
    </row>
    <row r="756" spans="8:10" ht="15.75" customHeight="1">
      <c r="H756" s="3"/>
      <c r="I756" s="3"/>
      <c r="J756" s="3"/>
    </row>
    <row r="757" spans="8:10" ht="15.75" customHeight="1">
      <c r="H757" s="3"/>
      <c r="I757" s="3"/>
      <c r="J757" s="3"/>
    </row>
    <row r="758" spans="8:10" ht="15.75" customHeight="1">
      <c r="H758" s="3"/>
      <c r="I758" s="3"/>
      <c r="J758" s="3"/>
    </row>
    <row r="759" spans="8:10" ht="15.75" customHeight="1">
      <c r="H759" s="3"/>
      <c r="I759" s="3"/>
      <c r="J759" s="3"/>
    </row>
    <row r="760" spans="8:10" ht="15.75" customHeight="1">
      <c r="H760" s="3"/>
      <c r="I760" s="3"/>
      <c r="J760" s="3"/>
    </row>
    <row r="761" spans="8:10" ht="15.75" customHeight="1">
      <c r="H761" s="3"/>
      <c r="I761" s="3"/>
      <c r="J761" s="3"/>
    </row>
    <row r="762" spans="8:10" ht="15.75" customHeight="1">
      <c r="H762" s="3"/>
      <c r="I762" s="3"/>
      <c r="J762" s="3"/>
    </row>
    <row r="763" spans="8:10" ht="15.75" customHeight="1">
      <c r="H763" s="3"/>
      <c r="I763" s="3"/>
      <c r="J763" s="3"/>
    </row>
    <row r="764" spans="8:10" ht="15.75" customHeight="1">
      <c r="H764" s="3"/>
      <c r="I764" s="3"/>
      <c r="J764" s="3"/>
    </row>
    <row r="765" spans="8:10" ht="15.75" customHeight="1">
      <c r="H765" s="3"/>
      <c r="I765" s="3"/>
      <c r="J765" s="3"/>
    </row>
    <row r="766" spans="8:10" ht="15.75" customHeight="1">
      <c r="H766" s="3"/>
      <c r="I766" s="3"/>
      <c r="J766" s="3"/>
    </row>
    <row r="767" spans="8:10" ht="15.75" customHeight="1">
      <c r="H767" s="3"/>
      <c r="I767" s="3"/>
      <c r="J767" s="3"/>
    </row>
    <row r="768" spans="8:10" ht="15.75" customHeight="1">
      <c r="H768" s="3"/>
      <c r="I768" s="3"/>
      <c r="J768" s="3"/>
    </row>
    <row r="769" spans="8:10" ht="15.75" customHeight="1">
      <c r="H769" s="3"/>
      <c r="I769" s="3"/>
      <c r="J769" s="3"/>
    </row>
    <row r="770" spans="8:10" ht="15.75" customHeight="1">
      <c r="H770" s="3"/>
      <c r="I770" s="3"/>
      <c r="J770" s="3"/>
    </row>
    <row r="771" spans="8:10" ht="15.75" customHeight="1">
      <c r="H771" s="3"/>
      <c r="I771" s="3"/>
      <c r="J771" s="3"/>
    </row>
    <row r="772" spans="8:10" ht="15.75" customHeight="1">
      <c r="H772" s="3"/>
      <c r="I772" s="3"/>
      <c r="J772" s="3"/>
    </row>
    <row r="773" spans="8:10" ht="15.75" customHeight="1">
      <c r="H773" s="3"/>
      <c r="I773" s="3"/>
      <c r="J773" s="3"/>
    </row>
    <row r="774" spans="8:10" ht="15.75" customHeight="1">
      <c r="H774" s="3"/>
      <c r="I774" s="3"/>
      <c r="J774" s="3"/>
    </row>
    <row r="775" spans="8:10" ht="15.75" customHeight="1">
      <c r="H775" s="3"/>
      <c r="I775" s="3"/>
      <c r="J775" s="3"/>
    </row>
    <row r="776" spans="8:10" ht="15.75" customHeight="1">
      <c r="H776" s="3"/>
      <c r="I776" s="3"/>
      <c r="J776" s="3"/>
    </row>
    <row r="777" spans="8:10" ht="15.75" customHeight="1">
      <c r="H777" s="3"/>
      <c r="I777" s="3"/>
      <c r="J777" s="3"/>
    </row>
    <row r="778" spans="8:10" ht="15.75" customHeight="1">
      <c r="H778" s="3"/>
      <c r="I778" s="3"/>
      <c r="J778" s="3"/>
    </row>
    <row r="779" spans="8:10" ht="15.75" customHeight="1">
      <c r="H779" s="3"/>
      <c r="I779" s="3"/>
      <c r="J779" s="3"/>
    </row>
    <row r="780" spans="8:10" ht="15.75" customHeight="1">
      <c r="H780" s="3"/>
      <c r="I780" s="3"/>
      <c r="J780" s="3"/>
    </row>
    <row r="781" spans="8:10" ht="15.75" customHeight="1">
      <c r="H781" s="3"/>
      <c r="I781" s="3"/>
      <c r="J781" s="3"/>
    </row>
    <row r="782" spans="8:10" ht="15.75" customHeight="1">
      <c r="H782" s="3"/>
      <c r="I782" s="3"/>
      <c r="J782" s="3"/>
    </row>
    <row r="783" spans="8:10" ht="15.75" customHeight="1">
      <c r="H783" s="3"/>
      <c r="I783" s="3"/>
      <c r="J783" s="3"/>
    </row>
    <row r="784" spans="8:10" ht="15.75" customHeight="1">
      <c r="H784" s="3"/>
      <c r="I784" s="3"/>
      <c r="J784" s="3"/>
    </row>
    <row r="785" spans="8:10" ht="15.75" customHeight="1">
      <c r="H785" s="3"/>
      <c r="I785" s="3"/>
      <c r="J785" s="3"/>
    </row>
    <row r="786" spans="8:10" ht="15.75" customHeight="1">
      <c r="H786" s="3"/>
      <c r="I786" s="3"/>
      <c r="J786" s="3"/>
    </row>
    <row r="787" spans="8:10" ht="15.75" customHeight="1">
      <c r="H787" s="3"/>
      <c r="I787" s="3"/>
      <c r="J787" s="3"/>
    </row>
    <row r="788" spans="8:10" ht="15.75" customHeight="1">
      <c r="H788" s="3"/>
      <c r="I788" s="3"/>
      <c r="J788" s="3"/>
    </row>
    <row r="789" spans="8:10" ht="15.75" customHeight="1">
      <c r="H789" s="3"/>
      <c r="I789" s="3"/>
      <c r="J789" s="3"/>
    </row>
    <row r="790" spans="8:10" ht="15.75" customHeight="1">
      <c r="H790" s="3"/>
      <c r="I790" s="3"/>
      <c r="J790" s="3"/>
    </row>
    <row r="791" spans="8:10" ht="15.75" customHeight="1">
      <c r="H791" s="3"/>
      <c r="I791" s="3"/>
      <c r="J791" s="3"/>
    </row>
    <row r="792" spans="8:10" ht="15.75" customHeight="1">
      <c r="H792" s="3"/>
      <c r="I792" s="3"/>
      <c r="J792" s="3"/>
    </row>
    <row r="793" spans="8:10" ht="15.75" customHeight="1">
      <c r="H793" s="3"/>
      <c r="I793" s="3"/>
      <c r="J793" s="3"/>
    </row>
    <row r="794" spans="8:10" ht="15.75" customHeight="1">
      <c r="H794" s="3"/>
      <c r="I794" s="3"/>
      <c r="J794" s="3"/>
    </row>
    <row r="795" spans="8:10" ht="15.75" customHeight="1">
      <c r="H795" s="3"/>
      <c r="I795" s="3"/>
      <c r="J795" s="3"/>
    </row>
    <row r="796" spans="8:10" ht="15.75" customHeight="1">
      <c r="H796" s="3"/>
      <c r="I796" s="3"/>
      <c r="J796" s="3"/>
    </row>
    <row r="797" spans="8:10" ht="15.75" customHeight="1">
      <c r="H797" s="3"/>
      <c r="I797" s="3"/>
      <c r="J797" s="3"/>
    </row>
    <row r="798" spans="8:10" ht="15.75" customHeight="1">
      <c r="H798" s="3"/>
      <c r="I798" s="3"/>
      <c r="J798" s="3"/>
    </row>
    <row r="799" spans="8:10" ht="15.75" customHeight="1">
      <c r="H799" s="3"/>
      <c r="I799" s="3"/>
      <c r="J799" s="3"/>
    </row>
    <row r="800" spans="8:10" ht="15.75" customHeight="1">
      <c r="H800" s="3"/>
      <c r="I800" s="3"/>
      <c r="J800" s="3"/>
    </row>
    <row r="801" spans="8:10" ht="15.75" customHeight="1">
      <c r="H801" s="3"/>
      <c r="I801" s="3"/>
      <c r="J801" s="3"/>
    </row>
    <row r="802" spans="8:10" ht="15.75" customHeight="1">
      <c r="H802" s="3"/>
      <c r="I802" s="3"/>
      <c r="J802" s="3"/>
    </row>
    <row r="803" spans="8:10" ht="15.75" customHeight="1">
      <c r="H803" s="3"/>
      <c r="I803" s="3"/>
      <c r="J803" s="3"/>
    </row>
    <row r="804" spans="8:10" ht="15.75" customHeight="1">
      <c r="H804" s="3"/>
      <c r="I804" s="3"/>
      <c r="J804" s="3"/>
    </row>
    <row r="805" spans="8:10" ht="15.75" customHeight="1">
      <c r="H805" s="3"/>
      <c r="I805" s="3"/>
      <c r="J805" s="3"/>
    </row>
    <row r="806" spans="8:10" ht="15.75" customHeight="1">
      <c r="H806" s="3"/>
      <c r="I806" s="3"/>
      <c r="J806" s="3"/>
    </row>
    <row r="807" spans="8:10" ht="15.75" customHeight="1">
      <c r="H807" s="3"/>
      <c r="I807" s="3"/>
      <c r="J807" s="3"/>
    </row>
    <row r="808" spans="8:10" ht="15.75" customHeight="1">
      <c r="H808" s="3"/>
      <c r="I808" s="3"/>
      <c r="J808" s="3"/>
    </row>
    <row r="809" spans="8:10" ht="15.75" customHeight="1">
      <c r="H809" s="3"/>
      <c r="I809" s="3"/>
      <c r="J809" s="3"/>
    </row>
    <row r="810" spans="8:10" ht="15.75" customHeight="1">
      <c r="H810" s="3"/>
      <c r="I810" s="3"/>
      <c r="J810" s="3"/>
    </row>
    <row r="811" spans="8:10" ht="15.75" customHeight="1">
      <c r="H811" s="3"/>
      <c r="I811" s="3"/>
      <c r="J811" s="3"/>
    </row>
    <row r="812" spans="8:10" ht="15.75" customHeight="1">
      <c r="H812" s="3"/>
      <c r="I812" s="3"/>
      <c r="J812" s="3"/>
    </row>
    <row r="813" spans="8:10" ht="15.75" customHeight="1">
      <c r="H813" s="3"/>
      <c r="I813" s="3"/>
      <c r="J813" s="3"/>
    </row>
    <row r="814" spans="8:10" ht="15.75" customHeight="1">
      <c r="H814" s="3"/>
      <c r="I814" s="3"/>
      <c r="J814" s="3"/>
    </row>
    <row r="815" spans="8:10" ht="15.75" customHeight="1">
      <c r="H815" s="3"/>
      <c r="I815" s="3"/>
      <c r="J815" s="3"/>
    </row>
    <row r="816" spans="8:10" ht="15.75" customHeight="1">
      <c r="H816" s="3"/>
      <c r="I816" s="3"/>
      <c r="J816" s="3"/>
    </row>
    <row r="817" spans="8:10" ht="15.75" customHeight="1">
      <c r="H817" s="3"/>
      <c r="I817" s="3"/>
      <c r="J817" s="3"/>
    </row>
    <row r="818" spans="8:10" ht="15.75" customHeight="1">
      <c r="H818" s="3"/>
      <c r="I818" s="3"/>
      <c r="J818" s="3"/>
    </row>
    <row r="819" spans="8:10" ht="15.75" customHeight="1">
      <c r="H819" s="3"/>
      <c r="I819" s="3"/>
      <c r="J819" s="3"/>
    </row>
    <row r="820" spans="8:10" ht="15.75" customHeight="1">
      <c r="H820" s="3"/>
      <c r="I820" s="3"/>
      <c r="J820" s="3"/>
    </row>
    <row r="821" spans="8:10" ht="15.75" customHeight="1">
      <c r="H821" s="3"/>
      <c r="I821" s="3"/>
      <c r="J821" s="3"/>
    </row>
    <row r="822" spans="8:10" ht="15.75" customHeight="1">
      <c r="H822" s="3"/>
      <c r="I822" s="3"/>
      <c r="J822" s="3"/>
    </row>
    <row r="823" spans="8:10" ht="15.75" customHeight="1">
      <c r="H823" s="3"/>
      <c r="I823" s="3"/>
      <c r="J823" s="3"/>
    </row>
    <row r="824" spans="8:10" ht="15.75" customHeight="1">
      <c r="H824" s="3"/>
      <c r="I824" s="3"/>
      <c r="J824" s="3"/>
    </row>
    <row r="825" spans="8:10" ht="15.75" customHeight="1">
      <c r="H825" s="3"/>
      <c r="I825" s="3"/>
      <c r="J825" s="3"/>
    </row>
    <row r="826" spans="8:10" ht="15.75" customHeight="1">
      <c r="H826" s="3"/>
      <c r="I826" s="3"/>
      <c r="J826" s="3"/>
    </row>
    <row r="827" spans="8:10" ht="15.75" customHeight="1">
      <c r="H827" s="3"/>
      <c r="I827" s="3"/>
      <c r="J827" s="3"/>
    </row>
    <row r="828" spans="8:10" ht="15.75" customHeight="1">
      <c r="H828" s="3"/>
      <c r="I828" s="3"/>
      <c r="J828" s="3"/>
    </row>
    <row r="829" spans="8:10" ht="15.75" customHeight="1">
      <c r="H829" s="3"/>
      <c r="I829" s="3"/>
      <c r="J829" s="3"/>
    </row>
    <row r="830" spans="8:10" ht="15.75" customHeight="1">
      <c r="H830" s="3"/>
      <c r="I830" s="3"/>
      <c r="J830" s="3"/>
    </row>
    <row r="831" spans="8:10" ht="15.75" customHeight="1">
      <c r="H831" s="3"/>
      <c r="I831" s="3"/>
      <c r="J831" s="3"/>
    </row>
    <row r="832" spans="8:10" ht="15.75" customHeight="1">
      <c r="H832" s="3"/>
      <c r="I832" s="3"/>
      <c r="J832" s="3"/>
    </row>
    <row r="833" spans="8:10" ht="15.75" customHeight="1">
      <c r="H833" s="3"/>
      <c r="I833" s="3"/>
      <c r="J833" s="3"/>
    </row>
    <row r="834" spans="8:10" ht="15.75" customHeight="1">
      <c r="H834" s="3"/>
      <c r="I834" s="3"/>
      <c r="J834" s="3"/>
    </row>
    <row r="835" spans="8:10" ht="15.75" customHeight="1">
      <c r="H835" s="3"/>
      <c r="I835" s="3"/>
      <c r="J835" s="3"/>
    </row>
    <row r="836" spans="8:10" ht="15.75" customHeight="1">
      <c r="H836" s="3"/>
      <c r="I836" s="3"/>
      <c r="J836" s="3"/>
    </row>
    <row r="837" spans="8:10" ht="15.75" customHeight="1">
      <c r="H837" s="3"/>
      <c r="I837" s="3"/>
      <c r="J837" s="3"/>
    </row>
    <row r="838" spans="8:10" ht="15.75" customHeight="1">
      <c r="H838" s="3"/>
      <c r="I838" s="3"/>
      <c r="J838" s="3"/>
    </row>
    <row r="839" spans="8:10" ht="15.75" customHeight="1">
      <c r="H839" s="3"/>
      <c r="I839" s="3"/>
      <c r="J839" s="3"/>
    </row>
    <row r="840" spans="8:10" ht="15.75" customHeight="1">
      <c r="H840" s="3"/>
      <c r="I840" s="3"/>
      <c r="J840" s="3"/>
    </row>
    <row r="841" spans="8:10" ht="15.75" customHeight="1">
      <c r="H841" s="3"/>
      <c r="I841" s="3"/>
      <c r="J841" s="3"/>
    </row>
    <row r="842" spans="8:10" ht="15.75" customHeight="1">
      <c r="H842" s="3"/>
      <c r="I842" s="3"/>
      <c r="J842" s="3"/>
    </row>
    <row r="843" spans="8:10" ht="15.75" customHeight="1">
      <c r="H843" s="3"/>
      <c r="I843" s="3"/>
      <c r="J843" s="3"/>
    </row>
    <row r="844" spans="8:10" ht="15.75" customHeight="1">
      <c r="H844" s="3"/>
      <c r="I844" s="3"/>
      <c r="J844" s="3"/>
    </row>
    <row r="845" spans="8:10" ht="15.75" customHeight="1">
      <c r="H845" s="3"/>
      <c r="I845" s="3"/>
      <c r="J845" s="3"/>
    </row>
    <row r="846" spans="8:10" ht="15.75" customHeight="1">
      <c r="H846" s="3"/>
      <c r="I846" s="3"/>
      <c r="J846" s="3"/>
    </row>
    <row r="847" spans="8:10" ht="15.75" customHeight="1">
      <c r="H847" s="3"/>
      <c r="I847" s="3"/>
      <c r="J847" s="3"/>
    </row>
    <row r="848" spans="8:10" ht="15.75" customHeight="1">
      <c r="H848" s="3"/>
      <c r="I848" s="3"/>
      <c r="J848" s="3"/>
    </row>
    <row r="849" spans="8:10" ht="15.75" customHeight="1">
      <c r="H849" s="3"/>
      <c r="I849" s="3"/>
      <c r="J849" s="3"/>
    </row>
    <row r="850" spans="8:10" ht="15.75" customHeight="1">
      <c r="H850" s="3"/>
      <c r="I850" s="3"/>
      <c r="J850" s="3"/>
    </row>
    <row r="851" spans="8:10" ht="15.75" customHeight="1">
      <c r="H851" s="3"/>
      <c r="I851" s="3"/>
      <c r="J851" s="3"/>
    </row>
    <row r="852" spans="8:10" ht="15.75" customHeight="1">
      <c r="H852" s="3"/>
      <c r="I852" s="3"/>
      <c r="J852" s="3"/>
    </row>
    <row r="853" spans="8:10" ht="15.75" customHeight="1">
      <c r="H853" s="3"/>
      <c r="I853" s="3"/>
      <c r="J853" s="3"/>
    </row>
    <row r="854" spans="8:10" ht="15.75" customHeight="1">
      <c r="H854" s="3"/>
      <c r="I854" s="3"/>
      <c r="J854" s="3"/>
    </row>
    <row r="855" spans="8:10" ht="15.75" customHeight="1">
      <c r="H855" s="3"/>
      <c r="I855" s="3"/>
      <c r="J855" s="3"/>
    </row>
    <row r="856" spans="8:10" ht="15.75" customHeight="1">
      <c r="H856" s="3"/>
      <c r="I856" s="3"/>
      <c r="J856" s="3"/>
    </row>
    <row r="857" spans="8:10" ht="15.75" customHeight="1">
      <c r="H857" s="3"/>
      <c r="I857" s="3"/>
      <c r="J857" s="3"/>
    </row>
    <row r="858" spans="8:10" ht="15.75" customHeight="1">
      <c r="H858" s="3"/>
      <c r="I858" s="3"/>
      <c r="J858" s="3"/>
    </row>
    <row r="859" spans="8:10" ht="15.75" customHeight="1">
      <c r="H859" s="3"/>
      <c r="I859" s="3"/>
      <c r="J859" s="3"/>
    </row>
    <row r="860" spans="8:10" ht="15.75" customHeight="1">
      <c r="H860" s="3"/>
      <c r="I860" s="3"/>
      <c r="J860" s="3"/>
    </row>
    <row r="861" spans="8:10" ht="15.75" customHeight="1">
      <c r="H861" s="3"/>
      <c r="I861" s="3"/>
      <c r="J861" s="3"/>
    </row>
    <row r="862" spans="8:10" ht="15.75" customHeight="1">
      <c r="H862" s="3"/>
      <c r="I862" s="3"/>
      <c r="J862" s="3"/>
    </row>
    <row r="863" spans="8:10" ht="15.75" customHeight="1">
      <c r="H863" s="3"/>
      <c r="I863" s="3"/>
      <c r="J863" s="3"/>
    </row>
    <row r="864" spans="8:10" ht="15.75" customHeight="1">
      <c r="H864" s="3"/>
      <c r="I864" s="3"/>
      <c r="J864" s="3"/>
    </row>
    <row r="865" spans="8:10" ht="15.75" customHeight="1">
      <c r="H865" s="3"/>
      <c r="I865" s="3"/>
      <c r="J865" s="3"/>
    </row>
    <row r="866" spans="8:10" ht="15.75" customHeight="1">
      <c r="H866" s="3"/>
      <c r="I866" s="3"/>
      <c r="J866" s="3"/>
    </row>
    <row r="867" spans="8:10" ht="15.75" customHeight="1">
      <c r="H867" s="3"/>
      <c r="I867" s="3"/>
      <c r="J867" s="3"/>
    </row>
    <row r="868" spans="8:10" ht="15.75" customHeight="1">
      <c r="H868" s="3"/>
      <c r="I868" s="3"/>
      <c r="J868" s="3"/>
    </row>
    <row r="869" spans="8:10" ht="15.75" customHeight="1">
      <c r="H869" s="3"/>
      <c r="I869" s="3"/>
      <c r="J869" s="3"/>
    </row>
    <row r="870" spans="8:10" ht="15.75" customHeight="1">
      <c r="H870" s="3"/>
      <c r="I870" s="3"/>
      <c r="J870" s="3"/>
    </row>
    <row r="871" spans="8:10" ht="15.75" customHeight="1">
      <c r="H871" s="3"/>
      <c r="I871" s="3"/>
      <c r="J871" s="3"/>
    </row>
    <row r="872" spans="8:10" ht="15.75" customHeight="1">
      <c r="H872" s="3"/>
      <c r="I872" s="3"/>
      <c r="J872" s="3"/>
    </row>
    <row r="873" spans="8:10" ht="15.75" customHeight="1">
      <c r="H873" s="3"/>
      <c r="I873" s="3"/>
      <c r="J873" s="3"/>
    </row>
    <row r="874" spans="8:10" ht="15.75" customHeight="1">
      <c r="H874" s="3"/>
      <c r="I874" s="3"/>
      <c r="J874" s="3"/>
    </row>
    <row r="875" spans="8:10" ht="15.75" customHeight="1">
      <c r="H875" s="3"/>
      <c r="I875" s="3"/>
      <c r="J875" s="3"/>
    </row>
    <row r="876" spans="8:10" ht="15.75" customHeight="1">
      <c r="H876" s="3"/>
      <c r="I876" s="3"/>
      <c r="J876" s="3"/>
    </row>
    <row r="877" spans="8:10" ht="15.75" customHeight="1">
      <c r="H877" s="3"/>
      <c r="I877" s="3"/>
      <c r="J877" s="3"/>
    </row>
    <row r="878" spans="8:10" ht="15.75" customHeight="1">
      <c r="H878" s="3"/>
      <c r="I878" s="3"/>
      <c r="J878" s="3"/>
    </row>
    <row r="879" spans="8:10" ht="15.75" customHeight="1">
      <c r="H879" s="3"/>
      <c r="I879" s="3"/>
      <c r="J879" s="3"/>
    </row>
    <row r="880" spans="8:10" ht="15.75" customHeight="1">
      <c r="H880" s="3"/>
      <c r="I880" s="3"/>
      <c r="J880" s="3"/>
    </row>
    <row r="881" spans="8:10" ht="15.75" customHeight="1">
      <c r="H881" s="3"/>
      <c r="I881" s="3"/>
      <c r="J881" s="3"/>
    </row>
    <row r="882" spans="8:10" ht="15.75" customHeight="1">
      <c r="H882" s="3"/>
      <c r="I882" s="3"/>
      <c r="J882" s="3"/>
    </row>
    <row r="883" spans="8:10" ht="15.75" customHeight="1">
      <c r="H883" s="3"/>
      <c r="I883" s="3"/>
      <c r="J883" s="3"/>
    </row>
    <row r="884" spans="8:10" ht="15.75" customHeight="1">
      <c r="H884" s="3"/>
      <c r="I884" s="3"/>
      <c r="J884" s="3"/>
    </row>
    <row r="885" spans="8:10" ht="15.75" customHeight="1">
      <c r="H885" s="3"/>
      <c r="I885" s="3"/>
      <c r="J885" s="3"/>
    </row>
    <row r="886" spans="8:10" ht="15.75" customHeight="1">
      <c r="H886" s="3"/>
      <c r="I886" s="3"/>
      <c r="J886" s="3"/>
    </row>
    <row r="887" spans="8:10" ht="15.75" customHeight="1">
      <c r="H887" s="3"/>
      <c r="I887" s="3"/>
      <c r="J887" s="3"/>
    </row>
    <row r="888" spans="8:10" ht="15.75" customHeight="1">
      <c r="H888" s="3"/>
      <c r="I888" s="3"/>
      <c r="J888" s="3"/>
    </row>
    <row r="889" spans="8:10" ht="15.75" customHeight="1">
      <c r="H889" s="3"/>
      <c r="I889" s="3"/>
      <c r="J889" s="3"/>
    </row>
    <row r="890" spans="8:10" ht="15.75" customHeight="1">
      <c r="H890" s="3"/>
      <c r="I890" s="3"/>
      <c r="J890" s="3"/>
    </row>
    <row r="891" spans="8:10" ht="15.75" customHeight="1">
      <c r="H891" s="3"/>
      <c r="I891" s="3"/>
      <c r="J891" s="3"/>
    </row>
    <row r="892" spans="8:10" ht="15.75" customHeight="1">
      <c r="H892" s="3"/>
      <c r="I892" s="3"/>
      <c r="J892" s="3"/>
    </row>
    <row r="893" spans="8:10" ht="15.75" customHeight="1">
      <c r="H893" s="3"/>
      <c r="I893" s="3"/>
      <c r="J893" s="3"/>
    </row>
    <row r="894" spans="8:10" ht="15.75" customHeight="1">
      <c r="H894" s="3"/>
      <c r="I894" s="3"/>
      <c r="J894" s="3"/>
    </row>
    <row r="895" spans="8:10" ht="15.75" customHeight="1">
      <c r="H895" s="3"/>
      <c r="I895" s="3"/>
      <c r="J895" s="3"/>
    </row>
    <row r="896" spans="8:10" ht="15.75" customHeight="1">
      <c r="H896" s="3"/>
      <c r="I896" s="3"/>
      <c r="J896" s="3"/>
    </row>
    <row r="897" spans="8:10" ht="15.75" customHeight="1">
      <c r="H897" s="3"/>
      <c r="I897" s="3"/>
      <c r="J897" s="3"/>
    </row>
    <row r="898" spans="8:10" ht="15.75" customHeight="1">
      <c r="H898" s="3"/>
      <c r="I898" s="3"/>
      <c r="J898" s="3"/>
    </row>
    <row r="899" spans="8:10" ht="15.75" customHeight="1">
      <c r="H899" s="3"/>
      <c r="I899" s="3"/>
      <c r="J899" s="3"/>
    </row>
    <row r="900" spans="8:10" ht="15.75" customHeight="1">
      <c r="H900" s="3"/>
      <c r="I900" s="3"/>
      <c r="J900" s="3"/>
    </row>
    <row r="901" spans="8:10" ht="15.75" customHeight="1">
      <c r="H901" s="3"/>
      <c r="I901" s="3"/>
      <c r="J901" s="3"/>
    </row>
    <row r="902" spans="8:10" ht="15.75" customHeight="1">
      <c r="H902" s="3"/>
      <c r="I902" s="3"/>
      <c r="J902" s="3"/>
    </row>
    <row r="903" spans="8:10" ht="15.75" customHeight="1">
      <c r="H903" s="3"/>
      <c r="I903" s="3"/>
      <c r="J903" s="3"/>
    </row>
    <row r="904" spans="8:10" ht="15.75" customHeight="1">
      <c r="H904" s="3"/>
      <c r="I904" s="3"/>
      <c r="J904" s="3"/>
    </row>
    <row r="905" spans="8:10" ht="15.75" customHeight="1">
      <c r="H905" s="3"/>
      <c r="I905" s="3"/>
      <c r="J905" s="3"/>
    </row>
    <row r="906" spans="8:10" ht="15.75" customHeight="1">
      <c r="H906" s="3"/>
      <c r="I906" s="3"/>
      <c r="J906" s="3"/>
    </row>
    <row r="907" spans="8:10" ht="15.75" customHeight="1">
      <c r="H907" s="3"/>
      <c r="I907" s="3"/>
      <c r="J907" s="3"/>
    </row>
    <row r="908" spans="8:10" ht="15.75" customHeight="1">
      <c r="H908" s="3"/>
      <c r="I908" s="3"/>
      <c r="J908" s="3"/>
    </row>
    <row r="909" spans="8:10" ht="15.75" customHeight="1">
      <c r="H909" s="3"/>
      <c r="I909" s="3"/>
      <c r="J909" s="3"/>
    </row>
    <row r="910" spans="8:10" ht="15.75" customHeight="1">
      <c r="H910" s="3"/>
      <c r="I910" s="3"/>
      <c r="J910" s="3"/>
    </row>
    <row r="911" spans="8:10" ht="15.75" customHeight="1">
      <c r="H911" s="3"/>
      <c r="I911" s="3"/>
      <c r="J911" s="3"/>
    </row>
    <row r="912" spans="8:10" ht="15.75" customHeight="1">
      <c r="H912" s="3"/>
      <c r="I912" s="3"/>
      <c r="J912" s="3"/>
    </row>
    <row r="913" spans="8:10" ht="15.75" customHeight="1">
      <c r="H913" s="3"/>
      <c r="I913" s="3"/>
      <c r="J913" s="3"/>
    </row>
    <row r="914" spans="8:10" ht="15.75" customHeight="1">
      <c r="H914" s="3"/>
      <c r="I914" s="3"/>
      <c r="J914" s="3"/>
    </row>
    <row r="915" spans="8:10" ht="15.75" customHeight="1">
      <c r="H915" s="3"/>
      <c r="I915" s="3"/>
      <c r="J915" s="3"/>
    </row>
    <row r="916" spans="8:10" ht="15.75" customHeight="1">
      <c r="H916" s="3"/>
      <c r="I916" s="3"/>
      <c r="J916" s="3"/>
    </row>
    <row r="917" spans="8:10" ht="15.75" customHeight="1">
      <c r="H917" s="3"/>
      <c r="I917" s="3"/>
      <c r="J917" s="3"/>
    </row>
    <row r="918" spans="8:10" ht="15.75" customHeight="1">
      <c r="H918" s="3"/>
      <c r="I918" s="3"/>
      <c r="J918" s="3"/>
    </row>
    <row r="919" spans="8:10" ht="15.75" customHeight="1">
      <c r="H919" s="3"/>
      <c r="I919" s="3"/>
      <c r="J919" s="3"/>
    </row>
    <row r="920" spans="8:10" ht="15.75" customHeight="1">
      <c r="H920" s="3"/>
      <c r="I920" s="3"/>
      <c r="J920" s="3"/>
    </row>
    <row r="921" spans="8:10" ht="15.75" customHeight="1">
      <c r="H921" s="3"/>
      <c r="I921" s="3"/>
      <c r="J921" s="3"/>
    </row>
    <row r="922" spans="8:10" ht="15.75" customHeight="1">
      <c r="H922" s="3"/>
      <c r="I922" s="3"/>
      <c r="J922" s="3"/>
    </row>
    <row r="923" spans="8:10" ht="15.75" customHeight="1">
      <c r="H923" s="3"/>
      <c r="I923" s="3"/>
      <c r="J923" s="3"/>
    </row>
    <row r="924" spans="8:10" ht="15.75" customHeight="1">
      <c r="H924" s="3"/>
      <c r="I924" s="3"/>
      <c r="J924" s="3"/>
    </row>
    <row r="925" spans="8:10" ht="15.75" customHeight="1">
      <c r="H925" s="3"/>
      <c r="I925" s="3"/>
      <c r="J925" s="3"/>
    </row>
    <row r="926" spans="8:10" ht="15.75" customHeight="1">
      <c r="H926" s="3"/>
      <c r="I926" s="3"/>
      <c r="J926" s="3"/>
    </row>
    <row r="927" spans="8:10" ht="15.75" customHeight="1">
      <c r="H927" s="3"/>
      <c r="I927" s="3"/>
      <c r="J927" s="3"/>
    </row>
    <row r="928" spans="8:10" ht="15.75" customHeight="1">
      <c r="H928" s="3"/>
      <c r="I928" s="3"/>
      <c r="J928" s="3"/>
    </row>
    <row r="929" spans="8:10" ht="15.75" customHeight="1">
      <c r="H929" s="3"/>
      <c r="I929" s="3"/>
      <c r="J929" s="3"/>
    </row>
    <row r="930" spans="8:10" ht="15.75" customHeight="1">
      <c r="H930" s="3"/>
      <c r="I930" s="3"/>
      <c r="J930" s="3"/>
    </row>
    <row r="931" spans="8:10" ht="15.75" customHeight="1">
      <c r="H931" s="3"/>
      <c r="I931" s="3"/>
      <c r="J931" s="3"/>
    </row>
    <row r="932" spans="8:10" ht="15.75" customHeight="1">
      <c r="H932" s="3"/>
      <c r="I932" s="3"/>
      <c r="J932" s="3"/>
    </row>
    <row r="933" spans="8:10" ht="15.75" customHeight="1">
      <c r="H933" s="3"/>
      <c r="I933" s="3"/>
      <c r="J933" s="3"/>
    </row>
    <row r="934" spans="8:10" ht="15.75" customHeight="1">
      <c r="H934" s="3"/>
      <c r="I934" s="3"/>
      <c r="J934" s="3"/>
    </row>
    <row r="935" spans="8:10" ht="15.75" customHeight="1">
      <c r="H935" s="3"/>
      <c r="I935" s="3"/>
      <c r="J935" s="3"/>
    </row>
    <row r="936" spans="8:10" ht="15.75" customHeight="1">
      <c r="H936" s="3"/>
      <c r="I936" s="3"/>
      <c r="J936" s="3"/>
    </row>
    <row r="937" spans="8:10" ht="15.75" customHeight="1">
      <c r="H937" s="3"/>
      <c r="I937" s="3"/>
      <c r="J937" s="3"/>
    </row>
    <row r="938" spans="8:10" ht="15.75" customHeight="1">
      <c r="H938" s="3"/>
      <c r="I938" s="3"/>
      <c r="J938" s="3"/>
    </row>
    <row r="939" spans="8:10" ht="15.75" customHeight="1">
      <c r="H939" s="3"/>
      <c r="I939" s="3"/>
      <c r="J939" s="3"/>
    </row>
    <row r="940" spans="8:10" ht="15.75" customHeight="1">
      <c r="H940" s="3"/>
      <c r="I940" s="3"/>
      <c r="J940" s="3"/>
    </row>
    <row r="941" spans="8:10" ht="15.75" customHeight="1">
      <c r="H941" s="3"/>
      <c r="I941" s="3"/>
      <c r="J941" s="3"/>
    </row>
    <row r="942" spans="8:10" ht="15.75" customHeight="1">
      <c r="H942" s="3"/>
      <c r="I942" s="3"/>
      <c r="J942" s="3"/>
    </row>
    <row r="943" spans="8:10" ht="15.75" customHeight="1">
      <c r="H943" s="3"/>
      <c r="I943" s="3"/>
      <c r="J943" s="3"/>
    </row>
    <row r="944" spans="8:10" ht="15.75" customHeight="1">
      <c r="H944" s="3"/>
      <c r="I944" s="3"/>
      <c r="J944" s="3"/>
    </row>
    <row r="945" spans="8:10" ht="15.75" customHeight="1">
      <c r="H945" s="3"/>
      <c r="I945" s="3"/>
      <c r="J945" s="3"/>
    </row>
    <row r="946" spans="8:10" ht="15.75" customHeight="1">
      <c r="H946" s="3"/>
      <c r="I946" s="3"/>
      <c r="J946" s="3"/>
    </row>
    <row r="947" spans="8:10" ht="15.75" customHeight="1">
      <c r="H947" s="3"/>
      <c r="I947" s="3"/>
      <c r="J947" s="3"/>
    </row>
    <row r="948" spans="8:10" ht="15.75" customHeight="1">
      <c r="H948" s="3"/>
      <c r="I948" s="3"/>
      <c r="J948" s="3"/>
    </row>
    <row r="949" spans="8:10" ht="15.75" customHeight="1">
      <c r="H949" s="3"/>
      <c r="I949" s="3"/>
      <c r="J949" s="3"/>
    </row>
    <row r="950" spans="8:10" ht="15.75" customHeight="1">
      <c r="H950" s="3"/>
      <c r="I950" s="3"/>
      <c r="J950" s="3"/>
    </row>
    <row r="951" spans="8:10" ht="15.75" customHeight="1">
      <c r="H951" s="3"/>
      <c r="I951" s="3"/>
      <c r="J951" s="3"/>
    </row>
    <row r="952" spans="8:10" ht="15.75" customHeight="1">
      <c r="H952" s="3"/>
      <c r="I952" s="3"/>
      <c r="J952" s="3"/>
    </row>
    <row r="953" spans="8:10" ht="15.75" customHeight="1">
      <c r="H953" s="3"/>
      <c r="I953" s="3"/>
      <c r="J953" s="3"/>
    </row>
    <row r="954" spans="8:10" ht="15.75" customHeight="1">
      <c r="H954" s="3"/>
      <c r="I954" s="3"/>
      <c r="J954" s="3"/>
    </row>
    <row r="955" spans="8:10" ht="15.75" customHeight="1">
      <c r="H955" s="3"/>
      <c r="I955" s="3"/>
      <c r="J955" s="3"/>
    </row>
    <row r="956" spans="8:10" ht="15.75" customHeight="1">
      <c r="H956" s="3"/>
      <c r="I956" s="3"/>
      <c r="J956" s="3"/>
    </row>
    <row r="957" spans="8:10" ht="15.75" customHeight="1">
      <c r="H957" s="3"/>
      <c r="I957" s="3"/>
      <c r="J957" s="3"/>
    </row>
    <row r="958" spans="8:10" ht="15.75" customHeight="1">
      <c r="H958" s="3"/>
      <c r="I958" s="3"/>
      <c r="J958" s="3"/>
    </row>
    <row r="959" spans="8:10" ht="15.75" customHeight="1">
      <c r="H959" s="3"/>
      <c r="I959" s="3"/>
      <c r="J959" s="3"/>
    </row>
    <row r="960" spans="8:10" ht="15.75" customHeight="1">
      <c r="H960" s="3"/>
      <c r="I960" s="3"/>
      <c r="J960" s="3"/>
    </row>
    <row r="961" spans="8:10" ht="15.75" customHeight="1">
      <c r="H961" s="3"/>
      <c r="I961" s="3"/>
      <c r="J961" s="3"/>
    </row>
    <row r="962" spans="8:10" ht="15.75" customHeight="1">
      <c r="H962" s="3"/>
      <c r="I962" s="3"/>
      <c r="J962" s="3"/>
    </row>
    <row r="963" spans="8:10" ht="15.75" customHeight="1">
      <c r="H963" s="3"/>
      <c r="I963" s="3"/>
      <c r="J963" s="3"/>
    </row>
    <row r="964" spans="8:10" ht="15.75" customHeight="1">
      <c r="H964" s="3"/>
      <c r="I964" s="3"/>
      <c r="J964" s="3"/>
    </row>
    <row r="965" spans="8:10" ht="15.75" customHeight="1">
      <c r="H965" s="3"/>
      <c r="I965" s="3"/>
      <c r="J965" s="3"/>
    </row>
    <row r="966" spans="8:10" ht="15.75" customHeight="1">
      <c r="H966" s="3"/>
      <c r="I966" s="3"/>
      <c r="J966" s="3"/>
    </row>
    <row r="967" spans="8:10" ht="15.75" customHeight="1">
      <c r="H967" s="3"/>
      <c r="I967" s="3"/>
      <c r="J967" s="3"/>
    </row>
    <row r="968" spans="8:10" ht="15.75" customHeight="1">
      <c r="H968" s="3"/>
      <c r="I968" s="3"/>
      <c r="J968" s="3"/>
    </row>
    <row r="969" spans="8:10" ht="15.75" customHeight="1">
      <c r="H969" s="3"/>
      <c r="I969" s="3"/>
      <c r="J969" s="3"/>
    </row>
    <row r="970" spans="8:10" ht="15.75" customHeight="1">
      <c r="H970" s="3"/>
      <c r="I970" s="3"/>
      <c r="J970" s="3"/>
    </row>
    <row r="971" spans="8:10" ht="15.75" customHeight="1">
      <c r="H971" s="3"/>
      <c r="I971" s="3"/>
      <c r="J971" s="3"/>
    </row>
    <row r="972" spans="8:10" ht="15.75" customHeight="1">
      <c r="H972" s="3"/>
      <c r="I972" s="3"/>
      <c r="J972" s="3"/>
    </row>
    <row r="973" spans="8:10" ht="15.75" customHeight="1">
      <c r="H973" s="3"/>
      <c r="I973" s="3"/>
      <c r="J973" s="3"/>
    </row>
    <row r="974" spans="8:10" ht="15.75" customHeight="1">
      <c r="H974" s="3"/>
      <c r="I974" s="3"/>
      <c r="J974" s="3"/>
    </row>
    <row r="975" spans="8:10" ht="15.75" customHeight="1">
      <c r="H975" s="3"/>
      <c r="I975" s="3"/>
      <c r="J975" s="3"/>
    </row>
    <row r="976" spans="8:10" ht="15.75" customHeight="1">
      <c r="H976" s="3"/>
      <c r="I976" s="3"/>
      <c r="J976" s="3"/>
    </row>
    <row r="977" spans="8:10" ht="15.75" customHeight="1">
      <c r="H977" s="3"/>
      <c r="I977" s="3"/>
      <c r="J977" s="3"/>
    </row>
    <row r="978" spans="8:10" ht="15.75" customHeight="1">
      <c r="H978" s="3"/>
      <c r="I978" s="3"/>
      <c r="J978" s="3"/>
    </row>
    <row r="979" spans="8:10" ht="15.75" customHeight="1">
      <c r="H979" s="3"/>
      <c r="I979" s="3"/>
      <c r="J979" s="3"/>
    </row>
    <row r="980" spans="8:10" ht="15.75" customHeight="1">
      <c r="H980" s="3"/>
      <c r="I980" s="3"/>
      <c r="J980" s="3"/>
    </row>
    <row r="981" spans="8:10" ht="15.75" customHeight="1">
      <c r="H981" s="3"/>
      <c r="I981" s="3"/>
      <c r="J981" s="3"/>
    </row>
    <row r="982" spans="8:10" ht="15.75" customHeight="1">
      <c r="H982" s="3"/>
      <c r="I982" s="3"/>
      <c r="J982" s="3"/>
    </row>
    <row r="983" spans="8:10" ht="15.75" customHeight="1">
      <c r="H983" s="3"/>
      <c r="I983" s="3"/>
      <c r="J983" s="3"/>
    </row>
    <row r="984" spans="8:10" ht="15.75" customHeight="1">
      <c r="H984" s="3"/>
      <c r="I984" s="3"/>
      <c r="J984" s="3"/>
    </row>
    <row r="985" spans="8:10" ht="15.75" customHeight="1">
      <c r="H985" s="3"/>
      <c r="I985" s="3"/>
      <c r="J985" s="3"/>
    </row>
    <row r="986" spans="8:10" ht="15.75" customHeight="1">
      <c r="H986" s="3"/>
      <c r="I986" s="3"/>
      <c r="J986" s="3"/>
    </row>
    <row r="987" spans="8:10" ht="15.75" customHeight="1">
      <c r="H987" s="3"/>
      <c r="I987" s="3"/>
      <c r="J987" s="3"/>
    </row>
    <row r="988" spans="8:10" ht="15.75" customHeight="1">
      <c r="H988" s="3"/>
      <c r="I988" s="3"/>
      <c r="J988" s="3"/>
    </row>
    <row r="989" spans="8:10" ht="15.75" customHeight="1">
      <c r="H989" s="3"/>
      <c r="I989" s="3"/>
      <c r="J989" s="3"/>
    </row>
    <row r="990" spans="8:10" ht="15.75" customHeight="1">
      <c r="H990" s="3"/>
      <c r="I990" s="3"/>
      <c r="J990" s="3"/>
    </row>
    <row r="991" spans="8:10" ht="15.75" customHeight="1">
      <c r="H991" s="3"/>
      <c r="I991" s="3"/>
      <c r="J991" s="3"/>
    </row>
    <row r="992" spans="8:10" ht="15.75" customHeight="1">
      <c r="H992" s="3"/>
      <c r="I992" s="3"/>
      <c r="J992" s="3"/>
    </row>
    <row r="993" spans="8:10" ht="15.75" customHeight="1">
      <c r="H993" s="3"/>
      <c r="I993" s="3"/>
      <c r="J993" s="3"/>
    </row>
    <row r="994" spans="8:10" ht="15.75" customHeight="1">
      <c r="H994" s="3"/>
      <c r="I994" s="3"/>
      <c r="J994" s="3"/>
    </row>
    <row r="995" spans="8:10" ht="15.75" customHeight="1">
      <c r="H995" s="3"/>
      <c r="I995" s="3"/>
      <c r="J995" s="3"/>
    </row>
    <row r="996" spans="8:10" ht="15.75" customHeight="1">
      <c r="H996" s="3"/>
      <c r="I996" s="3"/>
      <c r="J996" s="3"/>
    </row>
    <row r="997" spans="8:10" ht="15.75" customHeight="1">
      <c r="H997" s="3"/>
      <c r="I997" s="3"/>
      <c r="J997" s="3"/>
    </row>
    <row r="998" spans="8:10" ht="15.75" customHeight="1">
      <c r="H998" s="3"/>
      <c r="I998" s="3"/>
      <c r="J998" s="3"/>
    </row>
    <row r="999" spans="8:10" ht="15.75" customHeight="1">
      <c r="H999" s="3"/>
      <c r="I999" s="3"/>
      <c r="J999" s="3"/>
    </row>
  </sheetData>
  <hyperlinks>
    <hyperlink ref="H8" r:id="rId1" xr:uid="{00000000-0004-0000-0100-000000000000}"/>
    <hyperlink ref="H13" r:id="rId2" xr:uid="{00000000-0004-0000-0100-000001000000}"/>
    <hyperlink ref="H22"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000"/>
  <sheetViews>
    <sheetView workbookViewId="0">
      <selection activeCell="H14" sqref="H14"/>
    </sheetView>
  </sheetViews>
  <sheetFormatPr defaultColWidth="14.42578125" defaultRowHeight="15"/>
  <cols>
    <col min="1" max="1" width="18.85546875" customWidth="1"/>
    <col min="2" max="26" width="8.7109375" customWidth="1"/>
  </cols>
  <sheetData>
    <row r="2" spans="1:7">
      <c r="A2" s="1" t="s">
        <v>167</v>
      </c>
      <c r="C2" s="1" t="s">
        <v>31</v>
      </c>
      <c r="D2" s="1" t="s">
        <v>32</v>
      </c>
      <c r="F2" s="3"/>
    </row>
    <row r="3" spans="1:7">
      <c r="A3" s="5" t="s">
        <v>168</v>
      </c>
      <c r="B3" s="7">
        <v>1</v>
      </c>
      <c r="C3" s="7">
        <v>1</v>
      </c>
      <c r="D3" s="7">
        <v>1</v>
      </c>
      <c r="E3" s="7"/>
      <c r="F3" s="8"/>
      <c r="G3" s="1" t="s">
        <v>169</v>
      </c>
    </row>
    <row r="4" spans="1:7">
      <c r="A4" s="5" t="s">
        <v>170</v>
      </c>
      <c r="B4" s="1">
        <v>1</v>
      </c>
      <c r="C4" s="1">
        <v>1</v>
      </c>
      <c r="F4" s="3"/>
      <c r="G4" s="1" t="s">
        <v>171</v>
      </c>
    </row>
    <row r="5" spans="1:7">
      <c r="A5" s="5" t="s">
        <v>172</v>
      </c>
      <c r="B5" s="1">
        <v>1</v>
      </c>
      <c r="C5" s="1">
        <v>0</v>
      </c>
      <c r="F5" s="3"/>
    </row>
    <row r="6" spans="1:7">
      <c r="A6" s="5" t="s">
        <v>173</v>
      </c>
      <c r="B6" s="1">
        <v>1</v>
      </c>
      <c r="C6" s="1">
        <v>1</v>
      </c>
      <c r="D6" s="1">
        <v>0</v>
      </c>
      <c r="F6" s="3"/>
    </row>
    <row r="7" spans="1:7">
      <c r="A7" s="5" t="s">
        <v>174</v>
      </c>
      <c r="B7" s="1">
        <v>1</v>
      </c>
      <c r="C7" s="1">
        <v>1</v>
      </c>
      <c r="D7" s="1">
        <v>0</v>
      </c>
      <c r="F7" s="3"/>
    </row>
    <row r="8" spans="1:7">
      <c r="A8" s="5" t="s">
        <v>175</v>
      </c>
      <c r="B8" s="7">
        <v>1</v>
      </c>
      <c r="C8" s="7">
        <v>1</v>
      </c>
      <c r="D8" s="7">
        <v>1</v>
      </c>
      <c r="E8" s="7"/>
      <c r="F8" s="8"/>
      <c r="G8" s="1" t="s">
        <v>176</v>
      </c>
    </row>
    <row r="9" spans="1:7">
      <c r="A9" s="5" t="s">
        <v>177</v>
      </c>
      <c r="B9" s="1">
        <v>1</v>
      </c>
      <c r="F9" s="3"/>
    </row>
    <row r="10" spans="1:7">
      <c r="A10" s="5" t="s">
        <v>178</v>
      </c>
      <c r="B10" s="1">
        <v>1</v>
      </c>
      <c r="C10" s="1">
        <v>0</v>
      </c>
      <c r="F10" s="3"/>
    </row>
    <row r="11" spans="1:7">
      <c r="A11" s="5" t="s">
        <v>179</v>
      </c>
      <c r="B11" s="1">
        <v>1</v>
      </c>
      <c r="C11" s="1">
        <v>1</v>
      </c>
      <c r="D11" s="1">
        <v>0</v>
      </c>
      <c r="F11" s="3"/>
    </row>
    <row r="12" spans="1:7">
      <c r="A12" s="5" t="s">
        <v>180</v>
      </c>
      <c r="B12" s="7">
        <v>1</v>
      </c>
      <c r="C12" s="7">
        <v>1</v>
      </c>
      <c r="D12" s="7">
        <v>1</v>
      </c>
      <c r="E12" s="7"/>
      <c r="F12" s="8"/>
    </row>
    <row r="13" spans="1:7">
      <c r="A13" s="5" t="s">
        <v>181</v>
      </c>
      <c r="B13" s="1">
        <v>1</v>
      </c>
      <c r="C13" s="1">
        <v>1</v>
      </c>
      <c r="D13" s="1">
        <v>0</v>
      </c>
      <c r="F13" s="3"/>
    </row>
    <row r="14" spans="1:7">
      <c r="A14" s="5" t="s">
        <v>182</v>
      </c>
      <c r="B14" s="1">
        <v>1</v>
      </c>
      <c r="C14" s="1">
        <v>1</v>
      </c>
      <c r="D14" s="1">
        <v>0</v>
      </c>
      <c r="F14" s="3"/>
    </row>
    <row r="15" spans="1:7">
      <c r="F15" s="3"/>
    </row>
    <row r="16" spans="1:7">
      <c r="F16" s="3"/>
    </row>
    <row r="17" spans="1:7">
      <c r="A17" s="16">
        <v>46238</v>
      </c>
      <c r="F17" s="3"/>
    </row>
    <row r="18" spans="1:7">
      <c r="A18" s="5" t="s">
        <v>183</v>
      </c>
      <c r="B18" s="17">
        <v>1</v>
      </c>
      <c r="C18" s="17">
        <v>1</v>
      </c>
      <c r="D18" s="17"/>
      <c r="E18" s="17"/>
      <c r="F18" s="20"/>
      <c r="G18" s="1" t="s">
        <v>184</v>
      </c>
    </row>
    <row r="19" spans="1:7">
      <c r="A19" s="5" t="s">
        <v>185</v>
      </c>
      <c r="B19" s="1">
        <v>1</v>
      </c>
      <c r="C19" s="1">
        <v>0</v>
      </c>
      <c r="F19" s="3"/>
      <c r="G19" s="1" t="s">
        <v>186</v>
      </c>
    </row>
    <row r="20" spans="1:7">
      <c r="A20" s="5" t="s">
        <v>187</v>
      </c>
      <c r="B20" s="17">
        <v>1</v>
      </c>
      <c r="C20" s="17">
        <v>0</v>
      </c>
      <c r="D20" s="17">
        <v>0</v>
      </c>
      <c r="E20" s="17">
        <v>0</v>
      </c>
      <c r="F20" s="20"/>
      <c r="G20" s="1" t="s">
        <v>188</v>
      </c>
    </row>
    <row r="21" spans="1:7" ht="15.75" customHeight="1">
      <c r="F21" s="3"/>
    </row>
    <row r="22" spans="1:7" ht="15.75" customHeight="1">
      <c r="F22" s="3"/>
    </row>
    <row r="23" spans="1:7" ht="15.75" customHeight="1">
      <c r="A23" s="5" t="s">
        <v>164</v>
      </c>
      <c r="B23" s="1">
        <f t="shared" ref="B23:E23" si="0">SUM(B3:B19)</f>
        <v>14</v>
      </c>
      <c r="C23" s="1">
        <f t="shared" si="0"/>
        <v>10</v>
      </c>
      <c r="D23" s="1">
        <f t="shared" si="0"/>
        <v>3</v>
      </c>
      <c r="E23" s="1">
        <f t="shared" si="0"/>
        <v>0</v>
      </c>
      <c r="F23" s="3"/>
    </row>
    <row r="24" spans="1:7" ht="15.75" customHeight="1">
      <c r="A24" s="5" t="s">
        <v>166</v>
      </c>
      <c r="B24" s="26">
        <f>B23/B23</f>
        <v>1</v>
      </c>
      <c r="C24" s="26">
        <f t="shared" ref="C24:D24" si="1">C23/B23</f>
        <v>0.7142857142857143</v>
      </c>
      <c r="D24" s="26">
        <f t="shared" si="1"/>
        <v>0.3</v>
      </c>
      <c r="E24" s="26"/>
      <c r="F24" s="3"/>
    </row>
    <row r="25" spans="1:7" ht="15.75" customHeight="1">
      <c r="F25" s="3"/>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Experiment 1</vt:lpstr>
      <vt:lpstr>WorksRecorded - construction</vt:lpstr>
      <vt:lpstr>WorksRecorded -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Vjaceslavs Gromatovics</cp:lastModifiedBy>
  <dcterms:created xsi:type="dcterms:W3CDTF">2026-08-18T09:45:26Z</dcterms:created>
  <dcterms:modified xsi:type="dcterms:W3CDTF">2026-09-10T09:29:49Z</dcterms:modified>
</cp:coreProperties>
</file>