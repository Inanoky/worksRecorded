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MainProjects\worksRecorded\outputs\estimate-grouping-smerla\"/>
    </mc:Choice>
  </mc:AlternateContent>
  <xr:revisionPtr revIDLastSave="0" documentId="13_ncr:1_{8EE6F636-5A5A-4839-BBCB-5DD9946BBA50}" xr6:coauthVersionLast="47" xr6:coauthVersionMax="47" xr10:uidLastSave="{00000000-0000-0000-0000-000000000000}"/>
  <bookViews>
    <workbookView xWindow="1230" yWindow="3915" windowWidth="21600" windowHeight="11295" xr2:uid="{00000000-000D-0000-FFFF-FFFF00000000}"/>
  </bookViews>
  <sheets>
    <sheet name="Grupēta tāme" sheetId="1" r:id="rId1"/>
    <sheet name="Oriģinālā tāme" sheetId="2" r:id="rId2"/>
  </sheets>
  <calcPr calcId="0" calcMode="manual" calcCompleted="0" calcOnSave="0"/>
</workbook>
</file>

<file path=xl/calcChain.xml><?xml version="1.0" encoding="utf-8"?>
<calcChain xmlns="http://schemas.openxmlformats.org/spreadsheetml/2006/main">
  <c r="M80" i="2" l="1"/>
  <c r="N80" i="2" s="1"/>
  <c r="L80" i="2"/>
  <c r="K80" i="2"/>
  <c r="J80" i="2"/>
  <c r="M79" i="2"/>
  <c r="N79" i="2" s="1"/>
  <c r="I79" i="2"/>
  <c r="J79" i="2" s="1"/>
  <c r="H79" i="2"/>
  <c r="L79" i="2" s="1"/>
  <c r="G79" i="2"/>
  <c r="K79" i="2" s="1"/>
  <c r="F79" i="2"/>
  <c r="A79" i="2"/>
  <c r="I78" i="2"/>
  <c r="M78" i="2" s="1"/>
  <c r="H78" i="2"/>
  <c r="L78" i="2" s="1"/>
  <c r="G78" i="2"/>
  <c r="K78" i="2" s="1"/>
  <c r="F78" i="2"/>
  <c r="J77" i="2"/>
  <c r="F77" i="2"/>
  <c r="L77" i="2" s="1"/>
  <c r="I76" i="2"/>
  <c r="M76" i="2" s="1"/>
  <c r="H76" i="2"/>
  <c r="L76" i="2" s="1"/>
  <c r="G76" i="2"/>
  <c r="K76" i="2" s="1"/>
  <c r="A76" i="2"/>
  <c r="M75" i="2"/>
  <c r="N75" i="2" s="1"/>
  <c r="L75" i="2"/>
  <c r="K75" i="2"/>
  <c r="J75" i="2"/>
  <c r="I74" i="2"/>
  <c r="J74" i="2" s="1"/>
  <c r="H74" i="2"/>
  <c r="G74" i="2"/>
  <c r="A74" i="2"/>
  <c r="I73" i="2"/>
  <c r="M73" i="2" s="1"/>
  <c r="H73" i="2"/>
  <c r="L73" i="2" s="1"/>
  <c r="G73" i="2"/>
  <c r="K73" i="2" s="1"/>
  <c r="F73" i="2"/>
  <c r="F74" i="2" s="1"/>
  <c r="L72" i="2"/>
  <c r="K72" i="2"/>
  <c r="J72" i="2"/>
  <c r="F72" i="2"/>
  <c r="M72" i="2" s="1"/>
  <c r="N72" i="2" s="1"/>
  <c r="M71" i="2"/>
  <c r="M28" i="1" s="1"/>
  <c r="I71" i="2"/>
  <c r="I28" i="1" s="1"/>
  <c r="H71" i="2"/>
  <c r="L71" i="2" s="1"/>
  <c r="L28" i="1" s="1"/>
  <c r="G71" i="2"/>
  <c r="K71" i="2" s="1"/>
  <c r="K28" i="1" s="1"/>
  <c r="A71" i="2"/>
  <c r="N70" i="2"/>
  <c r="M70" i="2"/>
  <c r="L70" i="2"/>
  <c r="K70" i="2"/>
  <c r="J70" i="2"/>
  <c r="I69" i="2"/>
  <c r="J69" i="2" s="1"/>
  <c r="H69" i="2"/>
  <c r="G69" i="2"/>
  <c r="A69" i="2"/>
  <c r="M68" i="2"/>
  <c r="I68" i="2"/>
  <c r="J68" i="2" s="1"/>
  <c r="H68" i="2"/>
  <c r="L68" i="2" s="1"/>
  <c r="G68" i="2"/>
  <c r="K68" i="2" s="1"/>
  <c r="F68" i="2"/>
  <c r="F69" i="2" s="1"/>
  <c r="L67" i="2"/>
  <c r="K67" i="2"/>
  <c r="J67" i="2"/>
  <c r="F67" i="2"/>
  <c r="M67" i="2" s="1"/>
  <c r="N67" i="2" s="1"/>
  <c r="M66" i="2"/>
  <c r="L66" i="2"/>
  <c r="L27" i="1" s="1"/>
  <c r="I66" i="2"/>
  <c r="J66" i="2" s="1"/>
  <c r="H66" i="2"/>
  <c r="H27" i="1" s="1"/>
  <c r="G66" i="2"/>
  <c r="K66" i="2" s="1"/>
  <c r="K27" i="1" s="1"/>
  <c r="A66" i="2"/>
  <c r="M65" i="2"/>
  <c r="N65" i="2" s="1"/>
  <c r="L65" i="2"/>
  <c r="K65" i="2"/>
  <c r="J65" i="2"/>
  <c r="K64" i="2"/>
  <c r="J64" i="2"/>
  <c r="I64" i="2"/>
  <c r="H64" i="2"/>
  <c r="G64" i="2"/>
  <c r="F64" i="2"/>
  <c r="M64" i="2" s="1"/>
  <c r="A64" i="2"/>
  <c r="M63" i="2"/>
  <c r="L63" i="2"/>
  <c r="L13" i="1" s="1"/>
  <c r="I63" i="2"/>
  <c r="J63" i="2" s="1"/>
  <c r="H63" i="2"/>
  <c r="H13" i="1" s="1"/>
  <c r="G63" i="2"/>
  <c r="K63" i="2" s="1"/>
  <c r="K13" i="1" s="1"/>
  <c r="F63" i="2"/>
  <c r="M62" i="2"/>
  <c r="J62" i="2"/>
  <c r="F62" i="2"/>
  <c r="L62" i="2" s="1"/>
  <c r="L8" i="1" s="1"/>
  <c r="L9" i="1" s="1"/>
  <c r="M61" i="2"/>
  <c r="M26" i="1" s="1"/>
  <c r="L61" i="2"/>
  <c r="L26" i="1" s="1"/>
  <c r="K61" i="2"/>
  <c r="K26" i="1" s="1"/>
  <c r="I61" i="2"/>
  <c r="J61" i="2" s="1"/>
  <c r="H61" i="2"/>
  <c r="G61" i="2"/>
  <c r="M60" i="2"/>
  <c r="N60" i="2" s="1"/>
  <c r="L60" i="2"/>
  <c r="K60" i="2"/>
  <c r="J60" i="2"/>
  <c r="L59" i="2"/>
  <c r="K59" i="2"/>
  <c r="I59" i="2"/>
  <c r="M59" i="2" s="1"/>
  <c r="H59" i="2"/>
  <c r="G59" i="2"/>
  <c r="M58" i="2"/>
  <c r="L58" i="2"/>
  <c r="K58" i="2"/>
  <c r="N58" i="2" s="1"/>
  <c r="J58" i="2"/>
  <c r="I57" i="2"/>
  <c r="M57" i="2" s="1"/>
  <c r="H57" i="2"/>
  <c r="L57" i="2" s="1"/>
  <c r="G57" i="2"/>
  <c r="J56" i="2"/>
  <c r="F56" i="2"/>
  <c r="F57" i="2" s="1"/>
  <c r="I55" i="2"/>
  <c r="M55" i="2" s="1"/>
  <c r="H55" i="2"/>
  <c r="L55" i="2" s="1"/>
  <c r="G55" i="2"/>
  <c r="F55" i="2"/>
  <c r="K55" i="2" s="1"/>
  <c r="M54" i="2"/>
  <c r="L54" i="2"/>
  <c r="K54" i="2"/>
  <c r="N54" i="2" s="1"/>
  <c r="J54" i="2"/>
  <c r="I54" i="2"/>
  <c r="H54" i="2"/>
  <c r="G54" i="2"/>
  <c r="M53" i="2"/>
  <c r="N53" i="2" s="1"/>
  <c r="L53" i="2"/>
  <c r="K53" i="2"/>
  <c r="J53" i="2"/>
  <c r="I52" i="2"/>
  <c r="H52" i="2"/>
  <c r="G52" i="2"/>
  <c r="J51" i="2"/>
  <c r="I50" i="2"/>
  <c r="M50" i="2" s="1"/>
  <c r="H50" i="2"/>
  <c r="G50" i="2"/>
  <c r="F50" i="2"/>
  <c r="F51" i="2" s="1"/>
  <c r="M49" i="2"/>
  <c r="N49" i="2" s="1"/>
  <c r="L49" i="2"/>
  <c r="K49" i="2"/>
  <c r="K23" i="1" s="1"/>
  <c r="I49" i="2"/>
  <c r="J49" i="2" s="1"/>
  <c r="H49" i="2"/>
  <c r="G49" i="2"/>
  <c r="M48" i="2"/>
  <c r="N48" i="2" s="1"/>
  <c r="L48" i="2"/>
  <c r="K48" i="2"/>
  <c r="J48" i="2"/>
  <c r="J47" i="2"/>
  <c r="F47" i="2"/>
  <c r="M47" i="2" s="1"/>
  <c r="K46" i="2"/>
  <c r="I46" i="2"/>
  <c r="M46" i="2" s="1"/>
  <c r="H46" i="2"/>
  <c r="L46" i="2" s="1"/>
  <c r="L24" i="1" s="1"/>
  <c r="G46" i="2"/>
  <c r="M45" i="2"/>
  <c r="N45" i="2" s="1"/>
  <c r="L45" i="2"/>
  <c r="K45" i="2"/>
  <c r="J45" i="2"/>
  <c r="I44" i="2"/>
  <c r="M44" i="2" s="1"/>
  <c r="H44" i="2"/>
  <c r="L44" i="2" s="1"/>
  <c r="G44" i="2"/>
  <c r="J44" i="2" s="1"/>
  <c r="F44" i="2"/>
  <c r="J43" i="2"/>
  <c r="F43" i="2"/>
  <c r="M43" i="2" s="1"/>
  <c r="A43" i="2"/>
  <c r="A44" i="2" s="1"/>
  <c r="A46" i="2" s="1"/>
  <c r="I42" i="2"/>
  <c r="M42" i="2" s="1"/>
  <c r="H42" i="2"/>
  <c r="L42" i="2" s="1"/>
  <c r="G42" i="2"/>
  <c r="K42" i="2" s="1"/>
  <c r="F42" i="2"/>
  <c r="A42" i="2"/>
  <c r="L41" i="2"/>
  <c r="K41" i="2"/>
  <c r="I41" i="2"/>
  <c r="M41" i="2" s="1"/>
  <c r="H41" i="2"/>
  <c r="G41" i="2"/>
  <c r="M40" i="2"/>
  <c r="N40" i="2" s="1"/>
  <c r="L40" i="2"/>
  <c r="K40" i="2"/>
  <c r="J40" i="2"/>
  <c r="J39" i="2"/>
  <c r="J38" i="2"/>
  <c r="J37" i="2"/>
  <c r="J36" i="2"/>
  <c r="J35" i="2"/>
  <c r="J34" i="2"/>
  <c r="J33" i="2"/>
  <c r="N32" i="2"/>
  <c r="M32" i="2"/>
  <c r="L32" i="2"/>
  <c r="K32" i="2"/>
  <c r="J32" i="2"/>
  <c r="J31" i="2"/>
  <c r="J30" i="2"/>
  <c r="J29" i="2"/>
  <c r="J28" i="2"/>
  <c r="J27" i="2"/>
  <c r="J26" i="2"/>
  <c r="J25" i="2"/>
  <c r="J24" i="2"/>
  <c r="J23" i="2"/>
  <c r="J22" i="2"/>
  <c r="M21" i="2"/>
  <c r="N21" i="2" s="1"/>
  <c r="L21" i="2"/>
  <c r="K21" i="2"/>
  <c r="J21" i="2"/>
  <c r="J20" i="2"/>
  <c r="J19" i="2"/>
  <c r="J18" i="2"/>
  <c r="J16" i="2"/>
  <c r="F16" i="2"/>
  <c r="J15" i="2"/>
  <c r="J14" i="2"/>
  <c r="J13" i="2"/>
  <c r="J12" i="2"/>
  <c r="N28" i="1"/>
  <c r="H28" i="1"/>
  <c r="F28" i="1"/>
  <c r="N27" i="1"/>
  <c r="M27" i="1"/>
  <c r="I27" i="1"/>
  <c r="G27" i="1"/>
  <c r="J27" i="1" s="1"/>
  <c r="F27" i="1"/>
  <c r="N26" i="1"/>
  <c r="I26" i="1"/>
  <c r="H26" i="1"/>
  <c r="G26" i="1"/>
  <c r="J26" i="1" s="1"/>
  <c r="F26" i="1"/>
  <c r="N25" i="1"/>
  <c r="L25" i="1"/>
  <c r="K25" i="1"/>
  <c r="H25" i="1"/>
  <c r="G25" i="1"/>
  <c r="F25" i="1"/>
  <c r="N24" i="1"/>
  <c r="K24" i="1"/>
  <c r="I24" i="1"/>
  <c r="H24" i="1"/>
  <c r="J24" i="1" s="1"/>
  <c r="G24" i="1"/>
  <c r="F24" i="1"/>
  <c r="N23" i="1"/>
  <c r="N29" i="1" s="1"/>
  <c r="I23" i="1"/>
  <c r="J23" i="1" s="1"/>
  <c r="H23" i="1"/>
  <c r="G23" i="1"/>
  <c r="F23" i="1"/>
  <c r="N19" i="1"/>
  <c r="N20" i="1" s="1"/>
  <c r="I19" i="1"/>
  <c r="H19" i="1"/>
  <c r="G19" i="1"/>
  <c r="J19" i="1" s="1"/>
  <c r="N18" i="1"/>
  <c r="I18" i="1"/>
  <c r="H18" i="1"/>
  <c r="G18" i="1"/>
  <c r="J18" i="1" s="1"/>
  <c r="N17" i="1"/>
  <c r="I17" i="1"/>
  <c r="H17" i="1"/>
  <c r="J17" i="1" s="1"/>
  <c r="G17" i="1"/>
  <c r="N13" i="1"/>
  <c r="I13" i="1"/>
  <c r="G13" i="1"/>
  <c r="J13" i="1" s="1"/>
  <c r="N12" i="1"/>
  <c r="N14" i="1" s="1"/>
  <c r="F12" i="1"/>
  <c r="N9" i="1"/>
  <c r="N8" i="1"/>
  <c r="I8" i="1"/>
  <c r="H8" i="1"/>
  <c r="G8" i="1"/>
  <c r="J8" i="1" s="1"/>
  <c r="J25" i="1" l="1"/>
  <c r="L12" i="1"/>
  <c r="L14" i="1" s="1"/>
  <c r="N76" i="2"/>
  <c r="N31" i="1"/>
  <c r="N42" i="2"/>
  <c r="M12" i="1"/>
  <c r="M14" i="1" s="1"/>
  <c r="N47" i="2"/>
  <c r="M74" i="2"/>
  <c r="L74" i="2"/>
  <c r="N41" i="2"/>
  <c r="M23" i="1"/>
  <c r="A47" i="2"/>
  <c r="A54" i="2" s="1"/>
  <c r="A55" i="2" s="1"/>
  <c r="A56" i="2" s="1"/>
  <c r="A57" i="2" s="1"/>
  <c r="A59" i="2" s="1"/>
  <c r="A61" i="2" s="1"/>
  <c r="A49" i="2"/>
  <c r="A50" i="2" s="1"/>
  <c r="A51" i="2" s="1"/>
  <c r="A52" i="2" s="1"/>
  <c r="K29" i="1"/>
  <c r="F19" i="1"/>
  <c r="K69" i="2"/>
  <c r="K19" i="1" s="1"/>
  <c r="M69" i="2"/>
  <c r="L69" i="2"/>
  <c r="F52" i="2"/>
  <c r="K52" i="2" s="1"/>
  <c r="M51" i="2"/>
  <c r="M17" i="1" s="1"/>
  <c r="L51" i="2"/>
  <c r="K51" i="2"/>
  <c r="N66" i="2"/>
  <c r="M24" i="1"/>
  <c r="N46" i="2"/>
  <c r="M25" i="1"/>
  <c r="N59" i="2"/>
  <c r="N44" i="2"/>
  <c r="L23" i="1"/>
  <c r="L29" i="1" s="1"/>
  <c r="N55" i="2"/>
  <c r="M52" i="2"/>
  <c r="N63" i="2"/>
  <c r="N73" i="2"/>
  <c r="M13" i="1"/>
  <c r="K57" i="2"/>
  <c r="N57" i="2" s="1"/>
  <c r="M8" i="1"/>
  <c r="M9" i="1" s="1"/>
  <c r="N68" i="2"/>
  <c r="K74" i="2"/>
  <c r="N78" i="2"/>
  <c r="F13" i="1"/>
  <c r="J41" i="2"/>
  <c r="J50" i="2"/>
  <c r="J59" i="2"/>
  <c r="N62" i="2"/>
  <c r="N71" i="2"/>
  <c r="H12" i="1"/>
  <c r="I25" i="1"/>
  <c r="J46" i="2"/>
  <c r="K47" i="2"/>
  <c r="K50" i="2"/>
  <c r="K12" i="1" s="1"/>
  <c r="K14" i="1" s="1"/>
  <c r="J52" i="2"/>
  <c r="J55" i="2"/>
  <c r="K56" i="2"/>
  <c r="L64" i="2"/>
  <c r="L19" i="1" s="1"/>
  <c r="F8" i="1"/>
  <c r="I12" i="1"/>
  <c r="G28" i="1"/>
  <c r="J28" i="1" s="1"/>
  <c r="J42" i="2"/>
  <c r="K43" i="2"/>
  <c r="L47" i="2"/>
  <c r="L50" i="2"/>
  <c r="N50" i="2" s="1"/>
  <c r="L56" i="2"/>
  <c r="J57" i="2"/>
  <c r="N61" i="2"/>
  <c r="K77" i="2"/>
  <c r="J78" i="2"/>
  <c r="L43" i="2"/>
  <c r="J76" i="2"/>
  <c r="K44" i="2"/>
  <c r="K18" i="1" s="1"/>
  <c r="J71" i="2"/>
  <c r="M77" i="2"/>
  <c r="F17" i="1"/>
  <c r="K62" i="2"/>
  <c r="K8" i="1" s="1"/>
  <c r="K9" i="1" s="1"/>
  <c r="G12" i="1"/>
  <c r="M56" i="2"/>
  <c r="J73" i="2"/>
  <c r="N56" i="2" l="1"/>
  <c r="F18" i="1"/>
  <c r="N35" i="1"/>
  <c r="N32" i="1"/>
  <c r="N33" i="1" s="1"/>
  <c r="N74" i="2"/>
  <c r="N64" i="2"/>
  <c r="L17" i="1"/>
  <c r="M18" i="1"/>
  <c r="M20" i="1" s="1"/>
  <c r="N51" i="2"/>
  <c r="K17" i="1"/>
  <c r="K20" i="1" s="1"/>
  <c r="M19" i="1"/>
  <c r="J12" i="1"/>
  <c r="L52" i="2"/>
  <c r="L18" i="1" s="1"/>
  <c r="M29" i="1"/>
  <c r="N77" i="2"/>
  <c r="N43" i="2"/>
  <c r="N69" i="2"/>
  <c r="L20" i="1" l="1"/>
  <c r="N52" i="2"/>
  <c r="N82" i="2" s="1"/>
  <c r="N83" i="2" s="1"/>
  <c r="N84" i="2" s="1"/>
  <c r="A11" i="2" l="1"/>
  <c r="A34" i="2"/>
</calcChain>
</file>

<file path=xl/sharedStrings.xml><?xml version="1.0" encoding="utf-8"?>
<sst xmlns="http://schemas.openxmlformats.org/spreadsheetml/2006/main" count="273" uniqueCount="140">
  <si>
    <t>Cenu piedāvājums Nr.G 033 V/26 I — grupēts pēc līdzīgiem darbiem</t>
  </si>
  <si>
    <t>OBJEKTS: Šmerļa ielā 3a, Rīgā.</t>
  </si>
  <si>
    <t>Datums: 16.06.2026</t>
  </si>
  <si>
    <t>Vienā rindā apvienotas tikai salīdzināmas pozīcijas ar vienādu efektīvo biezumu un vienības izmaksām. Kolonnā “Avota pozīcijas” saglabāta saite uz sākotnējās tāmes sadaļām.</t>
  </si>
  <si>
    <t>Npk.</t>
  </si>
  <si>
    <t>Darbu grupa</t>
  </si>
  <si>
    <t>Darbu un izdevumu nosaukums</t>
  </si>
  <si>
    <t>Biezums / mm</t>
  </si>
  <si>
    <t>Mērv.</t>
  </si>
  <si>
    <t>Daudzums</t>
  </si>
  <si>
    <t>Darbs / vien.</t>
  </si>
  <si>
    <t>Materiāli / vien.</t>
  </si>
  <si>
    <t>Mehānismi / vien.</t>
  </si>
  <si>
    <t>Vienības cena</t>
  </si>
  <si>
    <t>Darbs kopā</t>
  </si>
  <si>
    <t>Materiāli kopā</t>
  </si>
  <si>
    <t>Mehānismi kopā</t>
  </si>
  <si>
    <t>Summa EUR</t>
  </si>
  <si>
    <t>Avota pozīcijas</t>
  </si>
  <si>
    <t>1. Sagatavošana un pamatne</t>
  </si>
  <si>
    <t>Sagatavošana un pamatne</t>
  </si>
  <si>
    <t>Smilts līdzināšana (vid. 25 mm)</t>
  </si>
  <si>
    <t>m2</t>
  </si>
  <si>
    <t>PA1.6; PA1.7; PA1.8; PA1.9</t>
  </si>
  <si>
    <t>Grupas starpsumma</t>
  </si>
  <si>
    <t/>
  </si>
  <si>
    <t>2. Siltumizolācija</t>
  </si>
  <si>
    <t>Siltumizolācija</t>
  </si>
  <si>
    <t>ThermoWhite izolācijas slānis (vid. 45 mm)</t>
  </si>
  <si>
    <t>PA1.1; PA1.3; PA1.4</t>
  </si>
  <si>
    <t>XPS putupolistirols 300 kPa (150 mm)</t>
  </si>
  <si>
    <t>3. Plēves un starpslāņi</t>
  </si>
  <si>
    <t>Plēves un starpslāņi</t>
  </si>
  <si>
    <t>PEPI TRAFO 7 mm starpslānis</t>
  </si>
  <si>
    <t>PA1.1; PA1.2; PA1.3; PA1.4</t>
  </si>
  <si>
    <t>Plēve atbilstoši ThermoWhite sistēmai</t>
  </si>
  <si>
    <t>Hidroizolācijas plēve</t>
  </si>
  <si>
    <t>4. Betona un Estrich grīdas</t>
  </si>
  <si>
    <t>Betona un Estrich grīdas</t>
  </si>
  <si>
    <t>Sausā betona grīda (vid. 60 mm)</t>
  </si>
  <si>
    <t>PA1.1; PA1.3; PA1.4; PA1.9</t>
  </si>
  <si>
    <t>Sausā betona grīda (vid. 85 mm)</t>
  </si>
  <si>
    <t>PA1.2</t>
  </si>
  <si>
    <t>Sausā betona grīda (vid. 120 mm)</t>
  </si>
  <si>
    <t>PA1.5</t>
  </si>
  <si>
    <t>Sausā betona grīda (vid. 70 mm)</t>
  </si>
  <si>
    <t>PA1.6</t>
  </si>
  <si>
    <t>Sausā betona grīda (vid. 55 mm)</t>
  </si>
  <si>
    <t>PA1.7</t>
  </si>
  <si>
    <t>Dzelzsbetons C25/30, 75mm, Transportbetons C25/30 ar fibrām 25kg/m3</t>
  </si>
  <si>
    <t>75</t>
  </si>
  <si>
    <t>PA1.8</t>
  </si>
  <si>
    <t>DARBU IZMAKSAS KOPĀ</t>
  </si>
  <si>
    <t>Virsizdevumi</t>
  </si>
  <si>
    <t>PAVISAM KOPĀ</t>
  </si>
  <si>
    <t>Kontrole pret oriģinālās tāmes darbu izmaksām</t>
  </si>
  <si>
    <t>0,00 = sakrīt</t>
  </si>
  <si>
    <t>Sākotnējās tāmes piezīmes un nosacījumi</t>
  </si>
  <si>
    <t>Pasūtītājam jānodrošina tekošs ūdens,   Transporta un virsizdevumi  0.05  7814.49</t>
  </si>
  <si>
    <t>220 V un 380 V elektrības pieslēgums.  Kopā (Bez PVN):  164104.19</t>
  </si>
  <si>
    <t>Piedāvājumā nav iekļautas pozīcijas, kurās nav norādītas izmaksas</t>
  </si>
  <si>
    <t>Telpām jābūt atbrīvotām un pamatnei attīrītai.</t>
  </si>
  <si>
    <t>Telpās jābūt nodrošinātai gaisa temperatūrai vismaz +5 grādi bez caurvēja.</t>
  </si>
  <si>
    <t>Gala norēķins tiek veikts pēc faktiskā apjoma.</t>
  </si>
  <si>
    <t>Piedāvājums spēkā 30 dienas no tā sagatavošanas dienas.</t>
  </si>
  <si>
    <t>Sastādīja: Gundars Starovoitovs</t>
  </si>
  <si>
    <t>Tālr.  +371 29483838</t>
  </si>
  <si>
    <t>info@thermowhite.lv</t>
  </si>
  <si>
    <t>www.thermowhite.lv</t>
  </si>
  <si>
    <t>www.facebook.com/thermowhitebaltics</t>
  </si>
  <si>
    <t>www.limeni.lv</t>
  </si>
  <si>
    <t>www.facebook.com/limeni.lv</t>
  </si>
  <si>
    <t>Cenu piedāvājums Nr.G 033 V/26 I</t>
  </si>
  <si>
    <t>Npk</t>
  </si>
  <si>
    <t>Kods</t>
  </si>
  <si>
    <t>Biezums</t>
  </si>
  <si>
    <t>Daudz.</t>
  </si>
  <si>
    <t>Kopā</t>
  </si>
  <si>
    <t>mm</t>
  </si>
  <si>
    <t xml:space="preserve">Darbs </t>
  </si>
  <si>
    <t xml:space="preserve">Materiāli </t>
  </si>
  <si>
    <t>Mehānismi</t>
  </si>
  <si>
    <t>Darbs</t>
  </si>
  <si>
    <t>Materiāli</t>
  </si>
  <si>
    <t>Transportbetons</t>
  </si>
  <si>
    <t>Betonēšana ar Transportbetonu C30/37</t>
  </si>
  <si>
    <t>Betonēšana ar Transportbetonu C30/37 metāla fibras 25 kg/m3</t>
  </si>
  <si>
    <t>Virsmas apstrāde ar cietinātāju Mapei AR6</t>
  </si>
  <si>
    <t>Armatūras sieta D5x150x150 uzstādīšana vienā kārtā uz distanceriem 30mm</t>
  </si>
  <si>
    <t xml:space="preserve">Šuvju zāģēšana 6x6m un  šuvju aizpildīšana ar poliuritāna hermētiķi Penosil, iekļauta sagatavošana, atdures uzstādīšāna, aizpildīšana) šuves platumam līdz 15mm </t>
  </si>
  <si>
    <t>0.45 no m2</t>
  </si>
  <si>
    <t>m</t>
  </si>
  <si>
    <t>Siltā grīda</t>
  </si>
  <si>
    <t>silto grīdu cauruļu Herz PE-RT 16mm montāža, solis 150mm</t>
  </si>
  <si>
    <t>kolektors Herz, cauruļu pievienošana, spiediena ielaišana sistēmā</t>
  </si>
  <si>
    <t>kpl.</t>
  </si>
  <si>
    <t>Kolektora dekoratīvā skapja uzstādīšana</t>
  </si>
  <si>
    <t>Linolejs</t>
  </si>
  <si>
    <t>tīrīšana,gruntēšana,špaktelēšana(1-2mm),slīpēšana</t>
  </si>
  <si>
    <t>pašizlīdzinošais 10mm</t>
  </si>
  <si>
    <t>Linolejs bez uzlocījuma</t>
  </si>
  <si>
    <t>Linolejs ar uzlocijumu 100mm</t>
  </si>
  <si>
    <t>paklāja ielīmēšana</t>
  </si>
  <si>
    <t>paklājflīzes montāža</t>
  </si>
  <si>
    <t>gumijas ruļļu ielīmēšana</t>
  </si>
  <si>
    <t>Mākslīgās zāles ielīmēšana</t>
  </si>
  <si>
    <t>grīdlīstes montāža</t>
  </si>
  <si>
    <t>vinila dēļu vai flīžu ielīmēšana</t>
  </si>
  <si>
    <t>Krāsojums ar Tonētu epoksīdsveķu krāsu divas reizes</t>
  </si>
  <si>
    <t>Ekstrudētais putupolitirols XPS, vai EPS200-250</t>
  </si>
  <si>
    <t>WD100R m3 cena</t>
  </si>
  <si>
    <t>ja 30-50mm tad cena augstāka</t>
  </si>
  <si>
    <t>WD130R m3 cena</t>
  </si>
  <si>
    <t>Betona klons Estrich ar polipropilēna disperso armējumu 0.9kg/m3</t>
  </si>
  <si>
    <t>PVC Plēve</t>
  </si>
  <si>
    <t>PE5/300</t>
  </si>
  <si>
    <t>Tracker paklājs</t>
  </si>
  <si>
    <t>PA1.1</t>
  </si>
  <si>
    <t>Sausā betona grīda, 65-58mm</t>
  </si>
  <si>
    <t>ThermoWhite, 53-30mm, Thermowhite WD100R</t>
  </si>
  <si>
    <t>PEPI Trafo 7 putu polietilēna plēve, 7mm</t>
  </si>
  <si>
    <t>Plēve, atbilstoši thermowhite system</t>
  </si>
  <si>
    <t>Sausā betona grīda, 113-63mm</t>
  </si>
  <si>
    <t>PA 1.3</t>
  </si>
  <si>
    <t>PA1.4</t>
  </si>
  <si>
    <t>Sausā betona grīda, 52-65mm</t>
  </si>
  <si>
    <t>Sausā betona grīda, 120mm</t>
  </si>
  <si>
    <t>Sausā betona grīda, 70mm</t>
  </si>
  <si>
    <t>Smilts līdzināšana 20-30mm</t>
  </si>
  <si>
    <t>XPS izolacija 300kPa, 150mm</t>
  </si>
  <si>
    <t>Hidroizolācija plēve</t>
  </si>
  <si>
    <t>Sausā betona grīda, 45-65mm</t>
  </si>
  <si>
    <t>PA1.9</t>
  </si>
  <si>
    <t>Sausā betona grīda, 60mm</t>
  </si>
  <si>
    <t xml:space="preserve">Pasūtītājam jānodrošina tekošs ūdens, </t>
  </si>
  <si>
    <t>Transporta un virsizdevumi</t>
  </si>
  <si>
    <t>220 V un 380 V elektrības pieslēgums.</t>
  </si>
  <si>
    <t>Kopā (Bez PVN):</t>
  </si>
  <si>
    <t>Tālr.</t>
  </si>
  <si>
    <t>+371 29483838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</si>
</sst>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;\-"/>
  </numFmts>
  <fonts count="9" x14ac:knownFonts="1"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rgb="FF1F2937"/>
      <name val="Arial"/>
      <family val="2"/>
    </font>
    <font>
      <b/>
      <sz val="9"/>
      <color rgb="FF375623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4F7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4" fontId="0" fillId="0" borderId="0" xfId="0" applyNumberFormat="1"/>
    <xf numFmtId="2" fontId="0" fillId="0" borderId="0" xfId="0" applyNumberFormat="1"/>
    <xf numFmtId="49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2" fontId="5" fillId="7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2" fontId="4" fillId="5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8" fillId="2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7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zoomScale="80" zoomScaleNormal="80" workbookViewId="0">
      <pane ySplit="6" topLeftCell="A7" activePane="bottomLeft" state="frozenSplit"/>
      <selection pane="bottomLeft" sqref="A1:O1"/>
    </sheetView>
  </sheetViews>
  <sheetFormatPr defaultRowHeight="15.75" x14ac:dyDescent="0.25"/>
  <cols>
    <col min="1" max="1" width="7.625" customWidth="1"/>
    <col min="2" max="2" width="22.625" customWidth="1"/>
    <col min="3" max="3" width="45.625" customWidth="1"/>
    <col min="4" max="4" width="12.625" customWidth="1"/>
    <col min="5" max="5" width="9.625" customWidth="1"/>
    <col min="6" max="6" width="12.625" customWidth="1"/>
    <col min="7" max="14" width="13.625" customWidth="1"/>
    <col min="15" max="15" width="27.625" customWidth="1"/>
  </cols>
  <sheetData>
    <row r="1" spans="1:15" ht="27.95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20.100000000000001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 t="s">
        <v>2</v>
      </c>
      <c r="M2" s="33"/>
      <c r="N2" s="33"/>
      <c r="O2" s="33"/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30" customHeight="1" x14ac:dyDescent="0.25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36" customHeight="1" x14ac:dyDescent="0.25">
      <c r="A6" s="14" t="s">
        <v>4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14" t="s">
        <v>13</v>
      </c>
      <c r="K6" s="14" t="s">
        <v>14</v>
      </c>
      <c r="L6" s="14" t="s">
        <v>15</v>
      </c>
      <c r="M6" s="14" t="s">
        <v>16</v>
      </c>
      <c r="N6" s="14" t="s">
        <v>17</v>
      </c>
      <c r="O6" s="14" t="s">
        <v>18</v>
      </c>
    </row>
    <row r="7" spans="1:15" ht="20.100000000000001" customHeight="1" x14ac:dyDescent="0.25">
      <c r="A7" s="35" t="s">
        <v>19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ht="32.1" customHeight="1" x14ac:dyDescent="0.25">
      <c r="A8" s="15">
        <v>1</v>
      </c>
      <c r="B8" s="7" t="s">
        <v>20</v>
      </c>
      <c r="C8" s="7" t="s">
        <v>21</v>
      </c>
      <c r="D8" s="15">
        <v>25</v>
      </c>
      <c r="E8" s="15" t="s">
        <v>22</v>
      </c>
      <c r="F8" s="17">
        <f>SUM('Oriģinālā tāme'!F62,'Oriģinālā tāme'!F67,'Oriģinālā tāme'!F72,'Oriģinālā tāme'!F77)</f>
        <v>1931.01</v>
      </c>
      <c r="G8" s="18">
        <f>'Oriģinālā tāme'!G62</f>
        <v>1.75</v>
      </c>
      <c r="H8" s="18">
        <f>'Oriģinālā tāme'!H62</f>
        <v>1.32</v>
      </c>
      <c r="I8" s="18">
        <f>'Oriģinālā tāme'!I62</f>
        <v>0.35</v>
      </c>
      <c r="J8" s="18">
        <f>SUM(G8:I8)</f>
        <v>3.4200000000000004</v>
      </c>
      <c r="K8" s="18">
        <f>SUM('Oriģinālā tāme'!K62,'Oriģinālā tāme'!K67,'Oriģinālā tāme'!K72,'Oriģinālā tāme'!K77)</f>
        <v>3379.2674999999999</v>
      </c>
      <c r="L8" s="18">
        <f>SUM('Oriģinālā tāme'!L62,'Oriģinālā tāme'!L67,'Oriģinālā tāme'!L72,'Oriģinālā tāme'!L77)</f>
        <v>2548.9331999999999</v>
      </c>
      <c r="M8" s="18">
        <f>SUM('Oriģinālā tāme'!M62,'Oriģinālā tāme'!M67,'Oriģinālā tāme'!M72,'Oriģinālā tāme'!M77)</f>
        <v>675.85349999999994</v>
      </c>
      <c r="N8" s="18">
        <f>SUM(5117.21,1382.23,88.31,16.32)</f>
        <v>6604.0700000000006</v>
      </c>
      <c r="O8" s="15" t="s">
        <v>23</v>
      </c>
    </row>
    <row r="9" spans="1:15" ht="18.95" customHeight="1" x14ac:dyDescent="0.25">
      <c r="A9" s="28" t="s">
        <v>24</v>
      </c>
      <c r="B9" s="29"/>
      <c r="C9" s="29"/>
      <c r="D9" s="28"/>
      <c r="E9" s="28"/>
      <c r="F9" s="28"/>
      <c r="G9" s="29"/>
      <c r="H9" s="29"/>
      <c r="I9" s="29"/>
      <c r="J9" s="8" t="s">
        <v>25</v>
      </c>
      <c r="K9" s="9">
        <f>SUM(K8:K8)</f>
        <v>3379.2674999999999</v>
      </c>
      <c r="L9" s="9">
        <f>SUM(L8:L8)</f>
        <v>2548.9331999999999</v>
      </c>
      <c r="M9" s="9">
        <f>SUM(M8:M8)</f>
        <v>675.85349999999994</v>
      </c>
      <c r="N9" s="9">
        <f>SUM(N8:N8)</f>
        <v>6604.0700000000006</v>
      </c>
      <c r="O9" s="16" t="s">
        <v>25</v>
      </c>
    </row>
    <row r="10" spans="1:15" x14ac:dyDescent="0.25">
      <c r="A10" s="15"/>
      <c r="B10" s="7"/>
      <c r="C10" s="7"/>
      <c r="D10" s="15"/>
      <c r="E10" s="15"/>
      <c r="F10" s="15"/>
      <c r="G10" s="7"/>
      <c r="H10" s="7"/>
      <c r="I10" s="7"/>
      <c r="J10" s="7"/>
      <c r="K10" s="7"/>
      <c r="L10" s="7"/>
      <c r="M10" s="7"/>
      <c r="N10" s="7"/>
      <c r="O10" s="15"/>
    </row>
    <row r="11" spans="1:15" ht="20.100000000000001" customHeight="1" x14ac:dyDescent="0.25">
      <c r="A11" s="26" t="s">
        <v>26</v>
      </c>
      <c r="B11" s="27"/>
      <c r="C11" s="27"/>
      <c r="D11" s="26"/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6"/>
    </row>
    <row r="12" spans="1:15" ht="32.1" customHeight="1" x14ac:dyDescent="0.25">
      <c r="A12" s="15">
        <v>2</v>
      </c>
      <c r="B12" s="7" t="s">
        <v>27</v>
      </c>
      <c r="C12" s="7" t="s">
        <v>28</v>
      </c>
      <c r="D12" s="15">
        <v>45</v>
      </c>
      <c r="E12" s="15" t="s">
        <v>22</v>
      </c>
      <c r="F12" s="17">
        <f>SUM('Oriģinālā tāme'!F42,'Oriģinālā tāme'!F50,'Oriģinālā tāme'!F55)</f>
        <v>3156.9300000000003</v>
      </c>
      <c r="G12" s="18">
        <f>'Oriģinālā tāme'!G42</f>
        <v>1.7324999999999999</v>
      </c>
      <c r="H12" s="18">
        <f>'Oriģinālā tāme'!H42</f>
        <v>5.1749999999999998</v>
      </c>
      <c r="I12" s="18">
        <f>'Oriģinālā tāme'!I42</f>
        <v>1.0125</v>
      </c>
      <c r="J12" s="18">
        <f>SUM(G12:I12)</f>
        <v>7.92</v>
      </c>
      <c r="K12" s="18">
        <f>SUM('Oriģinālā tāme'!K42,'Oriģinālā tāme'!K50,'Oriģinālā tāme'!K55)</f>
        <v>5469.3812250000001</v>
      </c>
      <c r="L12" s="18">
        <f>SUM('Oriģinālā tāme'!L42,'Oriģinālā tāme'!L50,'Oriģinālā tāme'!L55)</f>
        <v>16337.112750000002</v>
      </c>
      <c r="M12" s="18">
        <f>SUM('Oriģinālā tāme'!M42,'Oriģinālā tāme'!M50,'Oriģinālā tāme'!M55)</f>
        <v>3196.3916250000002</v>
      </c>
      <c r="N12" s="18">
        <f>SUM(21736.84,3089.59,176.45)</f>
        <v>25002.880000000001</v>
      </c>
      <c r="O12" s="15" t="s">
        <v>29</v>
      </c>
    </row>
    <row r="13" spans="1:15" ht="32.1" customHeight="1" x14ac:dyDescent="0.25">
      <c r="A13" s="15">
        <v>3</v>
      </c>
      <c r="B13" s="7" t="s">
        <v>27</v>
      </c>
      <c r="C13" s="7" t="s">
        <v>30</v>
      </c>
      <c r="D13" s="15">
        <v>150</v>
      </c>
      <c r="E13" s="15" t="s">
        <v>22</v>
      </c>
      <c r="F13" s="17">
        <f>SUM('Oriģinālā tāme'!F63,'Oriģinālā tāme'!F68,'Oriģinālā tāme'!F73,'Oriģinālā tāme'!F78)</f>
        <v>1931.01</v>
      </c>
      <c r="G13" s="18">
        <f>'Oriģinālā tāme'!G63</f>
        <v>2.0499999999999998</v>
      </c>
      <c r="H13" s="18">
        <f>'Oriģinālā tāme'!H63</f>
        <v>18</v>
      </c>
      <c r="I13" s="18">
        <f>'Oriģinālā tāme'!I63</f>
        <v>0.25</v>
      </c>
      <c r="J13" s="18">
        <f>SUM(G13:I13)</f>
        <v>20.3</v>
      </c>
      <c r="K13" s="18">
        <f>SUM('Oriģinālā tāme'!K63,'Oriģinālā tāme'!K68,'Oriģinālā tāme'!K73,'Oriģinālā tāme'!K78)</f>
        <v>3958.5704999999998</v>
      </c>
      <c r="L13" s="18">
        <f>SUM('Oriģinālā tāme'!L63,'Oriģinālā tāme'!L68,'Oriģinālā tāme'!L73,'Oriģinālā tāme'!L78)</f>
        <v>34758.18</v>
      </c>
      <c r="M13" s="18">
        <f>SUM('Oriģinālā tāme'!M63,'Oriģinālā tāme'!M68,'Oriģinālā tāme'!M73,'Oriģinālā tāme'!M78)</f>
        <v>482.7525</v>
      </c>
      <c r="N13" s="18">
        <f>SUM(30374.08,8204.45,524.15,96.83)</f>
        <v>39199.51</v>
      </c>
      <c r="O13" s="15" t="s">
        <v>23</v>
      </c>
    </row>
    <row r="14" spans="1:15" ht="18.95" customHeight="1" x14ac:dyDescent="0.25">
      <c r="A14" s="28" t="s">
        <v>24</v>
      </c>
      <c r="B14" s="29"/>
      <c r="C14" s="29"/>
      <c r="D14" s="28"/>
      <c r="E14" s="28"/>
      <c r="F14" s="28"/>
      <c r="G14" s="29"/>
      <c r="H14" s="29"/>
      <c r="I14" s="29"/>
      <c r="J14" s="8" t="s">
        <v>25</v>
      </c>
      <c r="K14" s="9">
        <f>SUM(K12:K13)</f>
        <v>9427.951724999999</v>
      </c>
      <c r="L14" s="9">
        <f>SUM(L12:L13)</f>
        <v>51095.292750000001</v>
      </c>
      <c r="M14" s="9">
        <f>SUM(M12:M13)</f>
        <v>3679.1441250000003</v>
      </c>
      <c r="N14" s="9">
        <f>SUM(N12:N13)</f>
        <v>64202.39</v>
      </c>
      <c r="O14" s="16" t="s">
        <v>25</v>
      </c>
    </row>
    <row r="15" spans="1:15" x14ac:dyDescent="0.25">
      <c r="A15" s="15"/>
      <c r="B15" s="7"/>
      <c r="C15" s="7"/>
      <c r="D15" s="15"/>
      <c r="E15" s="15"/>
      <c r="F15" s="15"/>
      <c r="G15" s="7"/>
      <c r="H15" s="7"/>
      <c r="I15" s="7"/>
      <c r="J15" s="7"/>
      <c r="K15" s="7"/>
      <c r="L15" s="7"/>
      <c r="M15" s="7"/>
      <c r="N15" s="7"/>
      <c r="O15" s="15"/>
    </row>
    <row r="16" spans="1:15" ht="20.100000000000001" customHeight="1" x14ac:dyDescent="0.25">
      <c r="A16" s="26" t="s">
        <v>31</v>
      </c>
      <c r="B16" s="27"/>
      <c r="C16" s="27"/>
      <c r="D16" s="26"/>
      <c r="E16" s="26"/>
      <c r="F16" s="26"/>
      <c r="G16" s="27"/>
      <c r="H16" s="27"/>
      <c r="I16" s="27"/>
      <c r="J16" s="27"/>
      <c r="K16" s="27"/>
      <c r="L16" s="27"/>
      <c r="M16" s="27"/>
      <c r="N16" s="27"/>
      <c r="O16" s="26"/>
    </row>
    <row r="17" spans="1:15" ht="32.1" customHeight="1" x14ac:dyDescent="0.25">
      <c r="A17" s="15">
        <v>4</v>
      </c>
      <c r="B17" s="7" t="s">
        <v>32</v>
      </c>
      <c r="C17" s="7" t="s">
        <v>33</v>
      </c>
      <c r="D17" s="15" t="s">
        <v>25</v>
      </c>
      <c r="E17" s="15" t="s">
        <v>22</v>
      </c>
      <c r="F17" s="17">
        <f>SUM('Oriģinālā tāme'!F43,'Oriģinālā tāme'!F47,'Oriģinālā tāme'!F51,'Oriģinālā tāme'!F56)</f>
        <v>3792.8500000000004</v>
      </c>
      <c r="G17" s="18">
        <f>'Oriģinālā tāme'!G43</f>
        <v>0.35</v>
      </c>
      <c r="H17" s="18">
        <f>'Oriģinālā tāme'!H43</f>
        <v>2.79</v>
      </c>
      <c r="I17" s="18">
        <f>'Oriģinālā tāme'!I43</f>
        <v>0.18</v>
      </c>
      <c r="J17" s="18">
        <f>SUM(G17:I17)</f>
        <v>3.3200000000000003</v>
      </c>
      <c r="K17" s="18">
        <f>SUM('Oriģinālā tāme'!K43,'Oriģinālā tāme'!K47,'Oriģinālā tāme'!K51,'Oriģinālā tāme'!K56)</f>
        <v>1327.4974999999999</v>
      </c>
      <c r="L17" s="18">
        <f>SUM('Oriģinālā tāme'!L43,'Oriģinālā tāme'!L47,'Oriģinālā tāme'!L51,'Oriģinālā tāme'!L56)</f>
        <v>10582.051500000001</v>
      </c>
      <c r="M17" s="18">
        <f>SUM('Oriģinālā tāme'!M43,'Oriģinālā tāme'!M47,'Oriģinālā tāme'!M51,'Oriģinālā tāme'!M56)</f>
        <v>682.71299999999997</v>
      </c>
      <c r="N17" s="18">
        <f>SUM(9111.9,2111.26,1295.14,73.97)</f>
        <v>12592.269999999999</v>
      </c>
      <c r="O17" s="15" t="s">
        <v>34</v>
      </c>
    </row>
    <row r="18" spans="1:15" ht="32.1" customHeight="1" x14ac:dyDescent="0.25">
      <c r="A18" s="15">
        <v>5</v>
      </c>
      <c r="B18" s="7" t="s">
        <v>32</v>
      </c>
      <c r="C18" s="7" t="s">
        <v>35</v>
      </c>
      <c r="D18" s="15" t="s">
        <v>25</v>
      </c>
      <c r="E18" s="15" t="s">
        <v>22</v>
      </c>
      <c r="F18" s="17">
        <f>SUM('Oriģinālā tāme'!F44,'Oriģinālā tāme'!F52,'Oriģinālā tāme'!F57)</f>
        <v>3156.9300000000003</v>
      </c>
      <c r="G18" s="18">
        <f>'Oriģinālā tāme'!G44</f>
        <v>0.35</v>
      </c>
      <c r="H18" s="18">
        <f>'Oriģinālā tāme'!H44</f>
        <v>0.89</v>
      </c>
      <c r="I18" s="18">
        <f>'Oriģinālā tāme'!I44</f>
        <v>0.08</v>
      </c>
      <c r="J18" s="18">
        <f>SUM(G18:I18)</f>
        <v>1.32</v>
      </c>
      <c r="K18" s="18">
        <f>SUM('Oriģinālā tāme'!K44,'Oriģinālā tāme'!K52,'Oriģinālā tāme'!K57)</f>
        <v>1104.9255000000001</v>
      </c>
      <c r="L18" s="18">
        <f>SUM('Oriģinālā tāme'!L44,'Oriģinālā tāme'!L52,'Oriģinālā tāme'!L57)</f>
        <v>2809.6677</v>
      </c>
      <c r="M18" s="18">
        <f>SUM('Oriģinālā tāme'!M44,'Oriģinālā tāme'!M52,'Oriģinālā tāme'!M57)</f>
        <v>252.55440000000002</v>
      </c>
      <c r="N18" s="18">
        <f>SUM(3622.8,514.94,29.41)</f>
        <v>4167.1499999999996</v>
      </c>
      <c r="O18" s="15" t="s">
        <v>29</v>
      </c>
    </row>
    <row r="19" spans="1:15" ht="32.1" customHeight="1" x14ac:dyDescent="0.25">
      <c r="A19" s="15">
        <v>6</v>
      </c>
      <c r="B19" s="7" t="s">
        <v>32</v>
      </c>
      <c r="C19" s="7" t="s">
        <v>36</v>
      </c>
      <c r="D19" s="15" t="s">
        <v>25</v>
      </c>
      <c r="E19" s="15" t="s">
        <v>22</v>
      </c>
      <c r="F19" s="17">
        <f>SUM('Oriģinālā tāme'!F64,'Oriģinālā tāme'!F69,'Oriģinālā tāme'!F74,'Oriģinālā tāme'!F79)</f>
        <v>1931.01</v>
      </c>
      <c r="G19" s="18">
        <f>'Oriģinālā tāme'!G64</f>
        <v>0.35</v>
      </c>
      <c r="H19" s="18">
        <f>'Oriģinālā tāme'!H64</f>
        <v>0.89</v>
      </c>
      <c r="I19" s="18">
        <f>'Oriģinālā tāme'!I64</f>
        <v>0.08</v>
      </c>
      <c r="J19" s="18">
        <f>SUM(G19:I19)</f>
        <v>1.32</v>
      </c>
      <c r="K19" s="18">
        <f>SUM('Oriģinālā tāme'!K64,'Oriģinālā tāme'!K69,'Oriģinālā tāme'!K74,'Oriģinālā tāme'!K79)</f>
        <v>675.85349999999994</v>
      </c>
      <c r="L19" s="18">
        <f>SUM('Oriģinālā tāme'!L64,'Oriģinālā tāme'!L69,'Oriģinālā tāme'!L74,'Oriģinālā tāme'!L79)</f>
        <v>1718.5989</v>
      </c>
      <c r="M19" s="18">
        <f>SUM('Oriģinālā tāme'!M64,'Oriģinālā tāme'!M69,'Oriģinālā tāme'!M74,'Oriģinālā tāme'!M79)</f>
        <v>154.48079999999999</v>
      </c>
      <c r="N19" s="18">
        <f>SUM(1975.06,533.49,34.09,6.3)</f>
        <v>2548.9400000000005</v>
      </c>
      <c r="O19" s="15" t="s">
        <v>23</v>
      </c>
    </row>
    <row r="20" spans="1:15" ht="18.95" customHeight="1" x14ac:dyDescent="0.25">
      <c r="A20" s="28" t="s">
        <v>24</v>
      </c>
      <c r="B20" s="29"/>
      <c r="C20" s="29"/>
      <c r="D20" s="28"/>
      <c r="E20" s="28"/>
      <c r="F20" s="28"/>
      <c r="G20" s="29"/>
      <c r="H20" s="29"/>
      <c r="I20" s="29"/>
      <c r="J20" s="8" t="s">
        <v>25</v>
      </c>
      <c r="K20" s="9">
        <f>SUM(K17:K19)</f>
        <v>3108.2764999999999</v>
      </c>
      <c r="L20" s="9">
        <f>SUM(L17:L19)</f>
        <v>15110.3181</v>
      </c>
      <c r="M20" s="9">
        <f>SUM(M17:M19)</f>
        <v>1089.7482</v>
      </c>
      <c r="N20" s="9">
        <f>SUM(N17:N19)</f>
        <v>19308.36</v>
      </c>
      <c r="O20" s="16" t="s">
        <v>25</v>
      </c>
    </row>
    <row r="21" spans="1:15" x14ac:dyDescent="0.25">
      <c r="A21" s="15"/>
      <c r="B21" s="7"/>
      <c r="C21" s="7"/>
      <c r="D21" s="15"/>
      <c r="E21" s="15"/>
      <c r="F21" s="15"/>
      <c r="G21" s="7"/>
      <c r="H21" s="7"/>
      <c r="I21" s="7"/>
      <c r="J21" s="7"/>
      <c r="K21" s="7"/>
      <c r="L21" s="7"/>
      <c r="M21" s="7"/>
      <c r="N21" s="7"/>
      <c r="O21" s="15"/>
    </row>
    <row r="22" spans="1:15" ht="20.100000000000001" customHeight="1" x14ac:dyDescent="0.25">
      <c r="A22" s="26" t="s">
        <v>37</v>
      </c>
      <c r="B22" s="27"/>
      <c r="C22" s="27"/>
      <c r="D22" s="26"/>
      <c r="E22" s="26"/>
      <c r="F22" s="26"/>
      <c r="G22" s="27"/>
      <c r="H22" s="27"/>
      <c r="I22" s="27"/>
      <c r="J22" s="27"/>
      <c r="K22" s="27"/>
      <c r="L22" s="27"/>
      <c r="M22" s="27"/>
      <c r="N22" s="27"/>
      <c r="O22" s="26"/>
    </row>
    <row r="23" spans="1:15" ht="32.1" customHeight="1" x14ac:dyDescent="0.25">
      <c r="A23" s="15">
        <v>7</v>
      </c>
      <c r="B23" s="7" t="s">
        <v>38</v>
      </c>
      <c r="C23" s="7" t="s">
        <v>39</v>
      </c>
      <c r="D23" s="15">
        <v>60</v>
      </c>
      <c r="E23" s="15" t="s">
        <v>22</v>
      </c>
      <c r="F23" s="17">
        <f>SUM('Oriģinālā tāme'!F41,'Oriģinālā tāme'!F49,'Oriģinālā tāme'!F54,'Oriģinālā tāme'!F76)</f>
        <v>3161.7000000000003</v>
      </c>
      <c r="G23" s="18">
        <f>'Oriģinālā tāme'!G41</f>
        <v>4.05</v>
      </c>
      <c r="H23" s="18">
        <f>'Oriģinālā tāme'!H41</f>
        <v>5.4</v>
      </c>
      <c r="I23" s="18">
        <f>'Oriģinālā tāme'!I41</f>
        <v>1.35</v>
      </c>
      <c r="J23" s="18">
        <f t="shared" ref="J23:J28" si="0">SUM(G23:I23)</f>
        <v>10.799999999999999</v>
      </c>
      <c r="K23" s="18">
        <f>SUM('Oriģinālā tāme'!K41,'Oriģinālā tāme'!K49,'Oriģinālā tāme'!K54,'Oriģinālā tāme'!K76)</f>
        <v>12804.885</v>
      </c>
      <c r="L23" s="18">
        <f>SUM('Oriģinālā tāme'!L41,'Oriģinālā tāme'!L49,'Oriģinālā tāme'!L54,'Oriģinālā tāme'!L76)</f>
        <v>17073.180000000004</v>
      </c>
      <c r="M23" s="18">
        <f>SUM('Oriģinālā tāme'!M41,'Oriģinālā tāme'!M49,'Oriģinālā tāme'!M54,'Oriģinālā tāme'!M76)</f>
        <v>4268.295000000001</v>
      </c>
      <c r="N23" s="18">
        <f>SUM(29641.14,4213.09,240.62,51.52)</f>
        <v>34146.369999999995</v>
      </c>
      <c r="O23" s="15" t="s">
        <v>40</v>
      </c>
    </row>
    <row r="24" spans="1:15" ht="32.1" customHeight="1" x14ac:dyDescent="0.25">
      <c r="A24" s="15">
        <v>8</v>
      </c>
      <c r="B24" s="7" t="s">
        <v>38</v>
      </c>
      <c r="C24" s="7" t="s">
        <v>41</v>
      </c>
      <c r="D24" s="15">
        <v>85</v>
      </c>
      <c r="E24" s="15" t="s">
        <v>22</v>
      </c>
      <c r="F24" s="17">
        <f>'Oriģinālā tāme'!F46</f>
        <v>635.91999999999996</v>
      </c>
      <c r="G24" s="18">
        <f>'Oriģinālā tāme'!G46</f>
        <v>4.05</v>
      </c>
      <c r="H24" s="18">
        <f>'Oriģinālā tāme'!H46</f>
        <v>7.65</v>
      </c>
      <c r="I24" s="18">
        <f>'Oriģinālā tāme'!I46</f>
        <v>1.35</v>
      </c>
      <c r="J24" s="18">
        <f t="shared" si="0"/>
        <v>13.049999999999999</v>
      </c>
      <c r="K24" s="18">
        <f>'Oriģinālā tāme'!K46</f>
        <v>2575.4759999999997</v>
      </c>
      <c r="L24" s="18">
        <f>'Oriģinālā tāme'!L46</f>
        <v>4864.7879999999996</v>
      </c>
      <c r="M24" s="18">
        <f>'Oriģinālā tāme'!M46</f>
        <v>858.49199999999996</v>
      </c>
      <c r="N24" s="18">
        <f>8298.76</f>
        <v>8298.76</v>
      </c>
      <c r="O24" s="15" t="s">
        <v>42</v>
      </c>
    </row>
    <row r="25" spans="1:15" ht="32.1" customHeight="1" x14ac:dyDescent="0.25">
      <c r="A25" s="15">
        <v>9</v>
      </c>
      <c r="B25" s="7" t="s">
        <v>38</v>
      </c>
      <c r="C25" s="7" t="s">
        <v>43</v>
      </c>
      <c r="D25" s="15">
        <v>120</v>
      </c>
      <c r="E25" s="15" t="s">
        <v>22</v>
      </c>
      <c r="F25" s="17">
        <f>'Oriģinālā tāme'!F59</f>
        <v>32.46</v>
      </c>
      <c r="G25" s="18">
        <f>'Oriģinālā tāme'!G59</f>
        <v>4.05</v>
      </c>
      <c r="H25" s="18">
        <f>'Oriģinālā tāme'!H59</f>
        <v>10.8</v>
      </c>
      <c r="I25" s="18">
        <f>'Oriģinālā tāme'!I59</f>
        <v>1.35</v>
      </c>
      <c r="J25" s="18">
        <f t="shared" si="0"/>
        <v>16.200000000000003</v>
      </c>
      <c r="K25" s="18">
        <f>'Oriģinālā tāme'!K59</f>
        <v>131.46299999999999</v>
      </c>
      <c r="L25" s="18">
        <f>'Oriģinālā tāme'!L59</f>
        <v>350.56800000000004</v>
      </c>
      <c r="M25" s="18">
        <f>'Oriģinālā tāme'!M59</f>
        <v>43.821000000000005</v>
      </c>
      <c r="N25" s="18">
        <f>525.85</f>
        <v>525.85</v>
      </c>
      <c r="O25" s="15" t="s">
        <v>44</v>
      </c>
    </row>
    <row r="26" spans="1:15" ht="32.1" customHeight="1" x14ac:dyDescent="0.25">
      <c r="A26" s="15">
        <v>10</v>
      </c>
      <c r="B26" s="7" t="s">
        <v>38</v>
      </c>
      <c r="C26" s="7" t="s">
        <v>45</v>
      </c>
      <c r="D26" s="15">
        <v>70</v>
      </c>
      <c r="E26" s="15" t="s">
        <v>22</v>
      </c>
      <c r="F26" s="17">
        <f>'Oriģinālā tāme'!F61</f>
        <v>1496.26</v>
      </c>
      <c r="G26" s="18">
        <f>'Oriģinālā tāme'!G61</f>
        <v>4.05</v>
      </c>
      <c r="H26" s="18">
        <f>'Oriģinālā tāme'!H61</f>
        <v>6.3</v>
      </c>
      <c r="I26" s="18">
        <f>'Oriģinālā tāme'!I61</f>
        <v>1.35</v>
      </c>
      <c r="J26" s="18">
        <f t="shared" si="0"/>
        <v>11.7</v>
      </c>
      <c r="K26" s="18">
        <f>'Oriģinālā tāme'!K61</f>
        <v>6059.8530000000001</v>
      </c>
      <c r="L26" s="18">
        <f>'Oriģinālā tāme'!L61</f>
        <v>9426.4380000000001</v>
      </c>
      <c r="M26" s="18">
        <f>'Oriģinālā tāme'!M61</f>
        <v>2019.951</v>
      </c>
      <c r="N26" s="18">
        <f>17506.24</f>
        <v>17506.240000000002</v>
      </c>
      <c r="O26" s="15" t="s">
        <v>46</v>
      </c>
    </row>
    <row r="27" spans="1:15" ht="32.1" customHeight="1" x14ac:dyDescent="0.25">
      <c r="A27" s="15">
        <v>11</v>
      </c>
      <c r="B27" s="7" t="s">
        <v>38</v>
      </c>
      <c r="C27" s="7" t="s">
        <v>47</v>
      </c>
      <c r="D27" s="15">
        <v>55</v>
      </c>
      <c r="E27" s="15" t="s">
        <v>22</v>
      </c>
      <c r="F27" s="17">
        <f>'Oriģinālā tāme'!F66</f>
        <v>404.16</v>
      </c>
      <c r="G27" s="18">
        <f>'Oriģinālā tāme'!G66</f>
        <v>4.05</v>
      </c>
      <c r="H27" s="18">
        <f>'Oriģinālā tāme'!H66</f>
        <v>4.95</v>
      </c>
      <c r="I27" s="18">
        <f>'Oriģinālā tāme'!I66</f>
        <v>1.35</v>
      </c>
      <c r="J27" s="18">
        <f t="shared" si="0"/>
        <v>10.35</v>
      </c>
      <c r="K27" s="18">
        <f>'Oriģinālā tāme'!K66</f>
        <v>1636.848</v>
      </c>
      <c r="L27" s="18">
        <f>'Oriģinālā tāme'!L66</f>
        <v>2000.5920000000001</v>
      </c>
      <c r="M27" s="18">
        <f>'Oriģinālā tāme'!M66</f>
        <v>545.6160000000001</v>
      </c>
      <c r="N27" s="18">
        <f>4183.06</f>
        <v>4183.0600000000004</v>
      </c>
      <c r="O27" s="15" t="s">
        <v>48</v>
      </c>
    </row>
    <row r="28" spans="1:15" ht="32.1" customHeight="1" x14ac:dyDescent="0.25">
      <c r="A28" s="15">
        <v>12</v>
      </c>
      <c r="B28" s="7" t="s">
        <v>38</v>
      </c>
      <c r="C28" s="7" t="s">
        <v>49</v>
      </c>
      <c r="D28" s="15" t="s">
        <v>50</v>
      </c>
      <c r="E28" s="15" t="s">
        <v>22</v>
      </c>
      <c r="F28" s="17">
        <f>'Oriģinālā tāme'!F71</f>
        <v>25.82</v>
      </c>
      <c r="G28" s="18">
        <f>'Oriģinālā tāme'!G71</f>
        <v>14.3</v>
      </c>
      <c r="H28" s="18">
        <f>'Oriģinālā tāme'!H71</f>
        <v>33.974999999999994</v>
      </c>
      <c r="I28" s="18">
        <f>'Oriģinālā tāme'!I71</f>
        <v>10.375</v>
      </c>
      <c r="J28" s="18">
        <f t="shared" si="0"/>
        <v>58.649999999999991</v>
      </c>
      <c r="K28" s="18">
        <f>'Oriģinālā tāme'!K71</f>
        <v>369.226</v>
      </c>
      <c r="L28" s="18">
        <f>'Oriģinālā tāme'!L71</f>
        <v>877.23449999999991</v>
      </c>
      <c r="M28" s="18">
        <f>'Oriģinālā tāme'!M71</f>
        <v>267.88249999999999</v>
      </c>
      <c r="N28" s="18">
        <f>1514.6</f>
        <v>1514.6</v>
      </c>
      <c r="O28" s="15" t="s">
        <v>51</v>
      </c>
    </row>
    <row r="29" spans="1:15" ht="18.95" customHeight="1" x14ac:dyDescent="0.25">
      <c r="A29" s="28" t="s">
        <v>24</v>
      </c>
      <c r="B29" s="29"/>
      <c r="C29" s="29"/>
      <c r="D29" s="28"/>
      <c r="E29" s="28"/>
      <c r="F29" s="28"/>
      <c r="G29" s="29"/>
      <c r="H29" s="29"/>
      <c r="I29" s="29"/>
      <c r="J29" s="8" t="s">
        <v>25</v>
      </c>
      <c r="K29" s="9">
        <f>SUM(K23:K28)</f>
        <v>23577.751</v>
      </c>
      <c r="L29" s="9">
        <f>SUM(L23:L28)</f>
        <v>34592.800499999998</v>
      </c>
      <c r="M29" s="9">
        <f>SUM(M23:M28)</f>
        <v>8004.0575000000008</v>
      </c>
      <c r="N29" s="9">
        <f>SUM(N23:N28)</f>
        <v>66174.880000000005</v>
      </c>
      <c r="O29" s="16" t="s">
        <v>25</v>
      </c>
    </row>
    <row r="30" spans="1:1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30" t="s">
        <v>52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19">
        <f>SUM(N9,N14,N20,N29)</f>
        <v>156289.70000000001</v>
      </c>
      <c r="O31" s="11" t="s">
        <v>25</v>
      </c>
    </row>
    <row r="32" spans="1:15" x14ac:dyDescent="0.25">
      <c r="A32" s="30" t="s">
        <v>53</v>
      </c>
      <c r="B32" s="30"/>
      <c r="C32" s="30"/>
      <c r="D32" s="30"/>
      <c r="E32" s="30"/>
      <c r="F32" s="30"/>
      <c r="G32" s="30"/>
      <c r="H32" s="30"/>
      <c r="I32" s="30"/>
      <c r="J32" s="31">
        <v>0.05</v>
      </c>
      <c r="K32" s="30"/>
      <c r="L32" s="30"/>
      <c r="M32" s="30"/>
      <c r="N32" s="19">
        <f>ROUND(N31*J32,2)</f>
        <v>7814.49</v>
      </c>
      <c r="O32" s="11" t="s">
        <v>25</v>
      </c>
    </row>
    <row r="33" spans="1:15" x14ac:dyDescent="0.25">
      <c r="A33" s="23" t="s">
        <v>54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0">
        <f>N31+N32</f>
        <v>164104.19</v>
      </c>
      <c r="O33" s="12" t="s">
        <v>25</v>
      </c>
    </row>
    <row r="34" spans="1:1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24" t="s">
        <v>55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1">
        <f>N31-156289.7</f>
        <v>0</v>
      </c>
      <c r="O35" s="13" t="s">
        <v>56</v>
      </c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25" t="s">
        <v>57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1:15" ht="24" customHeight="1" x14ac:dyDescent="0.25">
      <c r="A39" s="22" t="s">
        <v>58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</row>
    <row r="40" spans="1:15" ht="24" customHeight="1" x14ac:dyDescent="0.25">
      <c r="A40" s="22" t="s">
        <v>59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</row>
    <row r="41" spans="1:15" ht="24" customHeight="1" x14ac:dyDescent="0.25">
      <c r="A41" s="22" t="s">
        <v>60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</row>
    <row r="42" spans="1:15" ht="24" customHeight="1" x14ac:dyDescent="0.25">
      <c r="A42" s="22" t="s">
        <v>61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ht="24" customHeight="1" x14ac:dyDescent="0.25">
      <c r="A43" s="22" t="s">
        <v>62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spans="1:15" ht="24" customHeight="1" x14ac:dyDescent="0.25">
      <c r="A44" s="22" t="s">
        <v>63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spans="1:15" ht="24" customHeight="1" x14ac:dyDescent="0.25">
      <c r="A45" s="22" t="s">
        <v>64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spans="1:15" ht="24" customHeight="1" x14ac:dyDescent="0.25">
      <c r="A46" s="22" t="s">
        <v>65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ht="24" customHeight="1" x14ac:dyDescent="0.25">
      <c r="A47" s="22" t="s">
        <v>66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spans="1:15" ht="24" customHeight="1" x14ac:dyDescent="0.25">
      <c r="A48" s="22" t="s">
        <v>67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ht="24" customHeight="1" x14ac:dyDescent="0.25">
      <c r="A49" s="22" t="s">
        <v>68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spans="1:15" ht="24" customHeight="1" x14ac:dyDescent="0.25">
      <c r="A50" s="22" t="s">
        <v>69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ht="24" customHeight="1" x14ac:dyDescent="0.25">
      <c r="A51" s="22" t="s">
        <v>70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spans="1:15" ht="24" customHeight="1" x14ac:dyDescent="0.25">
      <c r="A52" s="22" t="s">
        <v>71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</sheetData>
  <mergeCells count="32">
    <mergeCell ref="A1:O1"/>
    <mergeCell ref="A2:K2"/>
    <mergeCell ref="L2:O2"/>
    <mergeCell ref="A4:O4"/>
    <mergeCell ref="A7:O7"/>
    <mergeCell ref="A9:I9"/>
    <mergeCell ref="A11:O11"/>
    <mergeCell ref="A14:I14"/>
    <mergeCell ref="A16:O16"/>
    <mergeCell ref="A20:I20"/>
    <mergeCell ref="A22:O22"/>
    <mergeCell ref="A29:I29"/>
    <mergeCell ref="A31:M31"/>
    <mergeCell ref="A32:I32"/>
    <mergeCell ref="J32:M32"/>
    <mergeCell ref="A33:M33"/>
    <mergeCell ref="A35:M35"/>
    <mergeCell ref="A38:O38"/>
    <mergeCell ref="A39:O39"/>
    <mergeCell ref="A40:O40"/>
    <mergeCell ref="A41:O41"/>
    <mergeCell ref="A42:O42"/>
    <mergeCell ref="A43:O43"/>
    <mergeCell ref="A44:O44"/>
    <mergeCell ref="A45:O45"/>
    <mergeCell ref="A51:O51"/>
    <mergeCell ref="A52:O52"/>
    <mergeCell ref="A46:O46"/>
    <mergeCell ref="A47:O47"/>
    <mergeCell ref="A48:O48"/>
    <mergeCell ref="A49:O49"/>
    <mergeCell ref="A50:O50"/>
  </mergeCells>
  <pageMargins left="0.25" right="0.25" top="0.4" bottom="0.4" header="0.2" footer="0.2"/>
  <ignoredErrors>
    <ignoredError sqref="A1:O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8"/>
  <sheetViews>
    <sheetView workbookViewId="0"/>
  </sheetViews>
  <sheetFormatPr defaultRowHeight="15.75" x14ac:dyDescent="0.25"/>
  <cols>
    <col min="1" max="1" width="12.625" customWidth="1"/>
    <col min="2" max="2" width="8.25" customWidth="1"/>
    <col min="3" max="3" width="63.75" customWidth="1"/>
    <col min="4" max="4" width="11" customWidth="1"/>
    <col min="5" max="5" width="7.25" customWidth="1"/>
    <col min="7" max="14" width="11.75" customWidth="1"/>
    <col min="16" max="16" width="29.625" customWidth="1"/>
  </cols>
  <sheetData>
    <row r="1" spans="1:14" ht="27.75" customHeight="1" x14ac:dyDescent="0.25">
      <c r="A1" s="37" t="s">
        <v>72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7.7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25">
      <c r="G3" s="37" t="s">
        <v>2</v>
      </c>
      <c r="H3" s="37"/>
    </row>
    <row r="6" spans="1:14" x14ac:dyDescent="0.25">
      <c r="A6" t="s">
        <v>1</v>
      </c>
    </row>
    <row r="7" spans="1:14" ht="15.75" customHeight="1" x14ac:dyDescent="0.25"/>
    <row r="8" spans="1:14" ht="15.75" customHeight="1" x14ac:dyDescent="0.25">
      <c r="A8" s="37" t="s">
        <v>73</v>
      </c>
      <c r="B8" s="37" t="s">
        <v>74</v>
      </c>
      <c r="C8" s="37" t="s">
        <v>6</v>
      </c>
      <c r="D8" t="s">
        <v>75</v>
      </c>
      <c r="E8" s="37" t="s">
        <v>8</v>
      </c>
      <c r="F8" s="37" t="s">
        <v>76</v>
      </c>
      <c r="G8" s="37" t="s">
        <v>13</v>
      </c>
      <c r="H8" s="37"/>
      <c r="I8" s="37"/>
      <c r="J8" s="37" t="s">
        <v>13</v>
      </c>
      <c r="K8" s="37" t="s">
        <v>77</v>
      </c>
      <c r="L8" s="37"/>
      <c r="M8" s="37"/>
      <c r="N8" s="37" t="s">
        <v>17</v>
      </c>
    </row>
    <row r="9" spans="1:14" ht="15.75" customHeight="1" x14ac:dyDescent="0.25">
      <c r="A9" s="37"/>
      <c r="B9" s="37"/>
      <c r="C9" s="37"/>
      <c r="D9" t="s">
        <v>78</v>
      </c>
      <c r="E9" s="37"/>
      <c r="F9" s="37"/>
      <c r="G9" t="s">
        <v>79</v>
      </c>
      <c r="H9" t="s">
        <v>80</v>
      </c>
      <c r="I9" t="s">
        <v>81</v>
      </c>
      <c r="J9" s="37"/>
      <c r="K9" t="s">
        <v>82</v>
      </c>
      <c r="L9" t="s">
        <v>83</v>
      </c>
      <c r="M9" t="s">
        <v>81</v>
      </c>
      <c r="N9" s="37"/>
    </row>
    <row r="10" spans="1:14" x14ac:dyDescent="0.25"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ht="18" hidden="1" customHeight="1" x14ac:dyDescent="0.25">
      <c r="A11" s="1">
        <f>N84</f>
        <v>164104.19</v>
      </c>
      <c r="C11" s="1" t="s">
        <v>84</v>
      </c>
    </row>
    <row r="12" spans="1:14" hidden="1" x14ac:dyDescent="0.25">
      <c r="C12" s="1" t="s">
        <v>85</v>
      </c>
      <c r="D12" s="1">
        <v>100</v>
      </c>
      <c r="E12" s="1" t="s">
        <v>22</v>
      </c>
      <c r="F12" s="1">
        <v>250</v>
      </c>
      <c r="G12" s="1">
        <v>6.51</v>
      </c>
      <c r="H12" s="1">
        <v>130</v>
      </c>
      <c r="I12" s="1">
        <v>3.85</v>
      </c>
      <c r="J12" s="1">
        <f>I12+H12+G12</f>
        <v>140.36000000000001</v>
      </c>
    </row>
    <row r="13" spans="1:14" hidden="1" x14ac:dyDescent="0.25">
      <c r="C13" s="1" t="s">
        <v>86</v>
      </c>
      <c r="D13" s="1">
        <v>100</v>
      </c>
      <c r="E13" s="1" t="s">
        <v>22</v>
      </c>
      <c r="F13" s="1">
        <v>250</v>
      </c>
      <c r="G13" s="1">
        <v>7.15</v>
      </c>
      <c r="H13" s="1">
        <v>151</v>
      </c>
      <c r="I13" s="1">
        <v>4.1500000000000004</v>
      </c>
      <c r="J13" s="1">
        <f>I13+H13+G13</f>
        <v>162.30000000000001</v>
      </c>
    </row>
    <row r="14" spans="1:14" hidden="1" x14ac:dyDescent="0.25">
      <c r="C14" s="1" t="s">
        <v>87</v>
      </c>
      <c r="E14" s="1" t="s">
        <v>22</v>
      </c>
      <c r="F14" s="1">
        <v>250</v>
      </c>
      <c r="G14" s="1">
        <v>0.85</v>
      </c>
      <c r="H14" s="1">
        <v>2.34</v>
      </c>
      <c r="I14" s="1">
        <v>0.09</v>
      </c>
      <c r="J14" s="1">
        <f>I14+H14+G14</f>
        <v>3.28</v>
      </c>
    </row>
    <row r="15" spans="1:14" ht="25.5" hidden="1" customHeight="1" x14ac:dyDescent="0.25">
      <c r="C15" s="1" t="s">
        <v>88</v>
      </c>
      <c r="E15" s="1" t="s">
        <v>22</v>
      </c>
      <c r="F15" s="1">
        <v>250</v>
      </c>
      <c r="G15" s="1">
        <v>2.64</v>
      </c>
      <c r="I15" s="1">
        <v>0.37</v>
      </c>
      <c r="J15" s="1">
        <f>I15+H15+G15</f>
        <v>3.01</v>
      </c>
    </row>
    <row r="16" spans="1:14" ht="45" hidden="1" customHeight="1" x14ac:dyDescent="0.25">
      <c r="C16" t="s">
        <v>89</v>
      </c>
      <c r="D16" t="s">
        <v>90</v>
      </c>
      <c r="E16" t="s">
        <v>91</v>
      </c>
      <c r="F16" s="2">
        <f>F13*0.45</f>
        <v>112.5</v>
      </c>
      <c r="G16" s="3">
        <v>3.34</v>
      </c>
      <c r="H16" s="3">
        <v>3.25</v>
      </c>
      <c r="I16" s="3">
        <v>1.25</v>
      </c>
      <c r="J16" s="3">
        <f>I16+H16+G16</f>
        <v>7.84</v>
      </c>
    </row>
    <row r="17" spans="3:14" hidden="1" x14ac:dyDescent="0.25">
      <c r="C17" s="1" t="s">
        <v>92</v>
      </c>
    </row>
    <row r="18" spans="3:14" hidden="1" x14ac:dyDescent="0.25">
      <c r="C18" s="1" t="s">
        <v>93</v>
      </c>
      <c r="E18" s="1" t="s">
        <v>22</v>
      </c>
      <c r="F18" s="1">
        <v>217.6</v>
      </c>
      <c r="G18" s="1">
        <v>4.8499999999999996</v>
      </c>
      <c r="H18" s="1">
        <v>6.73</v>
      </c>
      <c r="I18" s="1">
        <v>1.38</v>
      </c>
      <c r="J18" s="1">
        <f t="shared" ref="J18:J49" si="0">I18+H18+G18</f>
        <v>12.96</v>
      </c>
    </row>
    <row r="19" spans="3:14" hidden="1" x14ac:dyDescent="0.25">
      <c r="C19" s="1" t="s">
        <v>94</v>
      </c>
      <c r="E19" s="1" t="s">
        <v>95</v>
      </c>
      <c r="F19" s="1">
        <v>1</v>
      </c>
      <c r="G19" s="1">
        <v>110</v>
      </c>
      <c r="H19" s="1">
        <v>558.62</v>
      </c>
      <c r="I19" s="1">
        <v>15</v>
      </c>
      <c r="J19" s="1">
        <f t="shared" si="0"/>
        <v>683.62</v>
      </c>
    </row>
    <row r="20" spans="3:14" hidden="1" x14ac:dyDescent="0.25">
      <c r="C20" s="1" t="s">
        <v>96</v>
      </c>
      <c r="E20" s="1" t="s">
        <v>95</v>
      </c>
      <c r="F20" s="1">
        <v>1</v>
      </c>
      <c r="G20" s="1">
        <v>35</v>
      </c>
      <c r="H20" s="1">
        <v>160.32</v>
      </c>
      <c r="I20" s="1">
        <v>5.23</v>
      </c>
      <c r="J20" s="1">
        <f t="shared" si="0"/>
        <v>200.55</v>
      </c>
    </row>
    <row r="21" spans="3:14" hidden="1" x14ac:dyDescent="0.25">
      <c r="C21" s="1" t="s">
        <v>97</v>
      </c>
      <c r="J21" s="1">
        <f t="shared" si="0"/>
        <v>0</v>
      </c>
      <c r="K21" s="1">
        <f>G21*F21</f>
        <v>0</v>
      </c>
      <c r="L21" s="1">
        <f>H21*F21</f>
        <v>0</v>
      </c>
      <c r="M21" s="1">
        <f>I21*F21</f>
        <v>0</v>
      </c>
      <c r="N21" s="1">
        <f>M21+L21+K21</f>
        <v>0</v>
      </c>
    </row>
    <row r="22" spans="3:14" hidden="1" x14ac:dyDescent="0.25">
      <c r="C22" t="s">
        <v>98</v>
      </c>
      <c r="E22" s="1" t="s">
        <v>22</v>
      </c>
      <c r="F22" s="1">
        <v>100</v>
      </c>
      <c r="G22" s="1">
        <v>4.03</v>
      </c>
      <c r="H22" s="1">
        <v>2.2999999999999998</v>
      </c>
      <c r="I22" s="1">
        <v>0.57999999999999996</v>
      </c>
      <c r="J22" s="1">
        <f t="shared" si="0"/>
        <v>6.91</v>
      </c>
    </row>
    <row r="23" spans="3:14" hidden="1" x14ac:dyDescent="0.25">
      <c r="C23" t="s">
        <v>99</v>
      </c>
      <c r="E23" s="1" t="s">
        <v>22</v>
      </c>
      <c r="F23" s="1">
        <v>100</v>
      </c>
      <c r="G23" s="1">
        <v>6.61</v>
      </c>
      <c r="H23" s="1">
        <v>10.54</v>
      </c>
      <c r="I23" s="1">
        <v>1.44</v>
      </c>
      <c r="J23" s="1">
        <f t="shared" si="0"/>
        <v>18.59</v>
      </c>
    </row>
    <row r="24" spans="3:14" hidden="1" x14ac:dyDescent="0.25">
      <c r="C24" t="s">
        <v>100</v>
      </c>
      <c r="E24" s="1" t="s">
        <v>22</v>
      </c>
      <c r="F24" s="1">
        <v>100</v>
      </c>
      <c r="G24" s="1">
        <v>8.9</v>
      </c>
      <c r="H24" s="1">
        <v>2.19</v>
      </c>
      <c r="I24" s="1">
        <v>1.69</v>
      </c>
      <c r="J24" s="1">
        <f t="shared" si="0"/>
        <v>12.78</v>
      </c>
    </row>
    <row r="25" spans="3:14" hidden="1" x14ac:dyDescent="0.25">
      <c r="C25" t="s">
        <v>101</v>
      </c>
      <c r="E25" s="1" t="s">
        <v>22</v>
      </c>
      <c r="F25" s="1">
        <v>100</v>
      </c>
      <c r="G25" s="1">
        <v>14.95</v>
      </c>
      <c r="H25" s="1">
        <v>2.19</v>
      </c>
      <c r="I25" s="1">
        <v>1.73</v>
      </c>
      <c r="J25" s="1">
        <f t="shared" si="0"/>
        <v>18.87</v>
      </c>
    </row>
    <row r="26" spans="3:14" hidden="1" x14ac:dyDescent="0.25">
      <c r="C26" t="s">
        <v>102</v>
      </c>
      <c r="E26" s="1" t="s">
        <v>22</v>
      </c>
      <c r="F26" s="1">
        <v>100</v>
      </c>
      <c r="G26" s="1">
        <v>9.6300000000000008</v>
      </c>
      <c r="H26" s="1">
        <v>2.19</v>
      </c>
      <c r="I26" s="1">
        <v>0.69</v>
      </c>
      <c r="J26" s="1">
        <f t="shared" si="0"/>
        <v>12.51</v>
      </c>
    </row>
    <row r="27" spans="3:14" hidden="1" x14ac:dyDescent="0.25">
      <c r="C27" t="s">
        <v>103</v>
      </c>
      <c r="E27" s="1" t="s">
        <v>22</v>
      </c>
      <c r="F27" s="1">
        <v>100</v>
      </c>
      <c r="G27" s="1">
        <v>7.67</v>
      </c>
      <c r="H27" s="1">
        <v>2.0099999999999998</v>
      </c>
      <c r="I27" s="1">
        <v>0.69</v>
      </c>
      <c r="J27" s="1">
        <f t="shared" si="0"/>
        <v>10.37</v>
      </c>
    </row>
    <row r="28" spans="3:14" hidden="1" x14ac:dyDescent="0.25">
      <c r="C28" t="s">
        <v>104</v>
      </c>
      <c r="E28" s="1" t="s">
        <v>22</v>
      </c>
      <c r="F28" s="1">
        <v>100</v>
      </c>
      <c r="G28" s="1">
        <v>10.35</v>
      </c>
      <c r="H28" s="1">
        <v>2.19</v>
      </c>
      <c r="I28" s="1">
        <v>0.69</v>
      </c>
      <c r="J28" s="1">
        <f t="shared" si="0"/>
        <v>13.23</v>
      </c>
    </row>
    <row r="29" spans="3:14" hidden="1" x14ac:dyDescent="0.25">
      <c r="C29" t="s">
        <v>105</v>
      </c>
      <c r="E29" s="1" t="s">
        <v>22</v>
      </c>
      <c r="F29" s="1">
        <v>100</v>
      </c>
      <c r="G29" s="1">
        <v>9.1999999999999993</v>
      </c>
      <c r="H29" s="1">
        <v>2.19</v>
      </c>
      <c r="I29" s="1">
        <v>0.69</v>
      </c>
      <c r="J29" s="1">
        <f t="shared" si="0"/>
        <v>12.08</v>
      </c>
    </row>
    <row r="30" spans="3:14" hidden="1" x14ac:dyDescent="0.25">
      <c r="C30" t="s">
        <v>106</v>
      </c>
      <c r="E30" s="1" t="s">
        <v>91</v>
      </c>
      <c r="F30" s="1">
        <v>100</v>
      </c>
      <c r="G30" s="1">
        <v>5.75</v>
      </c>
      <c r="H30" s="1">
        <v>1.1499999999999999</v>
      </c>
      <c r="I30" s="1">
        <v>0.98</v>
      </c>
      <c r="J30" s="1">
        <f t="shared" si="0"/>
        <v>7.88</v>
      </c>
    </row>
    <row r="31" spans="3:14" hidden="1" x14ac:dyDescent="0.25">
      <c r="C31" t="s">
        <v>107</v>
      </c>
      <c r="E31" s="1" t="s">
        <v>22</v>
      </c>
      <c r="F31" s="1">
        <v>100</v>
      </c>
      <c r="G31" s="1">
        <v>8.0500000000000007</v>
      </c>
      <c r="H31" s="1">
        <v>1.73</v>
      </c>
      <c r="I31" s="1">
        <v>0.69</v>
      </c>
      <c r="J31" s="1">
        <f t="shared" si="0"/>
        <v>10.47</v>
      </c>
    </row>
    <row r="32" spans="3:14" hidden="1" x14ac:dyDescent="0.25">
      <c r="C32" s="1" t="s">
        <v>108</v>
      </c>
      <c r="E32" s="1" t="s">
        <v>22</v>
      </c>
      <c r="G32" s="1">
        <v>16.559999999999999</v>
      </c>
      <c r="H32" s="1">
        <v>17.649999999999999</v>
      </c>
      <c r="I32" s="1">
        <v>4.95</v>
      </c>
      <c r="J32" s="1">
        <f t="shared" si="0"/>
        <v>39.159999999999997</v>
      </c>
      <c r="K32" s="1">
        <f>G32*F32</f>
        <v>0</v>
      </c>
      <c r="L32" s="1">
        <f>H32*F32</f>
        <v>0</v>
      </c>
      <c r="M32" s="1">
        <f>I32*F32</f>
        <v>0</v>
      </c>
      <c r="N32" s="1">
        <f>M32+L32+K32</f>
        <v>0</v>
      </c>
    </row>
    <row r="33" spans="1:14" ht="17.25" hidden="1" customHeight="1" x14ac:dyDescent="0.25">
      <c r="C33" s="1" t="s">
        <v>109</v>
      </c>
      <c r="E33" s="1" t="s">
        <v>22</v>
      </c>
      <c r="G33" s="1">
        <v>2.0499999999999998</v>
      </c>
      <c r="H33" s="1">
        <v>120</v>
      </c>
      <c r="I33" s="1">
        <v>0.25</v>
      </c>
      <c r="J33" s="1">
        <f t="shared" si="0"/>
        <v>122.3</v>
      </c>
    </row>
    <row r="34" spans="1:14" ht="15.75" hidden="1" customHeight="1" x14ac:dyDescent="0.25">
      <c r="A34" s="1">
        <f>N84</f>
        <v>164104.19</v>
      </c>
      <c r="C34" s="1" t="s">
        <v>110</v>
      </c>
      <c r="D34" s="36" t="s">
        <v>111</v>
      </c>
      <c r="E34" s="37"/>
      <c r="F34" s="37"/>
      <c r="G34" s="1">
        <v>38.5</v>
      </c>
      <c r="H34" s="1">
        <v>115</v>
      </c>
      <c r="I34" s="1">
        <v>22.5</v>
      </c>
      <c r="J34" s="1">
        <f t="shared" si="0"/>
        <v>176</v>
      </c>
    </row>
    <row r="35" spans="1:14" hidden="1" x14ac:dyDescent="0.25">
      <c r="C35" s="1" t="s">
        <v>112</v>
      </c>
      <c r="D35" s="37"/>
      <c r="E35" s="37"/>
      <c r="F35" s="37"/>
      <c r="G35" s="1">
        <v>38.5</v>
      </c>
      <c r="H35" s="1">
        <v>132.5</v>
      </c>
      <c r="I35" s="1">
        <v>22.5</v>
      </c>
      <c r="J35" s="1">
        <f t="shared" si="0"/>
        <v>193.5</v>
      </c>
    </row>
    <row r="36" spans="1:14" hidden="1" x14ac:dyDescent="0.25">
      <c r="C36" s="1" t="s">
        <v>113</v>
      </c>
      <c r="E36" s="1" t="s">
        <v>22</v>
      </c>
      <c r="G36" s="1">
        <v>4.05</v>
      </c>
      <c r="H36" s="1">
        <v>90</v>
      </c>
      <c r="I36" s="1">
        <v>1.35</v>
      </c>
      <c r="J36" s="1">
        <f t="shared" si="0"/>
        <v>95.4</v>
      </c>
    </row>
    <row r="37" spans="1:14" ht="17.25" hidden="1" customHeight="1" x14ac:dyDescent="0.25">
      <c r="C37" s="1" t="s">
        <v>114</v>
      </c>
      <c r="E37" s="1" t="s">
        <v>22</v>
      </c>
      <c r="G37" s="1">
        <v>0.35</v>
      </c>
      <c r="H37" s="1">
        <v>0.89</v>
      </c>
      <c r="I37" s="1">
        <v>0.08</v>
      </c>
      <c r="J37" s="1">
        <f t="shared" si="0"/>
        <v>1.32</v>
      </c>
    </row>
    <row r="38" spans="1:14" hidden="1" x14ac:dyDescent="0.25">
      <c r="C38" s="1" t="s">
        <v>115</v>
      </c>
      <c r="E38" s="1" t="s">
        <v>22</v>
      </c>
      <c r="G38" s="1">
        <v>0.35</v>
      </c>
      <c r="H38" s="1">
        <v>4.55</v>
      </c>
      <c r="I38" s="1">
        <v>0.08</v>
      </c>
      <c r="J38" s="1">
        <f t="shared" si="0"/>
        <v>4.9800000000000004</v>
      </c>
    </row>
    <row r="39" spans="1:14" hidden="1" x14ac:dyDescent="0.25">
      <c r="C39" s="1" t="s">
        <v>116</v>
      </c>
      <c r="G39" s="1">
        <v>0.35</v>
      </c>
      <c r="H39" s="1">
        <v>3.54</v>
      </c>
      <c r="I39" s="1">
        <v>0.08</v>
      </c>
      <c r="J39" s="1">
        <f t="shared" si="0"/>
        <v>3.97</v>
      </c>
    </row>
    <row r="40" spans="1:14" x14ac:dyDescent="0.25">
      <c r="C40" s="4" t="s">
        <v>117</v>
      </c>
      <c r="J40" s="1">
        <f t="shared" si="0"/>
        <v>0</v>
      </c>
      <c r="K40" s="1">
        <f t="shared" ref="K40:K80" si="1">G40*F40</f>
        <v>0</v>
      </c>
      <c r="L40" s="1">
        <f t="shared" ref="L40:L80" si="2">H40*F40</f>
        <v>0</v>
      </c>
      <c r="M40" s="1">
        <f t="shared" ref="M40:M80" si="3">I40*F40</f>
        <v>0</v>
      </c>
      <c r="N40" s="1">
        <f t="shared" ref="N40:N80" si="4">M40+L40+K40</f>
        <v>0</v>
      </c>
    </row>
    <row r="41" spans="1:14" x14ac:dyDescent="0.25">
      <c r="A41">
        <v>1</v>
      </c>
      <c r="C41" t="s">
        <v>118</v>
      </c>
      <c r="D41">
        <v>60</v>
      </c>
      <c r="E41" t="s">
        <v>22</v>
      </c>
      <c r="F41" s="2">
        <v>2744.55</v>
      </c>
      <c r="G41" s="1">
        <f>$G$36</f>
        <v>4.05</v>
      </c>
      <c r="H41" s="1">
        <f>$H$36*D41/1000</f>
        <v>5.4</v>
      </c>
      <c r="I41" s="1">
        <f>$I$36</f>
        <v>1.35</v>
      </c>
      <c r="J41" s="1">
        <f t="shared" si="0"/>
        <v>10.8</v>
      </c>
      <c r="K41" s="1">
        <f t="shared" si="1"/>
        <v>11115.43</v>
      </c>
      <c r="L41" s="1">
        <f t="shared" si="2"/>
        <v>14820.57</v>
      </c>
      <c r="M41" s="1">
        <f t="shared" si="3"/>
        <v>3705.14</v>
      </c>
      <c r="N41" s="1">
        <f t="shared" si="4"/>
        <v>29641.14</v>
      </c>
    </row>
    <row r="42" spans="1:14" x14ac:dyDescent="0.25">
      <c r="A42">
        <f>+A41+1</f>
        <v>2</v>
      </c>
      <c r="C42" t="s">
        <v>119</v>
      </c>
      <c r="D42">
        <v>45</v>
      </c>
      <c r="E42" t="s">
        <v>22</v>
      </c>
      <c r="F42" s="2">
        <f>+F41</f>
        <v>2744.55</v>
      </c>
      <c r="G42" s="1">
        <f>$G$34*D42/1000</f>
        <v>1.73</v>
      </c>
      <c r="H42" s="1">
        <f>$H$34*D42/1000</f>
        <v>5.18</v>
      </c>
      <c r="I42" s="1">
        <f>$I$34*D42/1000</f>
        <v>1.01</v>
      </c>
      <c r="J42" s="1">
        <f t="shared" si="0"/>
        <v>7.92</v>
      </c>
      <c r="K42" s="1">
        <f t="shared" si="1"/>
        <v>4748.07</v>
      </c>
      <c r="L42" s="1">
        <f t="shared" si="2"/>
        <v>14216.77</v>
      </c>
      <c r="M42" s="1">
        <f t="shared" si="3"/>
        <v>2772</v>
      </c>
      <c r="N42" s="1">
        <f t="shared" si="4"/>
        <v>21736.84</v>
      </c>
    </row>
    <row r="43" spans="1:14" x14ac:dyDescent="0.25">
      <c r="A43">
        <f>+A42+1</f>
        <v>3</v>
      </c>
      <c r="C43" s="4" t="s">
        <v>120</v>
      </c>
      <c r="E43" t="s">
        <v>22</v>
      </c>
      <c r="F43" s="2">
        <f>+F42</f>
        <v>2744.55</v>
      </c>
      <c r="G43" s="1">
        <v>0.35</v>
      </c>
      <c r="H43" s="1">
        <v>2.79</v>
      </c>
      <c r="I43" s="1">
        <v>0.18</v>
      </c>
      <c r="J43" s="1">
        <f t="shared" si="0"/>
        <v>3.32</v>
      </c>
      <c r="K43" s="1">
        <f t="shared" si="1"/>
        <v>960.59</v>
      </c>
      <c r="L43" s="1">
        <f t="shared" si="2"/>
        <v>7657.29</v>
      </c>
      <c r="M43" s="1">
        <f t="shared" si="3"/>
        <v>494.02</v>
      </c>
      <c r="N43" s="1">
        <f t="shared" si="4"/>
        <v>9111.9</v>
      </c>
    </row>
    <row r="44" spans="1:14" x14ac:dyDescent="0.25">
      <c r="A44">
        <f>+A43+1</f>
        <v>4</v>
      </c>
      <c r="C44" t="s">
        <v>121</v>
      </c>
      <c r="E44" t="s">
        <v>22</v>
      </c>
      <c r="F44" s="2">
        <f>+F43</f>
        <v>2744.55</v>
      </c>
      <c r="G44" s="1">
        <f>$G$37</f>
        <v>0.35</v>
      </c>
      <c r="H44" s="1">
        <f>$H$37</f>
        <v>0.89</v>
      </c>
      <c r="I44" s="1">
        <f>$I$37</f>
        <v>0.08</v>
      </c>
      <c r="J44" s="1">
        <f t="shared" si="0"/>
        <v>1.32</v>
      </c>
      <c r="K44" s="1">
        <f t="shared" si="1"/>
        <v>960.59</v>
      </c>
      <c r="L44" s="1">
        <f t="shared" si="2"/>
        <v>2442.65</v>
      </c>
      <c r="M44" s="1">
        <f t="shared" si="3"/>
        <v>219.56</v>
      </c>
      <c r="N44" s="1">
        <f t="shared" si="4"/>
        <v>3622.8</v>
      </c>
    </row>
    <row r="45" spans="1:14" x14ac:dyDescent="0.25">
      <c r="C45" t="s">
        <v>42</v>
      </c>
      <c r="J45" s="1">
        <f t="shared" si="0"/>
        <v>0</v>
      </c>
      <c r="K45" s="1">
        <f t="shared" si="1"/>
        <v>0</v>
      </c>
      <c r="L45" s="1">
        <f t="shared" si="2"/>
        <v>0</v>
      </c>
      <c r="M45" s="1">
        <f t="shared" si="3"/>
        <v>0</v>
      </c>
      <c r="N45" s="1">
        <f t="shared" si="4"/>
        <v>0</v>
      </c>
    </row>
    <row r="46" spans="1:14" x14ac:dyDescent="0.25">
      <c r="A46">
        <f>+A44+1</f>
        <v>5</v>
      </c>
      <c r="C46" t="s">
        <v>122</v>
      </c>
      <c r="D46">
        <v>85</v>
      </c>
      <c r="E46" t="s">
        <v>22</v>
      </c>
      <c r="F46" s="2">
        <v>635.91999999999996</v>
      </c>
      <c r="G46" s="1">
        <f>$G$36</f>
        <v>4.05</v>
      </c>
      <c r="H46" s="1">
        <f>$H$36*D46/1000</f>
        <v>7.65</v>
      </c>
      <c r="I46" s="1">
        <f>$I$36</f>
        <v>1.35</v>
      </c>
      <c r="J46" s="1">
        <f t="shared" si="0"/>
        <v>13.05</v>
      </c>
      <c r="K46" s="1">
        <f t="shared" si="1"/>
        <v>2575.48</v>
      </c>
      <c r="L46" s="1">
        <f t="shared" si="2"/>
        <v>4864.79</v>
      </c>
      <c r="M46" s="1">
        <f t="shared" si="3"/>
        <v>858.49</v>
      </c>
      <c r="N46" s="1">
        <f t="shared" si="4"/>
        <v>8298.76</v>
      </c>
    </row>
    <row r="47" spans="1:14" x14ac:dyDescent="0.25">
      <c r="A47">
        <f>+A46+1</f>
        <v>6</v>
      </c>
      <c r="C47" t="s">
        <v>120</v>
      </c>
      <c r="E47" t="s">
        <v>22</v>
      </c>
      <c r="F47" s="2">
        <f>+F46</f>
        <v>635.91999999999996</v>
      </c>
      <c r="G47" s="1">
        <v>0.35</v>
      </c>
      <c r="H47" s="1">
        <v>2.79</v>
      </c>
      <c r="I47" s="1">
        <v>0.18</v>
      </c>
      <c r="J47" s="1">
        <f t="shared" si="0"/>
        <v>3.32</v>
      </c>
      <c r="K47" s="1">
        <f t="shared" si="1"/>
        <v>222.57</v>
      </c>
      <c r="L47" s="1">
        <f t="shared" si="2"/>
        <v>1774.22</v>
      </c>
      <c r="M47" s="1">
        <f t="shared" si="3"/>
        <v>114.47</v>
      </c>
      <c r="N47" s="1">
        <f t="shared" si="4"/>
        <v>2111.2600000000002</v>
      </c>
    </row>
    <row r="48" spans="1:14" x14ac:dyDescent="0.25">
      <c r="C48" s="4" t="s">
        <v>123</v>
      </c>
      <c r="J48" s="1">
        <f t="shared" si="0"/>
        <v>0</v>
      </c>
      <c r="K48" s="1">
        <f t="shared" si="1"/>
        <v>0</v>
      </c>
      <c r="L48" s="1">
        <f t="shared" si="2"/>
        <v>0</v>
      </c>
      <c r="M48" s="1">
        <f t="shared" si="3"/>
        <v>0</v>
      </c>
      <c r="N48" s="1">
        <f t="shared" si="4"/>
        <v>0</v>
      </c>
    </row>
    <row r="49" spans="1:14" x14ac:dyDescent="0.25">
      <c r="A49">
        <f>+A46+1</f>
        <v>6</v>
      </c>
      <c r="C49" t="s">
        <v>118</v>
      </c>
      <c r="D49">
        <v>60</v>
      </c>
      <c r="E49" t="s">
        <v>22</v>
      </c>
      <c r="F49" s="2">
        <v>390.1</v>
      </c>
      <c r="G49" s="1">
        <f>$G$36</f>
        <v>4.05</v>
      </c>
      <c r="H49" s="1">
        <f>$H$36*D49/1000</f>
        <v>5.4</v>
      </c>
      <c r="I49" s="1">
        <f>$I$36</f>
        <v>1.35</v>
      </c>
      <c r="J49" s="1">
        <f t="shared" si="0"/>
        <v>10.8</v>
      </c>
      <c r="K49" s="1">
        <f t="shared" si="1"/>
        <v>1579.91</v>
      </c>
      <c r="L49" s="1">
        <f t="shared" si="2"/>
        <v>2106.54</v>
      </c>
      <c r="M49" s="1">
        <f t="shared" si="3"/>
        <v>526.64</v>
      </c>
      <c r="N49" s="1">
        <f t="shared" si="4"/>
        <v>4213.09</v>
      </c>
    </row>
    <row r="50" spans="1:14" x14ac:dyDescent="0.25">
      <c r="A50">
        <f>+A49+1</f>
        <v>7</v>
      </c>
      <c r="C50" t="s">
        <v>119</v>
      </c>
      <c r="D50">
        <v>45</v>
      </c>
      <c r="E50" t="s">
        <v>22</v>
      </c>
      <c r="F50" s="2">
        <f>+F49</f>
        <v>390.1</v>
      </c>
      <c r="G50" s="1">
        <f>$G$34*D50/1000</f>
        <v>1.73</v>
      </c>
      <c r="H50" s="1">
        <f>$H$34*D50/1000</f>
        <v>5.18</v>
      </c>
      <c r="I50" s="1">
        <f>$I$34*D50/1000</f>
        <v>1.01</v>
      </c>
      <c r="J50" s="1">
        <f t="shared" ref="J50:J80" si="5">I50+H50+G50</f>
        <v>7.92</v>
      </c>
      <c r="K50" s="1">
        <f t="shared" si="1"/>
        <v>674.87</v>
      </c>
      <c r="L50" s="1">
        <f t="shared" si="2"/>
        <v>2020.72</v>
      </c>
      <c r="M50" s="1">
        <f t="shared" si="3"/>
        <v>394</v>
      </c>
      <c r="N50" s="1">
        <f t="shared" si="4"/>
        <v>3089.59</v>
      </c>
    </row>
    <row r="51" spans="1:14" x14ac:dyDescent="0.25">
      <c r="A51">
        <f>+A50+1</f>
        <v>8</v>
      </c>
      <c r="C51" s="4" t="s">
        <v>120</v>
      </c>
      <c r="E51" t="s">
        <v>22</v>
      </c>
      <c r="F51" s="2">
        <f>+F50</f>
        <v>390.1</v>
      </c>
      <c r="G51" s="1">
        <v>0.35</v>
      </c>
      <c r="H51" s="1">
        <v>2.79</v>
      </c>
      <c r="I51" s="1">
        <v>0.18</v>
      </c>
      <c r="J51" s="1">
        <f t="shared" si="5"/>
        <v>3.32</v>
      </c>
      <c r="K51" s="1">
        <f t="shared" si="1"/>
        <v>136.54</v>
      </c>
      <c r="L51" s="1">
        <f t="shared" si="2"/>
        <v>1088.3800000000001</v>
      </c>
      <c r="M51" s="1">
        <f t="shared" si="3"/>
        <v>70.22</v>
      </c>
      <c r="N51" s="1">
        <f t="shared" si="4"/>
        <v>1295.1400000000001</v>
      </c>
    </row>
    <row r="52" spans="1:14" x14ac:dyDescent="0.25">
      <c r="A52">
        <f>+A51+1</f>
        <v>9</v>
      </c>
      <c r="C52" t="s">
        <v>121</v>
      </c>
      <c r="E52" t="s">
        <v>22</v>
      </c>
      <c r="F52" s="2">
        <f>+F51</f>
        <v>390.1</v>
      </c>
      <c r="G52" s="1">
        <f>$G$37</f>
        <v>0.35</v>
      </c>
      <c r="H52" s="1">
        <f>$H$37</f>
        <v>0.89</v>
      </c>
      <c r="I52" s="1">
        <f>$I$37</f>
        <v>0.08</v>
      </c>
      <c r="J52" s="1">
        <f t="shared" si="5"/>
        <v>1.32</v>
      </c>
      <c r="K52" s="1">
        <f t="shared" si="1"/>
        <v>136.54</v>
      </c>
      <c r="L52" s="1">
        <f t="shared" si="2"/>
        <v>347.19</v>
      </c>
      <c r="M52" s="1">
        <f t="shared" si="3"/>
        <v>31.21</v>
      </c>
      <c r="N52" s="1">
        <f t="shared" si="4"/>
        <v>514.94000000000005</v>
      </c>
    </row>
    <row r="53" spans="1:14" x14ac:dyDescent="0.25">
      <c r="C53" t="s">
        <v>124</v>
      </c>
      <c r="J53" s="1">
        <f t="shared" si="5"/>
        <v>0</v>
      </c>
      <c r="K53" s="1">
        <f t="shared" si="1"/>
        <v>0</v>
      </c>
      <c r="L53" s="1">
        <f t="shared" si="2"/>
        <v>0</v>
      </c>
      <c r="M53" s="1">
        <f t="shared" si="3"/>
        <v>0</v>
      </c>
      <c r="N53" s="1">
        <f t="shared" si="4"/>
        <v>0</v>
      </c>
    </row>
    <row r="54" spans="1:14" x14ac:dyDescent="0.25">
      <c r="A54">
        <f>+A47+1</f>
        <v>7</v>
      </c>
      <c r="C54" t="s">
        <v>125</v>
      </c>
      <c r="D54">
        <v>60</v>
      </c>
      <c r="E54" t="s">
        <v>22</v>
      </c>
      <c r="F54" s="3">
        <v>22.28</v>
      </c>
      <c r="G54" s="1">
        <f>$G$36</f>
        <v>4.05</v>
      </c>
      <c r="H54" s="1">
        <f>$H$36*D54/1000</f>
        <v>5.4</v>
      </c>
      <c r="I54" s="1">
        <f>$I$36</f>
        <v>1.35</v>
      </c>
      <c r="J54" s="1">
        <f t="shared" si="5"/>
        <v>10.8</v>
      </c>
      <c r="K54" s="1">
        <f t="shared" si="1"/>
        <v>90.23</v>
      </c>
      <c r="L54" s="1">
        <f t="shared" si="2"/>
        <v>120.31</v>
      </c>
      <c r="M54" s="1">
        <f t="shared" si="3"/>
        <v>30.08</v>
      </c>
      <c r="N54" s="1">
        <f t="shared" si="4"/>
        <v>240.62</v>
      </c>
    </row>
    <row r="55" spans="1:14" x14ac:dyDescent="0.25">
      <c r="A55">
        <f>+A54+1</f>
        <v>8</v>
      </c>
      <c r="C55" t="s">
        <v>119</v>
      </c>
      <c r="D55">
        <v>45</v>
      </c>
      <c r="E55" t="s">
        <v>22</v>
      </c>
      <c r="F55" s="2">
        <f>+F54</f>
        <v>22.28</v>
      </c>
      <c r="G55" s="1">
        <f>$G$34*D55/1000</f>
        <v>1.73</v>
      </c>
      <c r="H55" s="1">
        <f>$H$34*D55/1000</f>
        <v>5.18</v>
      </c>
      <c r="I55" s="1">
        <f>$I$34*D55/1000</f>
        <v>1.01</v>
      </c>
      <c r="J55" s="1">
        <f t="shared" si="5"/>
        <v>7.92</v>
      </c>
      <c r="K55" s="1">
        <f t="shared" si="1"/>
        <v>38.54</v>
      </c>
      <c r="L55" s="1">
        <f t="shared" si="2"/>
        <v>115.41</v>
      </c>
      <c r="M55" s="1">
        <f t="shared" si="3"/>
        <v>22.5</v>
      </c>
      <c r="N55" s="1">
        <f t="shared" si="4"/>
        <v>176.45</v>
      </c>
    </row>
    <row r="56" spans="1:14" x14ac:dyDescent="0.25">
      <c r="A56">
        <f>+A55+1</f>
        <v>9</v>
      </c>
      <c r="C56" s="4" t="s">
        <v>120</v>
      </c>
      <c r="E56" t="s">
        <v>22</v>
      </c>
      <c r="F56" s="2">
        <f>+F55</f>
        <v>22.28</v>
      </c>
      <c r="G56" s="1">
        <v>0.35</v>
      </c>
      <c r="H56" s="1">
        <v>2.79</v>
      </c>
      <c r="I56" s="1">
        <v>0.18</v>
      </c>
      <c r="J56" s="1">
        <f t="shared" si="5"/>
        <v>3.32</v>
      </c>
      <c r="K56" s="1">
        <f t="shared" si="1"/>
        <v>7.8</v>
      </c>
      <c r="L56" s="1">
        <f t="shared" si="2"/>
        <v>62.16</v>
      </c>
      <c r="M56" s="1">
        <f t="shared" si="3"/>
        <v>4.01</v>
      </c>
      <c r="N56" s="1">
        <f t="shared" si="4"/>
        <v>73.97</v>
      </c>
    </row>
    <row r="57" spans="1:14" x14ac:dyDescent="0.25">
      <c r="A57">
        <f>+A56+1</f>
        <v>10</v>
      </c>
      <c r="C57" t="s">
        <v>121</v>
      </c>
      <c r="E57" t="s">
        <v>22</v>
      </c>
      <c r="F57" s="2">
        <f>+F56</f>
        <v>22.28</v>
      </c>
      <c r="G57" s="1">
        <f>$G$37</f>
        <v>0.35</v>
      </c>
      <c r="H57" s="1">
        <f>$H$37</f>
        <v>0.89</v>
      </c>
      <c r="I57" s="1">
        <f>$I$37</f>
        <v>0.08</v>
      </c>
      <c r="J57" s="1">
        <f t="shared" si="5"/>
        <v>1.32</v>
      </c>
      <c r="K57" s="1">
        <f t="shared" si="1"/>
        <v>7.8</v>
      </c>
      <c r="L57" s="1">
        <f t="shared" si="2"/>
        <v>19.829999999999998</v>
      </c>
      <c r="M57" s="1">
        <f t="shared" si="3"/>
        <v>1.78</v>
      </c>
      <c r="N57" s="1">
        <f t="shared" si="4"/>
        <v>29.41</v>
      </c>
    </row>
    <row r="58" spans="1:14" x14ac:dyDescent="0.25">
      <c r="C58" t="s">
        <v>44</v>
      </c>
      <c r="J58" s="1">
        <f t="shared" si="5"/>
        <v>0</v>
      </c>
      <c r="K58" s="1">
        <f t="shared" si="1"/>
        <v>0</v>
      </c>
      <c r="L58" s="1">
        <f t="shared" si="2"/>
        <v>0</v>
      </c>
      <c r="M58" s="1">
        <f t="shared" si="3"/>
        <v>0</v>
      </c>
      <c r="N58" s="1">
        <f t="shared" si="4"/>
        <v>0</v>
      </c>
    </row>
    <row r="59" spans="1:14" x14ac:dyDescent="0.25">
      <c r="A59">
        <f>+A57+1</f>
        <v>11</v>
      </c>
      <c r="C59" t="s">
        <v>126</v>
      </c>
      <c r="D59">
        <v>120</v>
      </c>
      <c r="E59" t="s">
        <v>22</v>
      </c>
      <c r="F59" s="3">
        <v>32.46</v>
      </c>
      <c r="G59" s="1">
        <f>$G$36</f>
        <v>4.05</v>
      </c>
      <c r="H59" s="1">
        <f>$H$36*D59/1000</f>
        <v>10.8</v>
      </c>
      <c r="I59" s="1">
        <f>$I$36</f>
        <v>1.35</v>
      </c>
      <c r="J59" s="1">
        <f t="shared" si="5"/>
        <v>16.2</v>
      </c>
      <c r="K59" s="1">
        <f t="shared" si="1"/>
        <v>131.46</v>
      </c>
      <c r="L59" s="1">
        <f t="shared" si="2"/>
        <v>350.57</v>
      </c>
      <c r="M59" s="1">
        <f t="shared" si="3"/>
        <v>43.82</v>
      </c>
      <c r="N59" s="1">
        <f t="shared" si="4"/>
        <v>525.85</v>
      </c>
    </row>
    <row r="60" spans="1:14" x14ac:dyDescent="0.25">
      <c r="C60" s="4" t="s">
        <v>46</v>
      </c>
      <c r="J60" s="1">
        <f t="shared" si="5"/>
        <v>0</v>
      </c>
      <c r="K60" s="1">
        <f t="shared" si="1"/>
        <v>0</v>
      </c>
      <c r="L60" s="1">
        <f t="shared" si="2"/>
        <v>0</v>
      </c>
      <c r="M60" s="1">
        <f t="shared" si="3"/>
        <v>0</v>
      </c>
      <c r="N60" s="1">
        <f t="shared" si="4"/>
        <v>0</v>
      </c>
    </row>
    <row r="61" spans="1:14" x14ac:dyDescent="0.25">
      <c r="A61">
        <f>+A59+1</f>
        <v>12</v>
      </c>
      <c r="C61" t="s">
        <v>127</v>
      </c>
      <c r="D61">
        <v>70</v>
      </c>
      <c r="E61" t="s">
        <v>22</v>
      </c>
      <c r="F61" s="2">
        <v>1496.26</v>
      </c>
      <c r="G61" s="1">
        <f>$G$36</f>
        <v>4.05</v>
      </c>
      <c r="H61" s="1">
        <f>$H$36*D61/1000</f>
        <v>6.3</v>
      </c>
      <c r="I61" s="1">
        <f>$I$36</f>
        <v>1.35</v>
      </c>
      <c r="J61" s="1">
        <f t="shared" si="5"/>
        <v>11.7</v>
      </c>
      <c r="K61" s="1">
        <f t="shared" si="1"/>
        <v>6059.85</v>
      </c>
      <c r="L61" s="1">
        <f t="shared" si="2"/>
        <v>9426.44</v>
      </c>
      <c r="M61" s="1">
        <f t="shared" si="3"/>
        <v>2019.95</v>
      </c>
      <c r="N61" s="1">
        <f t="shared" si="4"/>
        <v>17506.240000000002</v>
      </c>
    </row>
    <row r="62" spans="1:14" x14ac:dyDescent="0.25">
      <c r="A62">
        <v>13</v>
      </c>
      <c r="C62" t="s">
        <v>128</v>
      </c>
      <c r="D62">
        <v>25</v>
      </c>
      <c r="E62" t="s">
        <v>22</v>
      </c>
      <c r="F62" s="2">
        <f>F61</f>
        <v>1496.26</v>
      </c>
      <c r="G62" s="1">
        <v>1.75</v>
      </c>
      <c r="H62" s="1">
        <v>1.32</v>
      </c>
      <c r="I62" s="1">
        <v>0.35</v>
      </c>
      <c r="J62" s="1">
        <f t="shared" si="5"/>
        <v>3.42</v>
      </c>
      <c r="K62" s="1">
        <f t="shared" si="1"/>
        <v>2618.46</v>
      </c>
      <c r="L62" s="1">
        <f t="shared" si="2"/>
        <v>1975.06</v>
      </c>
      <c r="M62" s="1">
        <f t="shared" si="3"/>
        <v>523.69000000000005</v>
      </c>
      <c r="N62" s="1">
        <f t="shared" si="4"/>
        <v>5117.21</v>
      </c>
    </row>
    <row r="63" spans="1:14" x14ac:dyDescent="0.25">
      <c r="A63">
        <v>14</v>
      </c>
      <c r="C63" t="s">
        <v>129</v>
      </c>
      <c r="D63">
        <v>150</v>
      </c>
      <c r="E63" t="s">
        <v>22</v>
      </c>
      <c r="F63" s="2">
        <f>+F61</f>
        <v>1496.26</v>
      </c>
      <c r="G63" s="1">
        <f>$G$33</f>
        <v>2.0499999999999998</v>
      </c>
      <c r="H63" s="1">
        <f>$H$33*D63/1000</f>
        <v>18</v>
      </c>
      <c r="I63" s="1">
        <f>$I$33</f>
        <v>0.25</v>
      </c>
      <c r="J63" s="1">
        <f t="shared" si="5"/>
        <v>20.3</v>
      </c>
      <c r="K63" s="1">
        <f t="shared" si="1"/>
        <v>3067.33</v>
      </c>
      <c r="L63" s="1">
        <f t="shared" si="2"/>
        <v>26932.68</v>
      </c>
      <c r="M63" s="1">
        <f t="shared" si="3"/>
        <v>374.07</v>
      </c>
      <c r="N63" s="1">
        <f t="shared" si="4"/>
        <v>30374.080000000002</v>
      </c>
    </row>
    <row r="64" spans="1:14" x14ac:dyDescent="0.25">
      <c r="A64">
        <f>+A63+1</f>
        <v>15</v>
      </c>
      <c r="C64" t="s">
        <v>130</v>
      </c>
      <c r="E64" t="s">
        <v>22</v>
      </c>
      <c r="F64" s="2">
        <f>+F63</f>
        <v>1496.26</v>
      </c>
      <c r="G64" s="1">
        <f>$G$37</f>
        <v>0.35</v>
      </c>
      <c r="H64" s="1">
        <f>$H$37</f>
        <v>0.89</v>
      </c>
      <c r="I64" s="1">
        <f>$I$37</f>
        <v>0.08</v>
      </c>
      <c r="J64" s="1">
        <f t="shared" si="5"/>
        <v>1.32</v>
      </c>
      <c r="K64" s="1">
        <f t="shared" si="1"/>
        <v>523.69000000000005</v>
      </c>
      <c r="L64" s="1">
        <f t="shared" si="2"/>
        <v>1331.67</v>
      </c>
      <c r="M64" s="1">
        <f t="shared" si="3"/>
        <v>119.7</v>
      </c>
      <c r="N64" s="1">
        <f t="shared" si="4"/>
        <v>1975.06</v>
      </c>
    </row>
    <row r="65" spans="1:14" x14ac:dyDescent="0.25">
      <c r="C65" s="4" t="s">
        <v>48</v>
      </c>
      <c r="J65" s="1">
        <f t="shared" si="5"/>
        <v>0</v>
      </c>
      <c r="K65" s="1">
        <f t="shared" si="1"/>
        <v>0</v>
      </c>
      <c r="L65" s="1">
        <f t="shared" si="2"/>
        <v>0</v>
      </c>
      <c r="M65" s="1">
        <f t="shared" si="3"/>
        <v>0</v>
      </c>
      <c r="N65" s="1">
        <f t="shared" si="4"/>
        <v>0</v>
      </c>
    </row>
    <row r="66" spans="1:14" x14ac:dyDescent="0.25">
      <c r="A66">
        <f>+A64+1</f>
        <v>16</v>
      </c>
      <c r="C66" t="s">
        <v>131</v>
      </c>
      <c r="D66">
        <v>55</v>
      </c>
      <c r="E66" t="s">
        <v>22</v>
      </c>
      <c r="F66" s="2">
        <v>404.16</v>
      </c>
      <c r="G66" s="1">
        <f>$G$36</f>
        <v>4.05</v>
      </c>
      <c r="H66" s="1">
        <f>$H$36*D66/1000</f>
        <v>4.95</v>
      </c>
      <c r="I66" s="1">
        <f>$I$36</f>
        <v>1.35</v>
      </c>
      <c r="J66" s="1">
        <f t="shared" si="5"/>
        <v>10.35</v>
      </c>
      <c r="K66" s="1">
        <f t="shared" si="1"/>
        <v>1636.85</v>
      </c>
      <c r="L66" s="1">
        <f t="shared" si="2"/>
        <v>2000.59</v>
      </c>
      <c r="M66" s="1">
        <f t="shared" si="3"/>
        <v>545.62</v>
      </c>
      <c r="N66" s="1">
        <f t="shared" si="4"/>
        <v>4183.0600000000004</v>
      </c>
    </row>
    <row r="67" spans="1:14" x14ac:dyDescent="0.25">
      <c r="A67">
        <v>17</v>
      </c>
      <c r="C67" t="s">
        <v>128</v>
      </c>
      <c r="D67">
        <v>25</v>
      </c>
      <c r="E67" t="s">
        <v>22</v>
      </c>
      <c r="F67" s="2">
        <f>F66</f>
        <v>404.16</v>
      </c>
      <c r="G67" s="1">
        <v>1.75</v>
      </c>
      <c r="H67" s="1">
        <v>1.32</v>
      </c>
      <c r="I67" s="1">
        <v>0.35</v>
      </c>
      <c r="J67" s="1">
        <f t="shared" si="5"/>
        <v>3.42</v>
      </c>
      <c r="K67" s="1">
        <f t="shared" si="1"/>
        <v>707.28</v>
      </c>
      <c r="L67" s="1">
        <f t="shared" si="2"/>
        <v>533.49</v>
      </c>
      <c r="M67" s="1">
        <f t="shared" si="3"/>
        <v>141.46</v>
      </c>
      <c r="N67" s="1">
        <f t="shared" si="4"/>
        <v>1382.23</v>
      </c>
    </row>
    <row r="68" spans="1:14" x14ac:dyDescent="0.25">
      <c r="A68">
        <v>18</v>
      </c>
      <c r="C68" t="s">
        <v>129</v>
      </c>
      <c r="D68">
        <v>150</v>
      </c>
      <c r="E68" t="s">
        <v>22</v>
      </c>
      <c r="F68" s="2">
        <f>+F66</f>
        <v>404.16</v>
      </c>
      <c r="G68" s="1">
        <f>$G$33</f>
        <v>2.0499999999999998</v>
      </c>
      <c r="H68" s="1">
        <f>$H$33*D68/1000</f>
        <v>18</v>
      </c>
      <c r="I68" s="1">
        <f>$I$33</f>
        <v>0.25</v>
      </c>
      <c r="J68" s="1">
        <f t="shared" si="5"/>
        <v>20.3</v>
      </c>
      <c r="K68" s="1">
        <f t="shared" si="1"/>
        <v>828.53</v>
      </c>
      <c r="L68" s="1">
        <f t="shared" si="2"/>
        <v>7274.88</v>
      </c>
      <c r="M68" s="1">
        <f t="shared" si="3"/>
        <v>101.04</v>
      </c>
      <c r="N68" s="1">
        <f t="shared" si="4"/>
        <v>8204.4500000000007</v>
      </c>
    </row>
    <row r="69" spans="1:14" x14ac:dyDescent="0.25">
      <c r="A69">
        <f>+A68+1</f>
        <v>19</v>
      </c>
      <c r="C69" t="s">
        <v>130</v>
      </c>
      <c r="E69" t="s">
        <v>22</v>
      </c>
      <c r="F69" s="2">
        <f>+F68</f>
        <v>404.16</v>
      </c>
      <c r="G69" s="1">
        <f>$G$37</f>
        <v>0.35</v>
      </c>
      <c r="H69" s="1">
        <f>$H$37</f>
        <v>0.89</v>
      </c>
      <c r="I69" s="1">
        <f>$I$37</f>
        <v>0.08</v>
      </c>
      <c r="J69" s="1">
        <f t="shared" si="5"/>
        <v>1.32</v>
      </c>
      <c r="K69" s="1">
        <f t="shared" si="1"/>
        <v>141.46</v>
      </c>
      <c r="L69" s="1">
        <f t="shared" si="2"/>
        <v>359.7</v>
      </c>
      <c r="M69" s="1">
        <f t="shared" si="3"/>
        <v>32.33</v>
      </c>
      <c r="N69" s="1">
        <f t="shared" si="4"/>
        <v>533.49</v>
      </c>
    </row>
    <row r="70" spans="1:14" x14ac:dyDescent="0.25">
      <c r="C70" s="4" t="s">
        <v>51</v>
      </c>
      <c r="J70" s="1">
        <f t="shared" si="5"/>
        <v>0</v>
      </c>
      <c r="K70" s="1">
        <f t="shared" si="1"/>
        <v>0</v>
      </c>
      <c r="L70" s="1">
        <f t="shared" si="2"/>
        <v>0</v>
      </c>
      <c r="M70" s="1">
        <f t="shared" si="3"/>
        <v>0</v>
      </c>
      <c r="N70" s="1">
        <f t="shared" si="4"/>
        <v>0</v>
      </c>
    </row>
    <row r="71" spans="1:14" x14ac:dyDescent="0.25">
      <c r="A71">
        <f>+A69+1</f>
        <v>20</v>
      </c>
      <c r="C71" s="4" t="s">
        <v>49</v>
      </c>
      <c r="D71" s="4" t="s">
        <v>50</v>
      </c>
      <c r="E71" t="s">
        <v>22</v>
      </c>
      <c r="F71" s="2">
        <v>25.82</v>
      </c>
      <c r="G71" s="1">
        <f>$G$13*2</f>
        <v>14.3</v>
      </c>
      <c r="H71" s="1">
        <f>$H$13*D71/1000*3</f>
        <v>33.979999999999997</v>
      </c>
      <c r="I71" s="1">
        <f>$I$13*2.5</f>
        <v>10.38</v>
      </c>
      <c r="J71" s="1">
        <f t="shared" si="5"/>
        <v>58.66</v>
      </c>
      <c r="K71" s="1">
        <f t="shared" si="1"/>
        <v>369.23</v>
      </c>
      <c r="L71" s="1">
        <f t="shared" si="2"/>
        <v>877.36</v>
      </c>
      <c r="M71" s="1">
        <f t="shared" si="3"/>
        <v>268.01</v>
      </c>
      <c r="N71" s="1">
        <f t="shared" si="4"/>
        <v>1514.6</v>
      </c>
    </row>
    <row r="72" spans="1:14" x14ac:dyDescent="0.25">
      <c r="A72">
        <v>21</v>
      </c>
      <c r="C72" t="s">
        <v>128</v>
      </c>
      <c r="D72">
        <v>25</v>
      </c>
      <c r="E72" t="s">
        <v>22</v>
      </c>
      <c r="F72" s="2">
        <f>F71</f>
        <v>25.82</v>
      </c>
      <c r="G72" s="1">
        <v>1.75</v>
      </c>
      <c r="H72" s="1">
        <v>1.32</v>
      </c>
      <c r="I72" s="1">
        <v>0.35</v>
      </c>
      <c r="J72" s="1">
        <f t="shared" si="5"/>
        <v>3.42</v>
      </c>
      <c r="K72" s="1">
        <f t="shared" si="1"/>
        <v>45.19</v>
      </c>
      <c r="L72" s="1">
        <f t="shared" si="2"/>
        <v>34.08</v>
      </c>
      <c r="M72" s="1">
        <f t="shared" si="3"/>
        <v>9.0399999999999991</v>
      </c>
      <c r="N72" s="1">
        <f t="shared" si="4"/>
        <v>88.31</v>
      </c>
    </row>
    <row r="73" spans="1:14" x14ac:dyDescent="0.25">
      <c r="A73">
        <v>22</v>
      </c>
      <c r="C73" t="s">
        <v>129</v>
      </c>
      <c r="D73">
        <v>150</v>
      </c>
      <c r="E73" t="s">
        <v>22</v>
      </c>
      <c r="F73" s="2">
        <f>+F71</f>
        <v>25.82</v>
      </c>
      <c r="G73" s="1">
        <f>$G$33</f>
        <v>2.0499999999999998</v>
      </c>
      <c r="H73" s="1">
        <f>$H$33*D73/1000</f>
        <v>18</v>
      </c>
      <c r="I73" s="1">
        <f>$I$33</f>
        <v>0.25</v>
      </c>
      <c r="J73" s="1">
        <f t="shared" si="5"/>
        <v>20.3</v>
      </c>
      <c r="K73" s="1">
        <f t="shared" si="1"/>
        <v>52.93</v>
      </c>
      <c r="L73" s="1">
        <f t="shared" si="2"/>
        <v>464.76</v>
      </c>
      <c r="M73" s="1">
        <f t="shared" si="3"/>
        <v>6.46</v>
      </c>
      <c r="N73" s="1">
        <f t="shared" si="4"/>
        <v>524.15</v>
      </c>
    </row>
    <row r="74" spans="1:14" x14ac:dyDescent="0.25">
      <c r="A74">
        <f>+A73+1</f>
        <v>23</v>
      </c>
      <c r="C74" t="s">
        <v>130</v>
      </c>
      <c r="E74" t="s">
        <v>22</v>
      </c>
      <c r="F74" s="2">
        <f>+F73</f>
        <v>25.82</v>
      </c>
      <c r="G74" s="1">
        <f>$G$37</f>
        <v>0.35</v>
      </c>
      <c r="H74" s="1">
        <f>$H$37</f>
        <v>0.89</v>
      </c>
      <c r="I74" s="1">
        <f>$I$37</f>
        <v>0.08</v>
      </c>
      <c r="J74" s="1">
        <f t="shared" si="5"/>
        <v>1.32</v>
      </c>
      <c r="K74" s="1">
        <f t="shared" si="1"/>
        <v>9.0399999999999991</v>
      </c>
      <c r="L74" s="1">
        <f t="shared" si="2"/>
        <v>22.98</v>
      </c>
      <c r="M74" s="1">
        <f t="shared" si="3"/>
        <v>2.0699999999999998</v>
      </c>
      <c r="N74" s="1">
        <f t="shared" si="4"/>
        <v>34.090000000000003</v>
      </c>
    </row>
    <row r="75" spans="1:14" x14ac:dyDescent="0.25">
      <c r="C75" s="4" t="s">
        <v>132</v>
      </c>
      <c r="J75" s="1">
        <f t="shared" si="5"/>
        <v>0</v>
      </c>
      <c r="K75" s="1">
        <f t="shared" si="1"/>
        <v>0</v>
      </c>
      <c r="L75" s="1">
        <f t="shared" si="2"/>
        <v>0</v>
      </c>
      <c r="M75" s="1">
        <f t="shared" si="3"/>
        <v>0</v>
      </c>
      <c r="N75" s="1">
        <f t="shared" si="4"/>
        <v>0</v>
      </c>
    </row>
    <row r="76" spans="1:14" x14ac:dyDescent="0.25">
      <c r="A76">
        <f>+A74+1</f>
        <v>24</v>
      </c>
      <c r="C76" t="s">
        <v>133</v>
      </c>
      <c r="D76">
        <v>60</v>
      </c>
      <c r="E76" t="s">
        <v>22</v>
      </c>
      <c r="F76" s="3">
        <v>4.7699999999999996</v>
      </c>
      <c r="G76" s="1">
        <f>$G$36</f>
        <v>4.05</v>
      </c>
      <c r="H76" s="1">
        <f>$H$36*D76/1000</f>
        <v>5.4</v>
      </c>
      <c r="I76" s="1">
        <f>$I$36</f>
        <v>1.35</v>
      </c>
      <c r="J76" s="1">
        <f t="shared" si="5"/>
        <v>10.8</v>
      </c>
      <c r="K76" s="1">
        <f t="shared" si="1"/>
        <v>19.32</v>
      </c>
      <c r="L76" s="1">
        <f t="shared" si="2"/>
        <v>25.76</v>
      </c>
      <c r="M76" s="1">
        <f t="shared" si="3"/>
        <v>6.44</v>
      </c>
      <c r="N76" s="1">
        <f t="shared" si="4"/>
        <v>51.52</v>
      </c>
    </row>
    <row r="77" spans="1:14" x14ac:dyDescent="0.25">
      <c r="A77">
        <v>25</v>
      </c>
      <c r="C77" t="s">
        <v>128</v>
      </c>
      <c r="D77">
        <v>25</v>
      </c>
      <c r="E77" t="s">
        <v>22</v>
      </c>
      <c r="F77" s="2">
        <f>F76</f>
        <v>4.7699999999999996</v>
      </c>
      <c r="G77" s="1">
        <v>1.75</v>
      </c>
      <c r="H77" s="1">
        <v>1.32</v>
      </c>
      <c r="I77" s="1">
        <v>0.35</v>
      </c>
      <c r="J77" s="1">
        <f t="shared" si="5"/>
        <v>3.42</v>
      </c>
      <c r="K77" s="1">
        <f t="shared" si="1"/>
        <v>8.35</v>
      </c>
      <c r="L77" s="1">
        <f t="shared" si="2"/>
        <v>6.3</v>
      </c>
      <c r="M77" s="1">
        <f t="shared" si="3"/>
        <v>1.67</v>
      </c>
      <c r="N77" s="1">
        <f t="shared" si="4"/>
        <v>16.32</v>
      </c>
    </row>
    <row r="78" spans="1:14" x14ac:dyDescent="0.25">
      <c r="A78">
        <v>26</v>
      </c>
      <c r="C78" t="s">
        <v>129</v>
      </c>
      <c r="D78">
        <v>150</v>
      </c>
      <c r="E78" t="s">
        <v>22</v>
      </c>
      <c r="F78" s="2">
        <f>+F76</f>
        <v>4.7699999999999996</v>
      </c>
      <c r="G78" s="1">
        <f>$G$33</f>
        <v>2.0499999999999998</v>
      </c>
      <c r="H78" s="1">
        <f>$H$33*D78/1000</f>
        <v>18</v>
      </c>
      <c r="I78" s="1">
        <f>$I$33</f>
        <v>0.25</v>
      </c>
      <c r="J78" s="1">
        <f t="shared" si="5"/>
        <v>20.3</v>
      </c>
      <c r="K78" s="1">
        <f t="shared" si="1"/>
        <v>9.7799999999999994</v>
      </c>
      <c r="L78" s="1">
        <f t="shared" si="2"/>
        <v>85.86</v>
      </c>
      <c r="M78" s="1">
        <f t="shared" si="3"/>
        <v>1.19</v>
      </c>
      <c r="N78" s="1">
        <f t="shared" si="4"/>
        <v>96.83</v>
      </c>
    </row>
    <row r="79" spans="1:14" x14ac:dyDescent="0.25">
      <c r="A79">
        <f>+A78+1</f>
        <v>27</v>
      </c>
      <c r="C79" t="s">
        <v>130</v>
      </c>
      <c r="E79" t="s">
        <v>22</v>
      </c>
      <c r="F79" s="2">
        <f>+F78</f>
        <v>4.7699999999999996</v>
      </c>
      <c r="G79" s="1">
        <f>$G$37</f>
        <v>0.35</v>
      </c>
      <c r="H79" s="1">
        <f>$H$37</f>
        <v>0.89</v>
      </c>
      <c r="I79" s="1">
        <f>$I$37</f>
        <v>0.08</v>
      </c>
      <c r="J79" s="1">
        <f t="shared" si="5"/>
        <v>1.32</v>
      </c>
      <c r="K79" s="1">
        <f t="shared" si="1"/>
        <v>1.67</v>
      </c>
      <c r="L79" s="1">
        <f t="shared" si="2"/>
        <v>4.25</v>
      </c>
      <c r="M79" s="1">
        <f t="shared" si="3"/>
        <v>0.38</v>
      </c>
      <c r="N79" s="1">
        <f t="shared" si="4"/>
        <v>6.3</v>
      </c>
    </row>
    <row r="80" spans="1:14" ht="15.75" customHeight="1" x14ac:dyDescent="0.25">
      <c r="J80" s="1">
        <f t="shared" si="5"/>
        <v>0</v>
      </c>
      <c r="K80" s="1">
        <f t="shared" si="1"/>
        <v>0</v>
      </c>
      <c r="L80" s="1">
        <f t="shared" si="2"/>
        <v>0</v>
      </c>
      <c r="M80" s="1">
        <f t="shared" si="3"/>
        <v>0</v>
      </c>
      <c r="N80" s="1">
        <f t="shared" si="4"/>
        <v>0</v>
      </c>
    </row>
    <row r="81" spans="1:14" ht="15.75" customHeight="1" x14ac:dyDescent="0.25"/>
    <row r="82" spans="1:14" ht="15.75" customHeight="1" x14ac:dyDescent="0.25">
      <c r="N82" s="3">
        <f>SUM(N10:N81)</f>
        <v>156289.70000000001</v>
      </c>
    </row>
    <row r="83" spans="1:14" ht="15.75" customHeight="1" x14ac:dyDescent="0.25">
      <c r="A83" t="s">
        <v>134</v>
      </c>
      <c r="G83" t="s">
        <v>135</v>
      </c>
      <c r="J83" s="5">
        <v>0.05</v>
      </c>
      <c r="N83" s="3">
        <f>N82*J83</f>
        <v>7814.49</v>
      </c>
    </row>
    <row r="84" spans="1:14" ht="15.75" customHeight="1" x14ac:dyDescent="0.25">
      <c r="A84" t="s">
        <v>136</v>
      </c>
      <c r="G84" t="s">
        <v>137</v>
      </c>
      <c r="N84" s="3">
        <f>N83+N82</f>
        <v>164104.19</v>
      </c>
    </row>
    <row r="85" spans="1:14" x14ac:dyDescent="0.25">
      <c r="A85" t="s">
        <v>60</v>
      </c>
    </row>
    <row r="86" spans="1:14" x14ac:dyDescent="0.25">
      <c r="A86" t="s">
        <v>61</v>
      </c>
    </row>
    <row r="87" spans="1:14" x14ac:dyDescent="0.25">
      <c r="A87" t="s">
        <v>62</v>
      </c>
    </row>
    <row r="88" spans="1:14" x14ac:dyDescent="0.25">
      <c r="A88" t="s">
        <v>63</v>
      </c>
    </row>
    <row r="89" spans="1:14" x14ac:dyDescent="0.25">
      <c r="A89" t="s">
        <v>64</v>
      </c>
    </row>
    <row r="90" spans="1:14" x14ac:dyDescent="0.25">
      <c r="A90" t="s">
        <v>65</v>
      </c>
    </row>
    <row r="91" spans="1:14" x14ac:dyDescent="0.25">
      <c r="A91" t="s">
        <v>138</v>
      </c>
      <c r="C91" t="s">
        <v>139</v>
      </c>
    </row>
    <row r="94" spans="1:14" x14ac:dyDescent="0.25">
      <c r="A94" t="s">
        <v>67</v>
      </c>
    </row>
    <row r="95" spans="1:14" x14ac:dyDescent="0.25">
      <c r="A95" t="s">
        <v>68</v>
      </c>
    </row>
    <row r="96" spans="1:14" x14ac:dyDescent="0.25">
      <c r="A96" t="s">
        <v>69</v>
      </c>
    </row>
    <row r="97" spans="1:1" x14ac:dyDescent="0.25">
      <c r="A97" t="s">
        <v>70</v>
      </c>
    </row>
    <row r="98" spans="1:1" x14ac:dyDescent="0.25">
      <c r="A98" t="s">
        <v>71</v>
      </c>
    </row>
  </sheetData>
  <mergeCells count="13">
    <mergeCell ref="D34:F35"/>
    <mergeCell ref="B8:B9"/>
    <mergeCell ref="A1:N1"/>
    <mergeCell ref="A2:N2"/>
    <mergeCell ref="G3:H3"/>
    <mergeCell ref="K8:M8"/>
    <mergeCell ref="N8:N9"/>
    <mergeCell ref="A8:A9"/>
    <mergeCell ref="C8:C9"/>
    <mergeCell ref="E8:E9"/>
    <mergeCell ref="F8:F9"/>
    <mergeCell ref="G8:I8"/>
    <mergeCell ref="J8:J9"/>
  </mergeCells>
  <pageMargins left="0.7" right="0.7" top="0.75" bottom="0.75" header="0.3" footer="0.3"/>
  <ignoredErrors>
    <ignoredError sqref="A1:P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Grupēta tāme</vt:lpstr>
      <vt:lpstr>Oriģinālā tāme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Šmerļa iela 3a — grupēta tāme</dc:title>
  <dc:subject>Darbi pārgrupēti pēc līdzīgām pozīcijām</dc:subject>
  <dc:creator>Gundars</dc:creator>
  <cp:lastModifiedBy>Vjaceslavs Gromatovics</cp:lastModifiedBy>
  <cp:lastPrinted>2024-06-03T06:56:19Z</cp:lastPrinted>
  <dcterms:created xsi:type="dcterms:W3CDTF">2015-06-05T18:17:20Z</dcterms:created>
  <dcterms:modified xsi:type="dcterms:W3CDTF">2026-09-01T07:51:03Z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0x01010085A9436398ED6D4C9FF222F743B613A1</vt:lpwstr>
  </property>
  <property fmtid="{D5CDD505-2E9C-101B-9397-08002B2CF9AE}" pid="3" name="MediaServiceImageTags">
    <vt:lpwstr/>
  </property>
</Properties>
</file>