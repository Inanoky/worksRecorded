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worksRecorded\Sales\Marketing experiments\Experiment 17.08\"/>
    </mc:Choice>
  </mc:AlternateContent>
  <xr:revisionPtr revIDLastSave="0" documentId="13_ncr:1_{ED813B3D-567C-410A-978E-D622140F2CB7}" xr6:coauthVersionLast="47" xr6:coauthVersionMax="47" xr10:uidLastSave="{00000000-0000-0000-0000-000000000000}"/>
  <bookViews>
    <workbookView xWindow="14295" yWindow="0" windowWidth="14610" windowHeight="15585" xr2:uid="{00000000-000D-0000-FFFF-FFFF00000000}"/>
  </bookViews>
  <sheets>
    <sheet name="Experiment 1" sheetId="3" r:id="rId1"/>
    <sheet name="Summary"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alcChain>
</file>

<file path=xl/sharedStrings.xml><?xml version="1.0" encoding="utf-8"?>
<sst xmlns="http://schemas.openxmlformats.org/spreadsheetml/2006/main" count="508" uniqueCount="327">
  <si>
    <t>Date</t>
  </si>
  <si>
    <t xml:space="preserve">Company </t>
  </si>
  <si>
    <t>Contact</t>
  </si>
  <si>
    <t>Email sent</t>
  </si>
  <si>
    <t xml:space="preserve">Reached by call </t>
  </si>
  <si>
    <t>Demo</t>
  </si>
  <si>
    <t>Offer</t>
  </si>
  <si>
    <t>Trial</t>
  </si>
  <si>
    <t>Purchase</t>
  </si>
  <si>
    <t>Comments</t>
  </si>
  <si>
    <t>Confirm problem</t>
  </si>
  <si>
    <t>Problem severity</t>
  </si>
  <si>
    <t>Painful enoguh to pay?</t>
  </si>
  <si>
    <t>Lafivents</t>
  </si>
  <si>
    <t>SANART</t>
  </si>
  <si>
    <t>ENERĢIJA-G</t>
  </si>
  <si>
    <t>SANO Serviss</t>
  </si>
  <si>
    <t>Ventmontāža</t>
  </si>
  <si>
    <t>AJ Power</t>
  </si>
  <si>
    <t>HVAC Solutions</t>
  </si>
  <si>
    <t>AKVILON</t>
  </si>
  <si>
    <t>OMS</t>
  </si>
  <si>
    <t>Ventors</t>
  </si>
  <si>
    <t>BaltService</t>
  </si>
  <si>
    <t>NIC Ozols</t>
  </si>
  <si>
    <t>Firetex</t>
  </si>
  <si>
    <t>Latakva Fire Solutions</t>
  </si>
  <si>
    <t>PRParks Latvija</t>
  </si>
  <si>
    <t>KNESS Baltic</t>
  </si>
  <si>
    <t>Lindberg</t>
  </si>
  <si>
    <t>Rigensi</t>
  </si>
  <si>
    <t>VIKOMAKSS</t>
  </si>
  <si>
    <t>RemBaltic</t>
  </si>
  <si>
    <t>MJ Partneri</t>
  </si>
  <si>
    <t>K-Tehnoloģijas</t>
  </si>
  <si>
    <t>FiXT</t>
  </si>
  <si>
    <t>Serviss</t>
  </si>
  <si>
    <t>IFC Latvija</t>
  </si>
  <si>
    <t>Flumina</t>
  </si>
  <si>
    <t>AER</t>
  </si>
  <si>
    <t>Baltijas Klimats</t>
  </si>
  <si>
    <t>Airwave</t>
  </si>
  <si>
    <t>Frigus</t>
  </si>
  <si>
    <t>Climate Systems</t>
  </si>
  <si>
    <t>Provent</t>
  </si>
  <si>
    <t>Rikon AC</t>
  </si>
  <si>
    <t>Eiroklimats</t>
  </si>
  <si>
    <t>Komforts</t>
  </si>
  <si>
    <t>Pro Mehānika</t>
  </si>
  <si>
    <t>Inženiersistēmas</t>
  </si>
  <si>
    <t>Termex</t>
  </si>
  <si>
    <t>Siltumserviss Rīga</t>
  </si>
  <si>
    <t>Siltumtehserviss</t>
  </si>
  <si>
    <t>VentEko</t>
  </si>
  <si>
    <t>Klima Latvija</t>
  </si>
  <si>
    <t>ELSANA</t>
  </si>
  <si>
    <t>Būvenergo A</t>
  </si>
  <si>
    <t>Kulmen</t>
  </si>
  <si>
    <t>Navitas RP</t>
  </si>
  <si>
    <t>TELEMAKS</t>
  </si>
  <si>
    <t>FTP</t>
  </si>
  <si>
    <t>Latus SARDZE</t>
  </si>
  <si>
    <t>Electrical.lv</t>
  </si>
  <si>
    <t>CVS</t>
  </si>
  <si>
    <t>Elpoli</t>
  </si>
  <si>
    <t>Salacgrīvas elektromontāžnieks</t>
  </si>
  <si>
    <t>Elnetworks</t>
  </si>
  <si>
    <t>Elektro-Alter</t>
  </si>
  <si>
    <t>Elektro</t>
  </si>
  <si>
    <t>Eltex</t>
  </si>
  <si>
    <t>DNS automātika</t>
  </si>
  <si>
    <t>Rears</t>
  </si>
  <si>
    <t>DarkNet</t>
  </si>
  <si>
    <t>Sprinkler Service</t>
  </si>
  <si>
    <t>Arcofire</t>
  </si>
  <si>
    <t>Iskada Serviss</t>
  </si>
  <si>
    <t>Sistēmu Inovācijas</t>
  </si>
  <si>
    <t>Baltic Security Systems</t>
  </si>
  <si>
    <t>Videoprojekts</t>
  </si>
  <si>
    <t>Apsardzes Alianse Tehnika</t>
  </si>
  <si>
    <t>Security Solutions</t>
  </si>
  <si>
    <t>Energo Sistēmas</t>
  </si>
  <si>
    <t>Elektron</t>
  </si>
  <si>
    <t>Mītavas Elektra</t>
  </si>
  <si>
    <t>Guntis Šantars
info@energija-g.lv
+371 24242421</t>
  </si>
  <si>
    <t>Mārtiņš Jansons
martins.jansons@ajpower.lv
+371 28337981</t>
  </si>
  <si>
    <t>Grigorijs Markins
grigorijs@akvilon.lv
+371 29354755</t>
  </si>
  <si>
    <t>Mihails Potaševs
ventors@ventors.lv
+371 67134122</t>
  </si>
  <si>
    <t>Rihards Šteins
rihards@mco.lv
+371 26244258</t>
  </si>
  <si>
    <t>Arthur Mezencev
sales@firetex.lv
+371 22402240</t>
  </si>
  <si>
    <t>Management / sales — named DM not verified
sales@latakva.com
+371 27249249</t>
  </si>
  <si>
    <t>Owner / board member — name not publicly exposed
info@ugunsdrosibalv.lv
+371 26594357</t>
  </si>
  <si>
    <t>Andrii Kalinovskyi
office@kness.lv
+371 29 35 45 57</t>
  </si>
  <si>
    <t>Email option 1</t>
  </si>
  <si>
    <t>Madars Zariņš
lafisistemas@lafi.lv
+371 25446616 (or maybe this : +371 67627787)</t>
  </si>
  <si>
    <t>Yes</t>
  </si>
  <si>
    <t>No</t>
  </si>
  <si>
    <t xml:space="preserve">They have their own solution for recording work. </t>
  </si>
  <si>
    <t>1. 🎯 Mārtiņš Petris — best target
📞 +371 26177621
📧 oms@oms.lv</t>
  </si>
  <si>
    <t>Paprovējam jibble ļoti labi, varam. Šobrid mēs utzicamies darbiniekiem un negribam traucēt esošo sistēmu ar jaunājam uzskaites sistēmam</t>
  </si>
  <si>
    <t>Jevgenijs Andrejevs — BaltService board member
📞 +371 26743208
📧 info@baltservice.lv</t>
  </si>
  <si>
    <t>They have internal sistem. No interest</t>
  </si>
  <si>
    <t xml:space="preserve">Not actual, but I think he was not ready at all. </t>
  </si>
  <si>
    <t>3. Artis Knoks — +371 28624940
Here the evidence is exceptionally strong.
A SANART construction contract explicitly says:
“valdes priekšsēdētājs Artis Knoks, mob.tel. 28624940, e-pasts info@sanart.lv.”
SANART's own social-media advertising also repeatedly publishes:
+371 28624940
artis@sanart.lv</t>
  </si>
  <si>
    <t>| 1 | Vladimirs Vereteņņikovs | Chairman of the Board, individual representation rights | +371 67563065 | sanoserviss@inbox.lv | Decision-maker ✅ / direct phone ❌ |</t>
  </si>
  <si>
    <t>Email option 2</t>
  </si>
  <si>
    <t xml:space="preserve">I am not sure what this is actually. </t>
  </si>
  <si>
    <t>Andris is explicitly listed by the Latvian Investment and Development Agency as FIRETEX's board member, with +371 29534106 as his contact number.</t>
  </si>
  <si>
    <t xml:space="preserve">I couldn't really understand. It seems that he heas a problem, but he need a compelte system so hours from site get recorded, then sent to gramatvedibas, and potentially to client for payment. Othrwise manualluy need. Also he seem to be wanted smart books integration, and also doing side project himself. </t>
  </si>
  <si>
    <t>Kind of, i would 3/5. Not sure, I guess he need a complete system. Maybe quesiton more complciated than I thought?</t>
  </si>
  <si>
    <t>Rached. Asked ot send email to info@cactus.lv</t>
  </si>
  <si>
    <t xml:space="preserve">info@ugunsdrosibalv.lv, asked to send more info. I can send and call later. </t>
  </si>
  <si>
    <t xml:space="preserve">Guys opened his company fire proteciton, not so many workers, but je say problem : 4)	Vai jusu projektu vadītājiem ir viegli dabūt askaites no objektā komandas?  , so technical workers just send messages to whatsapp. Also he said there was some offer to send workeriem uzdēvumus. </t>
  </si>
  <si>
    <t xml:space="preserve">Called Antrej, no interest. </t>
  </si>
  <si>
    <t>No, need to call again. Reached him, asked to call again 10:00  20.08.2026. New time 11:00 - 21.08.2026</t>
  </si>
  <si>
    <t xml:space="preserve">Asked tiešam darba uzskaite? What that supposed to mean I don't even know. This guys I think I need to call again after he checks system. </t>
  </si>
  <si>
    <t>Andis BB buve`</t>
  </si>
  <si>
    <t>https://safegroup.lv/</t>
  </si>
  <si>
    <t>MRPK</t>
  </si>
  <si>
    <t>Primekss</t>
  </si>
  <si>
    <t>https://www.estrichbuve.lv/</t>
  </si>
  <si>
    <t>https://www.betonaklonagridas.lv/</t>
  </si>
  <si>
    <t>www.expon.lv/</t>
  </si>
  <si>
    <t>https://www.uptk.lv/</t>
  </si>
  <si>
    <t>www.prbplus.lv</t>
  </si>
  <si>
    <t>https://bauart.lv/</t>
  </si>
  <si>
    <t>https://www.rbv.lv/</t>
  </si>
  <si>
    <t>https://www.accentbuve.lv/</t>
  </si>
  <si>
    <t>RL būves</t>
  </si>
  <si>
    <t>Lui Beton</t>
  </si>
  <si>
    <t>AB būvniecība</t>
  </si>
  <si>
    <t>ODILE MODULS</t>
  </si>
  <si>
    <t>II projekts</t>
  </si>
  <si>
    <t>Nulles ciklu celtniecības ražotne</t>
  </si>
  <si>
    <t>SAVI Būve</t>
  </si>
  <si>
    <t>Promus</t>
  </si>
  <si>
    <t>Manex būve</t>
  </si>
  <si>
    <t>Būve L</t>
  </si>
  <si>
    <t>Prima Celt</t>
  </si>
  <si>
    <t>AGNI BŪVE</t>
  </si>
  <si>
    <t>Evento</t>
  </si>
  <si>
    <t>https://titans.lv/</t>
  </si>
  <si>
    <t>Woodenlays</t>
  </si>
  <si>
    <t>O.K. JOBS</t>
  </si>
  <si>
    <t>https://ancoris.eu/</t>
  </si>
  <si>
    <t>Būvfirma Vītols</t>
  </si>
  <si>
    <t>https://www.elektro-pm.lv/</t>
  </si>
  <si>
    <t>Industry</t>
  </si>
  <si>
    <t>Electrical contractor</t>
  </si>
  <si>
    <t>https://www.domabuve.lv/</t>
  </si>
  <si>
    <t>Talsu Spriegums</t>
  </si>
  <si>
    <t>Daugavpils Elektro</t>
  </si>
  <si>
    <t>Concrete contractors</t>
  </si>
  <si>
    <t>Fire contractor</t>
  </si>
  <si>
    <t>AVK Sistēmas</t>
  </si>
  <si>
    <t>Siltums Jums</t>
  </si>
  <si>
    <t>MEP and HVAC</t>
  </si>
  <si>
    <t xml:space="preserve">Called, no luck, 24.08.2026 - Aldis Baltiņš. He said will give me contact, he is not sure, maybe his team can fix themselves, maybe not. </t>
  </si>
  <si>
    <t>Called him, no interes as he doesn't have that much of documentation</t>
  </si>
  <si>
    <t xml:space="preserve">Guntars Vestmanis
Board Chairman, beneficial owner
+371 29288978
Primary decision maker </t>
  </si>
  <si>
    <t>Частный сектор.. Не очень заинтересован, плохой опыт с искуственным интелелктом, запишет телефон если когда-то что-то нужно будет. Говори что ему девочка через ИИ делал долго сайт остались неприятные впечатления. Нужно ему отправить видео WorksRecorded.</t>
  </si>
  <si>
    <t>Rustem, interested, +24446666</t>
  </si>
  <si>
    <t>Sandis Kirhners
Board Member and Project Manager
+371 26360513 · sandis.kirhners@gmail.com
Strong secondary</t>
  </si>
  <si>
    <t xml:space="preserve">Board chairman — name not publicly exposed
info@hvac-s.lv
+371 26346479 / +371 26414466 </t>
  </si>
  <si>
    <t xml:space="preserve">
gatis.svistunovs@hvac-s.lv </t>
  </si>
  <si>
    <t xml:space="preserve">, call him tomorrow first part of the day, 100 eur/BIS lieta. Interestend.   +24446666 - Рустам. От Евгения. Called him 26.08.2026 10:15. He said his "brigadeer" will do it. So no need for service. </t>
  </si>
  <si>
    <t>Sandis jumta segums</t>
  </si>
  <si>
    <t>The key decision maker at PRB PLUS is:
Priority	Contact	Role	Details
1	Mārtiņš Iesalnieks	Board member; certified construction manager and supervisor	+371 29251334 · martins.iesalnieks@gmail.com · LinkedIn</t>
  </si>
  <si>
    <t xml:space="preserve">Called, couldn't reach. Call again. </t>
  </si>
  <si>
    <t>Jurģis Kalniņš
Biznesa attīstības vadītājs, līdzīpašnieks
t. +371 29 600 960</t>
  </si>
  <si>
    <t>Priority	Person	Role	Contact
1	Jānis Buna	Company contact, certified electrical designer; historically identified as board member	+371 29187553 · energosistemas@energosistemas.lv
2	—	Office/general contact	+371 67436566 · energosistemas@energosistemas.lv</t>
  </si>
  <si>
    <t xml:space="preserve">Confused as fuck, call tomorrow again. </t>
  </si>
  <si>
    <t>Assuming you mean SIA ELEKTRON — elon.lv.
Best decision maker
Priority	Person	Role	Contact
1	Iļja Teterko	Company manager, board member and beneficial owner	+371 26824044 (company line) · info@elon.lv · LinkedIn</t>
  </si>
  <si>
    <t xml:space="preserve">Called 24.08, give ZTC contact as reference, he said will check, asked about if we can remove data from workers, I said on his phone data will remain, he said he will check and come back. Called 28.08.2026 - He said didn’t have time to check, he will contact me myself. Maybe I can send a reminder email or whatsapp message to him or somethign later. </t>
  </si>
  <si>
    <t>Martins Rullis</t>
  </si>
  <si>
    <t>Deniss Konstantinov</t>
  </si>
  <si>
    <t xml:space="preserve">Reached, call again 19.08.2026 end of the day.R eached. Call hime again around 24.08.2026 to see how it is oging.  Email was sent to him 19.08.2026. Called 24.08.2026 - no answer. Try again 25.08.2026. Reached him, he said he will check it out today, will give me some feedback. I also mentioned him that we offer BIS filling, and he says good it takes "dofiga" laiku from them. Whatsapp, darbinieku lappps. Asked to send more info.  And we can have a call.  25.08.2026 - Got a call, he will talk to his guys and find suitable project an d we need to call again. He is having a new projet with ierobežotot pieejamību, it is about 4 monht. Alos he is starting project in Liepaja.Didzis on of his managers. I offered him trial, 1 month we can do. Called again 28.08 - no answer, texted will  call back. </t>
  </si>
  <si>
    <t>They have a person who sits down, then guys send him what is completed in each project and guys get it to (I guess forma 2) and BIS. He seemed interested in BIS again. 21.08. Letš call again and try to upsell. Buys in vacation. Call him Friday 28.08.2026. Interseted, offered him 500 EUR for whole BIS. Call him 03.09.2026 (Thursday, he said most likely we will agree).</t>
  </si>
  <si>
    <t>Called him, he said no interest in BIS as he has no montāža.</t>
  </si>
  <si>
    <t xml:space="preserve">They are very small I think. He said BIS is filled by himself, and darba vadītjas is his brother so no interested. </t>
  </si>
  <si>
    <t>I couldn’t verify a public direct mobile number for Didzis Torims.
The reliable business contact is:
Accent Būve: +371 640 70 770
Email: info@accentbuve.lv
Didzis is confirmed as the company’s board member, but published records only provide the shared company number. Company document · Current company record
I found other mobile numbers in procurement documents, but none could be reliably attributed to Didzis.</t>
  </si>
  <si>
    <t xml:space="preserve">He has not connection to BIS, also he is using filedwire for inspection, he is satisfied. I treid to upsell on a automatization and programming, he said send contact so he can save. Email wiith more info sent. </t>
  </si>
  <si>
    <t xml:space="preserve">limeni.lv </t>
  </si>
  <si>
    <t xml:space="preserve">Called him 26.08.2026. He seems kind of interested, asked to send more info. Send today more info and contact in a week or so. He said he will discuss with his tema. Offered 150 eur for 1 bis lietu, also offered worksrecroded offer. . Called him 28.08.2026, 14:06, also busy, said to call Monday. Called 31.08.2026, He doesn't have many people so not interested in worksrecorded. Also he dones't feel like paying 150 eur to anyone with BIS as they do believie they can do it themselves. </t>
  </si>
  <si>
    <t xml:space="preserve">Call him tomorrow 14:00, describe wat we can do. Also ask him. He also said he heas a lietvedis who fills in those reports, no issues. He said there are some old dudes who are not very good with BIS for them there is letiveides who does the job. He also say he has system that already works. Also ofthem he just gives price for m2 yes-yes, no-no. Objected that estimates are complicated, and also there could be a lot of positions. Hanged up because someone else was calling him. He said BIS lietvedis is full time. Asked to send him more info. 26.08 - sent him WhatSapp message. Called 28.08.2026 - forgot to ask if ērti runāt. So he said not convenient. Called 31.08.2026, Call hime end of the month to see if anything changes, BIS he deson't want to change, also was buys again,  but I pushed on is it still actaul. It feels like fi we call and of the monht mabye he has new projects where we can see our system in work. </t>
  </si>
  <si>
    <t>Mārtiņš Jenčš</t>
  </si>
  <si>
    <t>Elvis Bergs</t>
  </si>
  <si>
    <t xml:space="preserve">Visparēja celtniecības, call  Monday to arrange video call. Called again, he said iconventinet to talk and he will call back. Called again, still buys. Need to call him 01.09.2026 around 10:00. Called 02.09.2026, got a bit confused on offer, he asked price, included BIS i said 30 uer par lietotāju, and 150 eur for filling in BIS.  Not sure, he said very busy, I think lead is dead. </t>
  </si>
  <si>
    <t>Viktors</t>
  </si>
  <si>
    <t xml:space="preserve">37120799991 Jānis Kalnins </t>
  </si>
  <si>
    <t>Called today, seems intertsed in making a system, promised to get back with the dates for the meeting, he has company working with roofs, but now doing more general contractor stuff.</t>
  </si>
  <si>
    <t>Roberts Vitols</t>
  </si>
  <si>
    <t>Rigas centrāla dzelsceļā stacija Bererix.  Juris. +37126393777</t>
  </si>
  <si>
    <t xml:space="preserve">Calle dhimself, he has got 2000 ikdienas darbi eery day to confirm, we need to offer him better analyitcs so he can manager. Agreed we will contact him in WHatsaPP, he will connect to BIS lieta and we will see what we can do. </t>
  </si>
  <si>
    <t xml:space="preserve">Looks like some shit </t>
  </si>
  <si>
    <t xml:space="preserve">He said interese ir, bet nav laiku iepazisties. Es pieāvājau uzzvanīt nakamnēdeļ. Called 02.09.2026, again busy with concrete, call tomorro end of the day (03.09.2026). I think lead is dead chacsed again 04.09.2026, he said will forward to someone, but I don't see he is interetsed that much. </t>
  </si>
  <si>
    <t>Vladimiris Nikitiins</t>
  </si>
  <si>
    <t xml:space="preserve">Aivars Rumba </t>
  </si>
  <si>
    <t>Didzis Eglītis</t>
  </si>
  <si>
    <t xml:space="preserve">07.09.2026. I am not even sure what he watend, I offered what we can, some WhatSapp automatizaiton, he said he just checking up some systems. Maybe we need to give conrete improvement on existing WhatsApp systesm? He also asked for CRM system, I don't think we can offer that. </t>
  </si>
  <si>
    <t xml:space="preserve">Dmitrij Orlov </t>
  </si>
  <si>
    <t>Valentina Novikova</t>
  </si>
  <si>
    <t xml:space="preserve">Call him again in 2 hours. 07.09.2026. Again I didn't understand completely, but I sohuld have asked what exactyl his problem with BIS. It is like he said he still need to approve everything in BIS so not a big problem, also he write in Excel all darbi and then write himself in the end of the week. </t>
  </si>
  <si>
    <t xml:space="preserve">Seems like have intereste, call him again 24.08, he said he will talk to colleague about it.  Ugis called me, I offered him 20 eur licencse + 50 eur BIS managmenet. His new project start middle of september. Ugis seems interested in both, BIS and the WokrsRecorded. 07.08.2026 Septembri beigas sākas new objects, he said will inform and they made a deciison to give it a try. I guess ok I dunno. </t>
  </si>
  <si>
    <t xml:space="preserve">Interseted, both BIS and darba uzskaite. I kind of lead him to the demo meeting, ye said that next week Friday is good. Kind of worked to lead to DEMO. Also confimred BIS takes a lot of time. Said we can try BIS filling when he has got a new project. Offered 150 EUR/monht. I argued it allows 30 min a day, whihc site manager can spend on fixing quality and this is real 'ieguvums" on which he agreed. Sent him more info 28.08.2028. Call again Thursdaty to confirm meeting. mEETING 04.09.2026, seems not too much interestd in BIS. Had a good excel to track works. But also seems quite intersetd in Noliktava and materials. Agreed to have a call tuesday 08.09 to have a call about pilot project. Called 08.09.2026, they discussed, say what to "tikt galā"on his end, end if interested they wil contact. </t>
  </si>
  <si>
    <t>07.09.2026 - Called no answer. 08.09.2026 - Called again - no answer</t>
  </si>
  <si>
    <t xml:space="preserve">Called couple of times no luck. Called 08.09.2026, gave 150 eur par bis lietu aizpildīšan (mēnesis? Not sure), also 50 eur for user darba uzskaite. He agreed to give me his email so I can send him invitiation for meeting, he need to discuss with rpoject manager. </t>
  </si>
  <si>
    <t>Called him 03.09.2026, no answer, send message introducing oursevles. Called again 08.09.2026, no luck. Dead.</t>
  </si>
  <si>
    <t>07.09.2026 - Called, Seems very busy, call him later. 08.09.2026 - Called again, he said to cal him in 1 or 1.5 hour on 08.09.2026. Not relevant.</t>
  </si>
  <si>
    <t xml:space="preserve">Interested in WhatsApp automation. Also intersted in Warehouse. Agreed to a trial of 2 weeks, where I will be added to his group chat and will do analyitcs for him. Using Begin.lv and also fieldwire. Begin.lv to count hours, fielldiwer for what seems to be task management and snags. Seems happy with both. Worksrecroded needed because he has nothing to control costs. He is caluclating additional work from using too much material. Won paddel torunament. Got 5-6 projects simultaniously. Also discussed that data is gold, he agreed, but data is hard to analyze also agreed, also he has diffuclty to keep track of material added and used. Also informed workers use fixed rate, so don't inform when leave site, or how many hours worked. Possible integration with begin.lv. Success. Contract signed. </t>
  </si>
  <si>
    <t xml:space="preserve">Callded 26.08. Call him enxt week around Tuesday 01.09 when people who might be interested ar back. Interested both BIS and Izmaksu kontrole. Also Ima leading with problem (vai ir problēma ar BIS, vai ir problēma ar algas paresnigešānu budžēta) - and it goes very well. Janis Kalninš Novastuff - apakšuzņēmeji 50/50 (opromsed to send me his number). Call him again on Monday, don't forget to as for Janis Kalninš Novastuff number . Called again 02.09.2026 - They are intereseted, he said peeople were sick, so now slowly coming back,  call him again on Monday 07.09.2026. Called on 09.07.2026, he asked to send message, I sent, but I think lead is getting cold. </t>
  </si>
  <si>
    <t>371 26 552 190, called no answer</t>
  </si>
  <si>
    <t xml:space="preserve">Called 29142246 </t>
  </si>
  <si>
    <t>No intere, he is doing everything himself. Also converstaion wasnt very good. Maybe still to pen with BIS? Also they compare once a month. Excel works</t>
  </si>
  <si>
    <t>Checked 10 Sep 2026. Operating website; SIA MRPK, reg. 40203147740. Management name not publicly verified. Company route: +371 29458007, info@mrpk.lv. https://mrpk.lv/par-mums</t>
  </si>
  <si>
    <t>Checked 10 Sep 2026. Active registered company (40003328876). Jānis Oslejs — CEO: +371 29223680, janis.oslejs@primekss.com. https://primekss.com/about-us/management ; https://company.lursoft.lv/lv/primekss/40003328876</t>
  </si>
  <si>
    <t>Checked 10 Sep 2026. Operating construction website. Kaspars Grislis — published company investment-project contact (2025, current role to confirm): +371 29440654, Kaspars@Odilemoduls.lv. Company: info@odilemoduls.lv. https://odilemoduls.lv/en/contacts ; https://business.gov.lv/en/print/pdf/node/46742</t>
  </si>
  <si>
    <t>Checked 10 Sep 2026. Active SIA II Projekts, reg. 44103086713. Public registry lists chairman and board member but hides names. Company phone: +371 28807071; ask for managing director. https://www.firmas.lv/lv/uznemumi/ii-projekts/44103086713</t>
  </si>
  <si>
    <t>Checked 10 Sep 2026. Active SIA SAVI Būve, reg. 50203165771. Sandijs Paševičs — publicly listed owner/beneficial owner; business contact +371 26866230, sandijspasevics@gmail.com (published 2022; reconfirm). https://www.firmas.lv/lv/uznemumi/savi-buve/50203165771 ; https://b2bhint.com/lv/company/lv/savi-buve--50203165771 ; https://dom.lndb.lv/data/obj/file/35022227.pdf?attach=true</t>
  </si>
  <si>
    <t>Checked 10 Sep 2026. Active O.K. JOBS SIA, reg. 40203462899. Company +371 23334819, o.k.jobs@outlook.com; ask for owner/director (name not publicly verified). Registry lists no liquidation or suspended activity. https://www.firmas.lv/lv/uznemumi/o-k-jobs/40203462899</t>
  </si>
  <si>
    <t>Checked 10 Sep 2026. Operating construction company website with 2025 projects. Named decision maker not publicly verified. Company route: +371 26430898, info@ancoris.eu. https://ancoris.eu/</t>
  </si>
  <si>
    <t>Checked 10 Sep 2026. Listed member of Latvijas Būvnieki. Company: +371 63077210, vitols@vitols.lv. Dzintars Kalniņš — published recruitment contact, +371 26598519 (2023; senior role/current number to confirm). https://www.latvijasbuvnieki.lv/biedri/biedru-saraksts/ ; https://www.jelgava.lv/wp-content/uploads/2023/10/AKTUALAS_VAKANCES_28.pdf</t>
  </si>
  <si>
    <t>Checked 10 Sep 2026. Operating electrical contractor; SIA ELEKTRO PM, reg. 40003965223. Published company contact: +371 29153788, inta@elektro-pm.lv. Contact's full name/decision authority not publicly verified. https://www.elektro-pm.lv/</t>
  </si>
  <si>
    <t>Checked 10 Sep 2026. Active BIS electrical contractor; DOMA-būve, reg. 46103005212. Andris Trumpekojs — board member since May 2025. Company route +371 29181644, info@domabuve.lv. https://bis.gov.lv/bisp/lv/construction_companies/9034 ; https://b2bhint.com/lv/company/lv/doma-buve--46103005212</t>
  </si>
  <si>
    <t>Checked 10 Sep 2026. Active operations evidenced by 2026 municipal contract. Danijs Štrauss — chairman in 2023 company project document (confirm current): company +371 63291298 / +371 63291197, info@talsuspriegums.lv. https://www.talsunovads.lv/lv/media/25961/download?attachment= ; https://www.talsunovads.lv/lv/iepirkums/buvdarbi-udensvada-un-hidranta-izbuve-eksporta-iela-talsos-projekta-infrastrukturas-izveide-uznemejdarbibas-attistibai-talsu-pilseta-ietvaros</t>
  </si>
  <si>
    <t>Checked 10 Sep 2026. Exact company identity not verified. Search returned other Daugavpils electrical businesses, including ELEKTRO-ALTER, which is separately listed in row 93. Need website or registration number before assigning a decision maker/contact.</t>
  </si>
  <si>
    <t>Checked 10 Sep 2026. Likely sector mismatch: exact-name AS SISTĒMU INOVĀCIJAS, reg. 40003946311, operates chemical research/manufacturing, not electrical contracting. Helēna Čibisova listed as board chair. Confirm intended company before outreach. https://cro.lv/en/ ; https://vissviena.lv/uznemums/40003946311/akciju-sabiedriba-sistemu-inovacijas/</t>
  </si>
  <si>
    <t>Checked 10 Sep 2026. Country mismatch: exact-name match is Lithuanian UAB Baltic Security Systems, reg. 125549723, Vilnius. Aleksandras Masoit — manager. Company +370 52767581, info@bss.lt. Current directory shows operating business; Latvian entity not verified. Confirm intended prospect. https://rekvizitai.vz.lt/imone/baltic_security_systems/ ; https://www.1551.lt/baltic-security-systems-uab-38606/</t>
  </si>
  <si>
    <t>Checked 10 Sep 2026. Operating security-systems business, reg. 40103322206; LIAA profile May 2026. Juris Kazulis — board member: +371 29429601, info@videoprojekts.lv. https://liaa.business.gov.lv/uznemumi/sabiedriba-ar-ierobezotu-atbildibu-videoprojekts-baltija</t>
  </si>
  <si>
    <t>Checked 10 Sep 2026. Operating Apsardzes Alianse brand verified; exact 'Tehnika' legal entity not publicly verified. General business route: +371 60003517, info@alianse.lv. Ask for technical department director; named decision maker unverified. https://apsardzes.alianse.lv/test_drive</t>
  </si>
  <si>
    <t>Checked 10 Sep 2026. Registered SIA SECURITY SOLUTIONS, reg. 40103357602, but current trading activity not established: 2025 turnover EUR 0; registry flags inactive taxpayer. No public business phone/email or named decision maker verified. https://www.firmas.lv/en/companies/security-solutions/40103357602 ; https://saraksts.lv/40103357602</t>
  </si>
  <si>
    <t>Checked 10 Sep 2026. Operating smoke-control/fire-safety business; SIA DNS automātika, reg. 40103311448. Company route: +371 26670084 / +371 29822364, dumunovadisana@inbox.lv. Named decision maker not publicly verified. https://www.dumunovadisana.lv/kontakti</t>
  </si>
  <si>
    <t>Checked 10 Sep 2026. Operating security business; Rears, reg. 43603042285. Armands Straume — named public-contract contact: +371 29186815, rears@rears.lv (board role unverified). https://www.rears.lv/privatuma-politika ; https://eformsb.pvs.iub.gov.lv/show/3f8c4a26-3ec1-4ecb-9d46-7329ce029010</t>
  </si>
  <si>
    <t>Checked 10 Sep 2026. Active security/IT business; DarkNet, reg. 51203068441; 2025 accounts published. Company +371 29355331, darknet@darknet.lv / info@darknet.lv. Named decision maker not publicly verified. https://balticexport.com/infolapa/darknet-sia ; https://saraksts.lv/51203068441</t>
  </si>
  <si>
    <t>Checked 10 Sep 2026. Active SIA SPRINKLER SERVICE, reg. 40003013346. Office: +371 67226360. Existing construction-sheet row 8 already gives Romualds Špaks, +371 20269727, romualds.spaks@sprinkler.lv (user's prior contact, current role not independently verified). Existing Experiment 1 row 20 has follow-up notes: check before duplicate outreach. https://www.firmas.lv/en/companies/sprinkler-service/40003013346 ; https://sprinkler.lv/lv/contacts</t>
  </si>
  <si>
    <t>Checked 10 Sep 2026. Operating fire-safety supplier; Arcofire, reg. 40103632404. Zintis Zābers — listed board chairman. Office +371 22495752, office@arcofire.com; sales +371 25423463, orders@arcofire.com. https://arcofire.com/contacts/ ; https://overit.lv/uznemums/sabiedriba-ar-ierobezotu-atbildibu-arcofire-40103632404/</t>
  </si>
  <si>
    <t>Checked 10 Sep 2026. Likely match is SIA ISKADA, reg. 40003279893, fire-safety equipment supplier; exact 'Iskada Serviss' entity not verified. Company route: +371 67139564, info@iskada.lv. Confirm entity and ask for director. https://viss.lv/?k=139643</t>
  </si>
  <si>
    <t>Checked 10 Sep 2026. Operating electrical contractor; ELSANA, reg. 40003048441. Mārtiņš Pūce — listed board member; company email elsana@elsana.lv. Direct personal contact not publicly verified. https://www.elsana.lv/lv/kontakti/ ; https://vissviena.lv/uznemums/40003048441/sabiedriba-ar-ierobezotu-atbildibu-elsana/</t>
  </si>
  <si>
    <t>Checked 10 Sep 2026. Operating electrical contractor; SIA OMS, reg. 42103000774. Company +371 63491032, oms@oms.lv. Existing row 12 names Mārtiņš Petris, +371 26177621 (prior user contact, role not independently verified), and records no interest: check before repeat outreach. https://www.oms.lv/kontakti</t>
  </si>
  <si>
    <t>Checked 10 Sep 2026. INACTIVE: SIA Būvenergo A, reg. 43603014154, liquidated 9 October 2024. Do not treat historical staff/office contacts as current prospects. https://www.lursoft.lv/adrese/langervaldes-iela-1-jelgava-lv-3002/strukturvienibas ; https://vissviena.lv/uznemums/40103873847/sabiedriba-ar-ierobezotu-atbildibu-buvenergija/</t>
  </si>
  <si>
    <t>Checked 10 Sep 2026. Operating construction company; SIA LINDBERG, reg. 40203598524; joined builders' association in 2026. Aleksejs Ivanovs — CEO; Edgars Kupcs — COO/CFO. Company +371 29133553, info@lindberg.lv. Direct partnership route: Jevgēnijs Šeršņovs, jevgenijs.sersnovs@lindberg.lv. https://lindberg.lv/ ; https://www.latvijasbuvnieki.lv/lindberg/</t>
  </si>
  <si>
    <t>Checked 10 Sep 2026. Operating electrical contractor; Kulmen, reg. 40203459935. Ernests Kūla — board chairman/owner listed in July 2026. Company +371 25410225, info@kulmen.lv. https://kulmen.lv/lv/kontakti ; https://b2bhint.com/lv/company/lv/kulmen--40203459935</t>
  </si>
  <si>
    <t>Checked 10 Sep 2026. Active registered electrical-design company; Navitas RP, reg. 45403035908. Ralfs Pērsis — board member/owner. Company +371 29856789; website contact form. Direct email not publicly verified. https://navitas.lv/en/kontakti/ ; https://b2bhint.com/lv/company/lv/navitas-rp--45403035908</t>
  </si>
  <si>
    <t>Checked 10 Sep 2026. Operating telecom/low-voltage contractor website; SIA TELEMAKS, reg. 50003616871. Company +371 20377422 / +371 67273383, info@telemaks.lv. Named decision maker not publicly verified. https://www.telemaks.lv/index.php?id=1&amp;lang=lat&amp;page=content</t>
  </si>
  <si>
    <t>Checked 10 Sep 2026. Entity needs confirmation: SIA FTP and SIA FTP Service are distinct names in sources. FTP Service (40103887692) has active BIS registration: +371 67275239, info@ftpcompany.lv; website also gives +371 26669856. Named decision maker not publicly verified. https://bis.gov.lv/bisp/lv/construction_companies/12803 ; https://ftpcompany.lv/contact-us/</t>
  </si>
  <si>
    <t>Checked 10 Sep 2026. Active BIS contractor; SIA Latus SARDZE, reg. 41203003212. Company +371 29466494 / +371 63622986, office@latus-sardze.lv / latuss@inbox.lv. Named decision maker not publicly verified. https://bis.gov.lv/bisp/lv/construction_companies/9292 ; https://latus-sardze.lv/site/lv/kontakti/</t>
  </si>
  <si>
    <t>Checked 10 Sep 2026. Operating solar/electrical contractor; Electrical SIA, reg. 40203309609. Company +371 29329999, info@electrical.lv. Juris Lazars is mentioned by a customer testimonial; decision-making role not publicly verified. https://electrical.lv/kontakti/ ; https://electrical.lv/</t>
  </si>
  <si>
    <t>Checked 10 Sep 2026. Operating electrical contractor; SIA CVS. Jānis Sakniņš — board member, direct +371 26131336. General company phone +371 26670322; website contact form. https://cvs.lv/ ; https://abc.lv/infolapa/cvs-sia</t>
  </si>
  <si>
    <t>Checked 10 Sep 2026. Active BIS electrical contractor; reg. 41503021043. Aleksejs Dzjuba — board member on company contact page: +371 29463859. Company email elpoli@inbox.lv; office +371 65431154. https://www.elpoli.lv/contacts.php ; https://bis.gov.lv/bisp/lv/construction_companies/9850</t>
  </si>
  <si>
    <t>Checked 10 Sep 2026. Active BIS electrical contractor, reg. 40003868619; 2025 accounts listed. Armands Belasiks — board chairman. Company route +371 28627999, sem40@inbox.lv. https://abc.lv/infolapa/salacgrivas-elektromontaznieks-sia ; https://overit.lv/en/company/sabiedriba-ar-ierobezotu-atbildibu-salacgrivas-elektromontaz-40003868619/</t>
  </si>
  <si>
    <t>Checked 10 Sep 2026. Operating electrical contractor; reg. 42103054809. Dans Perševics — board chairman: dans@elnetworks.lv; +371 29481914 (official English page), office +371 63483400. Operational contact: Elvis Grāveris, Riga construction project manager, +371 28800032, elvis@elnetworks.lv. https://elnetworks.lv/kontakti/ ; https://elnetworks.lv/en/contacts/</t>
  </si>
  <si>
    <t>Checked 10 Sep 2026. Active BIS electrical contractor; reg. 41503033589. Company +371 29253749 / +371 65438824, elektro-alter@inbox.lv. Named decision maker not publicly verified. https://bis.gov.lv/bisp/lv/construction_companies/8674 ; https://abc.lv/infolapa/elektroalter-sia</t>
  </si>
  <si>
    <t>Checked 10 Sep 2026. Likely match: SIA Elektro, Tume, reg. 49203003677; active BIS status listed. Company +371 29250380 / +371 63193411, janis@elektro.apollo.lv. Full decision-maker name/role not publicly verified. Confirm Tume company is intended. https://abc.lv/infolapa/elektro-sia</t>
  </si>
  <si>
    <t>Checked 10 Sep 2026. Active BIS contractor; SIA Eltex, reg. 40103303667. Named business email and phone: andis@eltex.lv, +371 29378173. Full name/decision authority not publicly verified. https://bis.gov.lv/bisp/lv/construction_companies/2162</t>
  </si>
  <si>
    <t>Checked 10 Sep 2026. INACTIVE: AVK Sistēmas, reg. 40003706478, liquidated 27 November 2019. No current decision-maker contacts for this entity. https://company.lursoft.lv/avk-sistemas/40003706478</t>
  </si>
  <si>
    <t>Checked 10 Sep 2026. Operating HVAC website; SIA Vikomakss, reg. 50003163481; 2025 annual report filed in 2026. Company +371 29143349 / +371 67287476, vikomakss@vikomakss.lv. Named decision maker not publicly verified. Existing construction-sheet row 31 records 'No projects at the moment'. https://www.vikomakss.lv/lv/kontakti ; https://www.firmas.lv/lv/uznemumi/vikomakss/50003163481</t>
  </si>
  <si>
    <t>Checked 10 Sep 2026. RENAMED: historical Siltums Jums (44103036801) is now MONUM; active projects published August 2026. Evita Domello — board member named February 2026. Office +371 67270085, monum@monum.lv. https://vissviena.lv/uznemums/44103036801/sia-monum/ ; https://monum.lv/kontakti/ ; https://monum.lv/jaunumi/monum-uzsak-pirmo-attistibas-projektu/</t>
  </si>
  <si>
    <t>Checked 10 Sep 2026. Registered plumbing/HVAC company, reg. 40003544247; viewed registry profile reports no liquidation/insolvency entries. Vladimirs Vereteņņikovs — board chairman. Company +371 67563065. Existing row 7 already has contact/history. https://makoro.lv/uznemumi/sia-sano-serviss-40003544247 ; https://www.firmas.lv/lv/uznemumi/sano-serviss/40003544247</t>
  </si>
  <si>
    <t>Checked 10 Sep 2026. Active BIS HVAC contractor, Ventmontāža, reg. 40003550421. Valdis Šulbergs — board member. Published business contact +371 29459766, valdis@ventmontaza.lv. https://bis.gov.lv/bisp/lv/construction_companies/9926 ; https://overit.lv/uznemums/sabiedriba-ar-ierobezotu-atbildibu-ventmontaza-40003550421/</t>
  </si>
  <si>
    <t>Checked 10 Sep 2026. Operating SIA HVAC Solutions, reg. 40203145487. Company +371 26346479 / +371 26414466, info@hvac-s.lv. Existing row 10 has Gatis Svistunovs' email and ongoing conversation: gatis.svistunovs@hvac-s.lv (user-supplied; role not independently verified). https://www.hvacsolutions.lv/kontakti</t>
  </si>
  <si>
    <t>Checked 10 Sep 2026. Operating SIA Akvilon, reg. 50003057361. Grigorijs Markins — production manager/board member: +371 29354755, grigorijs@akvilon.lv. For site operations: Aleksejs Markins, certified construction manager at technical partner Akvilon PRO, +371 26543180, info@akvilonpro.lv. Duplicate of row 11. https://akvilon.eu/lv/kontakti</t>
  </si>
  <si>
    <t>Checked 10 Sep 2026. HVAC match: RemBaltic, reg. 50103171131; 2025 accounts listed, no liquidation/insolvency shown. Company +371 29888884. Named decision maker not publicly verified. Do not confuse with cleaning company reg. 40203246623. https://company.lursoft.lv/rembaltic/50103171131</t>
  </si>
  <si>
    <t>Checked 10 Sep 2026. Operating HVAC/engineering company; SIA MJ-Partneri, reg. 40003923427. Juris Leitāns — board chairman. Company route +371 67817777, mj@mj.lv. https://www.ventilacija24.lv/kontakti/ ; https://mj.lv/par-mums</t>
  </si>
  <si>
    <t>Checked 10 Sep 2026. Operating HVAC business; FIXT, reg. 40103849510; 2025 revenue published. Jānis Bērziņš — board member. Company +371 28007725, serviss@fixt.lv. https://www.fixt.lv/kontakti ; https://overit.lv/uznemums/sabiedriba-ar-ierobezotu-atbildibu-fixt-40103849510/</t>
  </si>
  <si>
    <t>Checked 10 Sep 2026. Active BIS HVAC contractor; SIA Ventors, reg. 40102027082; 2025 accounts listed. Company +371 67134122, ventors@ventors.lv. Existing row 13 names Mihails Potaševs as chairman (current role to reconfirm). https://abc.lv/infolapa/ventors-sia</t>
  </si>
  <si>
    <t>Checked 10 Sep 2026. Operating HVAC business; SERVISS SIA, reg. 40003834059; 2025 accounts filed June 2026, no liquidation/insolvency listed. Company +371 29139574, info@siaserviss.lv; ask for director. Name not publicly verified. https://abc.lv/infolapa/serviss-sia-275967 ; https://company.lursoft.lv/serviss/40003834059</t>
  </si>
  <si>
    <t>Checked 10 Sep 2026. Operating Concity/Mitsubishi partner; SIA IFC Latvija, reg. 40103596508. Company +371 20498632 / +371 29517107, info@concity.lv. Named decision maker not publicly verified. https://www.concity.lv/</t>
  </si>
  <si>
    <t>Checked 10 Sep 2026. Likely sector mismatch: SIA AER, reg. 40103667919, is a tools distributor, not verified as HVAC contractor. Company +371 24881244 / +371 67808845, info@aer.lv. Named decision maker not publicly verified; confirm intended prospect. https://aer.lv/lv/kontakti ; https://www.linkedin.com/company/aer-sia</t>
  </si>
  <si>
    <t>Checked 10 Sep 2026. Exact Latvian HVAC company not verified from supplied name. Need website or registration number; no unrelated contacts assigned.</t>
  </si>
  <si>
    <t>Checked 10 Sep 2026. Operating Baltic HVAC distributor with Latvian office. Group board members Urmas Malmet and Karl Leinus are listed by Airwave OÜ. Latvia company route +371 67566607, info@airwave.lv; local decision maker not publicly verified. https://www.airwave.lv/kontakti/ ; https://www.awbaltic.com/contact-us-2/</t>
  </si>
  <si>
    <t>Checked 10 Sep 2026. INACTIVE exact-name match: SIA FRIGUS, reg. 40003907649, removed from register 25 February 2016. No current decision-maker contacts verified. FRIGUS JV is a separate entity; confirm if that was intended. https://www.firmas.lv/lv/uznemumi/frigus/40003907649</t>
  </si>
  <si>
    <t>Checked 10 Sep 2026. Operating HVAC supplier/installer; Climate systems, reg. 40103326354; address updated June 2026. Kaspars Ozols — public exhibition contact, +371 29474608, info@climatesystems.lv (decision-making role to confirm). https://www.bt1.lv/ct2/part.php?id=1591&amp;subid=40986 ; https://www.zl.lv/lv/uznemums/climate-systems-sia-284636</t>
  </si>
  <si>
    <t>Checked 10 Sep 2026. Identity/sector unclear: provent.lv is a ventilating floor-underlay product of PEPI RER, while Provent OÜ is Estonian. Latvian HVAC contractor under supplied name not verified. Need website or registration number. https://www.provent.lv/ ; https://provent.ee/kontaktid/</t>
  </si>
  <si>
    <t>Checked 10 Sep 2026. Operating Panasonic distributor/service centre; SIA RIKON AC, reg. 40003959284. Company +371 29159425 / +371 67310975, salons@kondicionieris.lv. Named decision maker not publicly verified. https://www.kondicionieris.lv/lv/kontakti</t>
  </si>
  <si>
    <t>Checked 10 Sep 2026. Operating HVAC installer; SIA Eiroklimats, reg. 48503008119; LIAA profile August 2026. Andris Miežubrālis — board member: +371 26461241. https://www.eiroklimats.lv/kontakti/ ; https://liaa.business.gov.lv/uznemumi/sabiedriba-ar-ierobezotu-atbildibu-eiroklimats</t>
  </si>
  <si>
    <t>Checked 10 Sep 2026. Ambiguous brand/company name. Search finds Komforts shops operated by EVA-SAT and other heating businesses; intended HVAC contractor not established. Need website or registration number. https://komforts.net/</t>
  </si>
  <si>
    <t>Checked 10 Sep 2026. Operating industrial parts/tools supplier and conveyor-belt manufacturer; not primarily HVAC. Valters — published Riga-area sales representative, +371 26007766 (full name/decision authority not verified). Ask for operations/director. https://promehanika.lv/lv/kontakti ; https://www.biltim.lv/dalibnieki-biltim/item/419155/pro-mehanika-sia</t>
  </si>
  <si>
    <t>Checked 10 Sep 2026. Identity ambiguous: search finds CAPITALIS INŽENIERSISTĒMAS and a foreign-company INŽENIERSISTĒMAS representative office. Supplied name does not identify intended HVAC contractor; no decision-maker contact safely assigned. Need website or registration number. https://www.firmas.lv/lv/uznemumi/capitalis-inzeniersistemas/40003573693</t>
  </si>
  <si>
    <t>Checked 10 Sep 2026. INACTIVE under this entity: TERMEX, reg. 40003957349, removed from register through reorganisation on 20 June 2024. Historical termex@termex.lv / +371 67319212 are not verified as current. Identify successor before outreach. https://www.firmas.lv/en/companies/termex/40003957349</t>
  </si>
  <si>
    <t>Checked 10 Sep 2026. Real PS Siltumserviss Rīga, reg. 50203081101; historical municipal maintenance contracts verified. Current operating status and non-emergency business contact not publicly verified. Published 80000610 is an emergency line, unsuitable for sales. https://company.lursoft.lv/siltumserviss-riga/50203081101 ; https://www.rigasudens.lv/lv/udens-efektiva-majsaimnieciba</t>
  </si>
  <si>
    <t>Checked 10 Sep 2026. Real heating contractor SILTUMTEHSERVISS, reg. 42402005862. Company +371 64622280, siltumtehserviss@inbox.lv. Named decision maker not publicly verified. 2025 Competition Council infringement decision found; check current legal position before qualification. https://defro.ptm.lv/partneri-regionos/ ; https://www.vestnesis.lv/op/2025/180.23</t>
  </si>
  <si>
    <t>Checked 10 Sep 2026. Operating environmental engineering business, not HVAC. Arta Bažovska — general director named on company page (confirm current). Company +371 26559949 / +371 29225443, info@venteko.com. https://www.venteko.com/lv/kontakti.html ; https://www.venteko.com/lt/bendrove.html</t>
  </si>
  <si>
    <t>Checked 10 Sep 2026. Exact Latvian HVAC company not verified. Similar-name SIA KLIMA in registry is a pharmacy business, not a safe match. Need website or registration number before assigning contacts. https://www.firmas.lv/lv/uznemumi/klima/50003426191</t>
  </si>
  <si>
    <t>Not interested, no time to speak also</t>
  </si>
  <si>
    <t xml:space="preserve">01.09.2026 called, agreed on a meeting 15:00, he is from Liepaja. Owns a construction company. He was interestrd in alsmot all funcitonlait, I asked what problem he has in his company, he said no problem just want to improve on current system of hundreds of whatsapp chats. Agreed to start a pilot. Send him same day info. Need call 02.09.2026 to see if received and connected. Called again 02.09.2026, asked if all received, he said received, will test after lunch.  Called 10.09.2026, he said that no time for now, will try later one. </t>
  </si>
  <si>
    <t>Called 02.09, interested in BIS completion, offered him 150 EUR monht full BIS completion. He said interested, will come back tomorrow 03.09.2026. Called 04.09.2026 - no answer. All again 07.09.2026. Called 07.09.2026 - no answer. 10.09.2026 - no answer again. I think dead</t>
  </si>
  <si>
    <t xml:space="preserve">He said will call back in a bit of time. 11.09.2026 - Called him again, he promised to call me back one more time. 11.09 - Had a call, they integrateing some USA innate system, not sure what it is,he said will send my product to some contruction companies, but yeah they say his new system quite complex but they in process of integrating. </t>
  </si>
  <si>
    <t xml:space="preserve">Good conversation, need to send him more info. He will check until wendesday next week. He also promised to send me his excel to understand better. Called 02.09.2026, arranged meeting for Friday. Started trial. Sucesss. </t>
  </si>
  <si>
    <t>Aleksejs Jablonskis</t>
  </si>
  <si>
    <t>14.09.2026 - Called, no answer</t>
  </si>
  <si>
    <t>Nina Kravale</t>
  </si>
  <si>
    <t>14.09.2026 - Called, no answer. Mistype</t>
  </si>
  <si>
    <t>Checked 10 Sep 2026. Operating electrical contractor; SIA Mītavas Elektra, reg. 43603009810. Company email: info@mitavaselektra.lv. Named decision maker and commercial phone not publicly verified. https://mitavaselektra.lv/ ; https://mitavaselektra.lv/privatuma-politika-2/
Priority	Person	Role	Contact
1	Brigita Buividaite	Chairwoman of the board; final buyer	+371 29 287 371 · mitavaselektra@apollo.lv
2	Rolands Osis	Project manager; best operational champion	+371 27 221 404 · projekti@mitavaselektra.lv
3	Dace Eihvalde	Assistant project manager; involved in work coordination	+371 27 221 400 ·</t>
  </si>
  <si>
    <t>This one is worth a careful qualification call, but contact the owner regarding his newer company, EDGARS BŪVĒ.
Best decision-maker
Edgars Januševskis
Owner (100%) and board member of SIA “JELGAVAS BŪVE‑V”
Appears to lead the newer SIA “EDGARS BŪVĒ”
Phone/WhatsApp: +371 26 318 164
Email: info@edgarsbuve.lv
LinkedIn: Edgars Januševskis</t>
  </si>
  <si>
    <t>Best decision-maker
Aivars Spūlis
Sole owner and beneficial owner
Board member with individual signing authority
Phone: +371 29 407 520
Email: buve-l@inbox.lv
For a company this small, the public mobile number is likely the most direct route to Aivars. Company data</t>
  </si>
  <si>
    <t>Prima Celt is a strong prospect. I would call it.
Best decision-maker
Aleksandrs Žirkovs
Confirmed board member and apparent owner
Public commercial contact responsible for customer enquiries
Phone: +371 26 740 553
Secondary phone: +371 27 030 918
Email: aleksandrs.zhirkovs@primacelt.lv</t>
  </si>
  <si>
    <t>Agnis Zariņš
Publicly identified as the company’s manager
The company has a single board member and shareholder, making him the likely final decision-maker
Phone: +371 20 002 993
No verified public email found
A Madona municipality publication directly identifies Agnis Zariņš as the company’s manager. Madona municipality</t>
  </si>
  <si>
    <t>Evento is a strong WorksRecorded prospect and should be prioritised.
Best decision-maker
Mārtiņš Fronts
Sole owner and beneficial owner
Chairman of the board
Certified construction manager
Company mobile: +371 28 397 087
Office/alternative: +371 64 774 004
Email: evento@evento.lv</t>
  </si>
  <si>
    <t>TITĀNS — worth calling: 8/10
Best decision-maker
Konstantīns Bendrups — valdes loceklis, 100% owner and beneficial owner; holds individual representation rights.
Company mobile: +371 29 517 144
Office: +371 67 817 100
Email: sia.titans@kcrtk.lv
The mobile is publicly listed for the company but is not explicitly labelled as Konstantīns’s personal number. Call it first and ask for him. Management verification · contact source</t>
  </si>
  <si>
    <t>Concrete contractors+F46D46B46:M46B46:G46B46:H46B46:G46B46:F46B46:D46B46:C46</t>
  </si>
  <si>
    <t>This one is worth a careful qualification call, but contact the owner regarding his newer company, EDGARS BŪVĒ.
Best decision-maker
Edgars Januševskis+B46:C46
Owner (100%) and board member of SIA “JELGAVAS BŪVE‑V”
Appears to lead the newer SIA “EDGARS BŪVĒ”
Phone/WhatsApp: +371 26 318 164
Email: info@edgarsbuve.lv
LinkedIn: Edgars Januševskis</t>
  </si>
  <si>
    <t>Viņam nevajag neko programmēt.</t>
  </si>
  <si>
    <t xml:space="preserve">14.09.2026 - Called, It seems that I am again leading with solution not a problem. But he said that need to send him more info. </t>
  </si>
  <si>
    <t xml:space="preserve">14.09.2026 - Called. 5 workers only seems not very interested and can control everything himself. Got  a feeling that 200k turnover is not enough for company to fucking do anything. </t>
  </si>
  <si>
    <t>Offered him 50 eur per project a month. It seems we need to sign confiditiality contract to not get problems. Agreed to have a call on Monday to start new project 100k. He need to finish in november. 07.09.2026 - Caled 07.09.2026 - Asked to call him back on Thursday 10.09.2026. Agree to have another call on Friday. Should I just make him a fucking user and thatš it? 14.09 - Called again, he said if couldn't find time in a week so it probably doesn't interest him that much. Fuck my life.</t>
  </si>
  <si>
    <t xml:space="preserve">20010936 (call before lunch) .11.09 - Pirmdien. Pirma diena puse uzzvanīt, sarunāt video tikšanos. Tikšanas 09:00 Otrodien. maris@mrpk.lv 09:00 (teams). 15.09.2026, had a call, small company concrete and precast assembly, agreed to have a  call on Friday  18.09.2026, first half of the day. 150 EUR par company, agree to integrate historical data but after contract is signed. </t>
  </si>
  <si>
    <t>Offered him aipizldīt BIS 50 eur/mēnesi, he was interested, sent him email, need to check up on him. Martiņš +26152928 (Projektu vadītājs) - Andri Iedeva telefonu. Soon starting new project, check with him if actual or no. Called Martins, he will arrange meeting this week kaltiene so we can offer our service. Call Monday 31.08.2026 Martiņš. Called 31.08.2026. He said din't have time to think about, so most likely will contact on Friday 04.09.2026. "Mārtiņ, gribēju ātri saprast, vai šis jums vēl ir aktuāli. Ja jā, sarunājam konkrētu 20 min tikšanos nākamnedēļ. Ja šobrīd nav prioritāte, arī viss kārtībā — tad es jūs netraucēšu un sazināsimies vēlāk.” I think we agreed to have a call on Thursday to agree meeting monday 14.09. 10.09.2026 - got a call, arranged a meeting 14:00 Monday 14:00. I don't really think this is going to work after yesteradys meeting. Guys too young to implement enw systesms</t>
  </si>
  <si>
    <t>10.09.2026. called him. He is already doing in AI system for his company, agree that we can help him.  15.09 - sent him whatsapp message, but I think kind of waste of time.</t>
  </si>
  <si>
    <t>Tried to reach 11:00, couldn't he reach him. Reached, he is in a process of digitalization. He said he is buys in 2 week, send him more info in email. Offered BIS filling 60 EUR month par 1 būnviecības lietu. Interse ir. He said also interest in fillin BIS 60 EUR he thinks it is almost for free. He immidiately himself started asking question and said they are in the middle of digitalization and consultant looking for a complete solution. He was also interestd in gramatvedibas pakalpojumu and interested in estimate service. Called 07.09.2026 . He   busy. Call again 07.09.2026 after lunch. Called me back, said he still need to talk to his financial diractor to discuss both BIS and Digital system. Said will call me in a couple of days. Called 16.09.2026. He asekd to call in 2 weeks...</t>
  </si>
  <si>
    <t>16.09.2026 - Called no answer...</t>
  </si>
  <si>
    <t xml:space="preserve">Ēriks Jurēvics
Būvdarbu vadītājs
+371 29336550 · eriks@bauart.lv
Useful technical champion and potential daily user. Called him, he is interetsed in Estimate gathering from drawings. I can offred him to try with one project. </t>
  </si>
  <si>
    <t>No turnovers, seems waster of time.</t>
  </si>
  <si>
    <t xml:space="preserve">Called 16.09.2026, no asnwer. But low quality prospect also. Not intersted. No time to speak. </t>
  </si>
  <si>
    <t>Contacted</t>
  </si>
  <si>
    <t xml:space="preserve">Contacted in 4 weeks </t>
  </si>
  <si>
    <t>Days</t>
  </si>
  <si>
    <t>Average per day</t>
  </si>
  <si>
    <t>Showed some kind of interest</t>
  </si>
  <si>
    <t>NB construciton</t>
  </si>
  <si>
    <t xml:space="preserve">I can try data analytics angle. Never tried though. </t>
  </si>
  <si>
    <t xml:space="preserve">Called 16.09.2026 - Asekd to give him a call in 1 hours. Called again 17.09.2026 - no luck, he already have system, asked to send more info but I think it is dead. I am so fucking tired. </t>
  </si>
  <si>
    <t>Demos</t>
  </si>
  <si>
    <t>Gunars Škutans</t>
  </si>
  <si>
    <t>Called 21.09.2026 - no answer</t>
  </si>
  <si>
    <t>Guntis Ratnieks</t>
  </si>
  <si>
    <t xml:space="preserve">Called 07.09.2026, site manager, interested in darbas uzskaite and laik uzskatei. Meeting 07.09.2026 - 18:00. Agreed to send him On Whatsapp more info. 21.09.2026 - Send WhatsApp message. </t>
  </si>
  <si>
    <t>Registration number: 40103674732
Speciality: Estrich screeds, industrial concrete floors and heated floors
Location: Tukums
Best decision-maker
Aleksandrs Ņikiforovs
Board member since 2013
Sole shareholder
Ultimate beneficial owner
Can represent the company individually
Best person for purchasing WorksRecorded
His association with EXPON is also supported by a public BNI business-network post. I couldn’t verify a separate direct mobile number for him.
Official contact:
Phone: +371 22 348 899
Email: info@expon.lv
EXPON contact page
Call and ask:
Labdien! Vai es varētu runāt ar Aleksandru Ņikiforovu jautājumā par objektos paveikto darbu un izmaksu uzskaiti?
Financial results
Year	Turnover	Profit/loss	Employees
2025	€1,110,689	€188,968 profit	12
2024	€845,116	€27,120 loss	10
2023	€1,165,171	€247,978 profit	12
Turnover increased 31.4% in 2025, with a strong 17% net profit margin. Company and financial data
Worth calling: 9/10. It is an ideal WorksRecorded-sized specialist contractor: owner-managed, approximately 12 employees, profitable, and carrying out measurable repetitive site work. Aleksandrs can decide without passing the proposal through several management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</si>
</sst>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font>
      <sz val="11"/>
      <color theme="1"/>
      <name val="Calibri"/>
    </font>
    <font>
      <sz val="11"/>
      <color theme="1"/>
      <name val="Calibri"/>
    </font>
    <font>
      <sz val="11"/>
      <color theme="1"/>
      <name val="Carlito"/>
    </font>
    <font>
      <sz val="11"/>
      <color theme="1"/>
      <name val="Calibri"/>
    </font>
    <font>
      <u/>
      <sz val="11"/>
      <color theme="10"/>
      <name val="Calibri"/>
    </font>
    <font>
      <sz val="11"/>
      <color rgb="FF1F2937"/>
      <name val="Carlito"/>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theme="1"/>
      <name val="Calibri"/>
    </font>
    <font>
      <sz val="11"/>
      <color theme="1"/>
      <name val="Calibri"/>
    </font>
  </fonts>
  <fills count="16">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CE4D6"/>
      </patternFill>
    </fill>
    <fill>
      <patternFill patternType="solid">
        <fgColor rgb="FFD9EAF7"/>
      </patternFill>
    </fill>
    <fill>
      <patternFill patternType="solid">
        <fgColor rgb="FF92D050"/>
        <bgColor indexed="64"/>
      </patternFill>
    </fill>
    <fill>
      <patternFill patternType="solid">
        <fgColor rgb="FF00B0F0"/>
        <bgColor indexed="64"/>
      </patternFill>
    </fill>
    <fill>
      <patternFill patternType="solid">
        <fgColor theme="5" tint="-0.249977111117893"/>
        <bgColor indexed="64"/>
      </patternFill>
    </fill>
    <fill>
      <patternFill patternType="solid">
        <fgColor rgb="FFDDEBF7"/>
      </patternFill>
    </fill>
    <fill>
      <patternFill patternType="solid">
        <fgColor rgb="FFDDEBF7"/>
      </patternFill>
    </fill>
    <fill>
      <patternFill patternType="solid">
        <fgColor rgb="FFDDEBF7"/>
      </patternFill>
    </fill>
  </fills>
  <borders count="18">
    <border>
      <left/>
      <right/>
      <top/>
      <bottom/>
      <diagonal/>
    </border>
    <border>
      <left/>
      <right/>
      <top/>
      <bottom/>
      <diagonal/>
    </border>
    <border>
      <left/>
      <right/>
      <top style="thin">
        <color rgb="FF9CC2E5"/>
      </top>
      <bottom style="thin">
        <color rgb="FF9CC2E5"/>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hair">
        <color auto="1"/>
      </left>
      <right/>
      <top style="hair">
        <color auto="1"/>
      </top>
      <bottom style="hair">
        <color auto="1"/>
      </bottom>
      <diagonal/>
    </border>
    <border>
      <left style="hair">
        <color auto="1"/>
      </left>
      <right/>
      <top style="hair">
        <color auto="1"/>
      </top>
      <bottom style="thin">
        <color indexed="64"/>
      </bottom>
      <diagonal/>
    </border>
    <border>
      <left/>
      <right/>
      <top/>
      <bottom style="thin">
        <color indexed="64"/>
      </bottom>
      <diagonal/>
    </border>
    <border>
      <left/>
      <right style="hair">
        <color auto="1"/>
      </right>
      <top style="hair">
        <color auto="1"/>
      </top>
      <bottom style="hair">
        <color auto="1"/>
      </bottom>
      <diagonal/>
    </border>
    <border>
      <left/>
      <right/>
      <top style="thin">
        <color rgb="FFE5E7EB"/>
      </top>
      <bottom style="thin">
        <color rgb="FFE5E7EB"/>
      </bottom>
      <diagonal/>
    </border>
    <border>
      <left style="thin">
        <color auto="1"/>
      </left>
      <right style="thin">
        <color auto="1"/>
      </right>
      <top/>
      <bottom/>
      <diagonal/>
    </border>
    <border/>
    <border/>
  </borders>
  <cellStyleXfs count="7">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6" fillId="4" borderId="0" applyNumberFormat="0" applyBorder="0" applyAlignment="0" applyProtection="0"/>
    <xf numFmtId="0" fontId="7" fillId="3" borderId="0" applyNumberFormat="0" applyBorder="0" applyAlignment="0" applyProtection="0"/>
    <xf numFmtId="0" fontId="8" fillId="2" borderId="0" applyNumberFormat="0" applyBorder="0" applyAlignment="0" applyProtection="0"/>
    <xf numFmtId="43" fontId="1" fillId="0" borderId="0" applyFont="0" applyFill="0" applyBorder="0" applyAlignment="0" applyProtection="0"/>
  </cellStyleXfs>
  <cellXfs count="130">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4" xfId="0" applyFont="1" applyBorder="1"/>
    <xf numFmtId="0" fontId="0" fillId="0" borderId="10" xfId="0" applyBorder="1"/>
    <xf numFmtId="0" fontId="0" fillId="0" borderId="11" xfId="0" applyBorder="1"/>
    <xf numFmtId="0" fontId="0" fillId="0" borderId="1" xfId="0" applyBorder="1"/>
    <xf numFmtId="0" fontId="0" fillId="0" borderId="12" xfId="0" applyBorder="1"/>
    <xf numFmtId="0" fontId="0" fillId="0" borderId="3" xfId="0" applyBorder="1" applyAlignment="1">
      <alignment horizontal="center" vertical="center"/>
    </xf>
    <xf numFmtId="0" fontId="0" fillId="5" borderId="6" xfId="0" applyFill="1" applyBorder="1"/>
    <xf numFmtId="0" fontId="0" fillId="5" borderId="0" xfId="0" applyFill="1"/>
    <xf numFmtId="0" fontId="0" fillId="6" borderId="5" xfId="0" applyFill="1" applyBorder="1"/>
    <xf numFmtId="0" fontId="0" fillId="6" borderId="3" xfId="0" applyFill="1" applyBorder="1"/>
    <xf numFmtId="0" fontId="0" fillId="6" borderId="10" xfId="0" applyFill="1" applyBorder="1" applyAlignment="1">
      <alignment wrapText="1"/>
    </xf>
    <xf numFmtId="0" fontId="0" fillId="6" borderId="6" xfId="0" applyFill="1" applyBorder="1"/>
    <xf numFmtId="0" fontId="0" fillId="6" borderId="0" xfId="0" applyFill="1"/>
    <xf numFmtId="0" fontId="0" fillId="0" borderId="0" xfId="0" applyAlignment="1">
      <alignment horizontal="right"/>
    </xf>
    <xf numFmtId="0" fontId="4" fillId="0" borderId="0" xfId="2" applyAlignment="1">
      <alignment horizontal="right"/>
    </xf>
    <xf numFmtId="0" fontId="0" fillId="0" borderId="4" xfId="0" applyBorder="1" applyAlignment="1">
      <alignment horizontal="right" vertical="top" wrapText="1"/>
    </xf>
    <xf numFmtId="0" fontId="0" fillId="0" borderId="3" xfId="0" applyBorder="1" applyAlignment="1">
      <alignment horizontal="right" vertical="top" wrapText="1"/>
    </xf>
    <xf numFmtId="0" fontId="0" fillId="6" borderId="3" xfId="0" applyFill="1" applyBorder="1" applyAlignment="1">
      <alignment horizontal="right" vertical="top" wrapText="1"/>
    </xf>
    <xf numFmtId="0" fontId="0" fillId="0" borderId="8" xfId="0" applyBorder="1" applyAlignment="1">
      <alignment horizontal="right" vertical="top" wrapText="1"/>
    </xf>
    <xf numFmtId="0" fontId="0" fillId="7" borderId="0" xfId="0" applyFill="1" applyAlignment="1">
      <alignment horizontal="right"/>
    </xf>
    <xf numFmtId="0" fontId="4" fillId="7" borderId="0" xfId="2" applyFill="1" applyAlignment="1">
      <alignment horizontal="right"/>
    </xf>
    <xf numFmtId="0" fontId="0" fillId="0" borderId="4" xfId="0" applyBorder="1" applyAlignment="1">
      <alignment horizontal="right"/>
    </xf>
    <xf numFmtId="0" fontId="0" fillId="0" borderId="1" xfId="0" applyBorder="1" applyAlignment="1">
      <alignment horizontal="right"/>
    </xf>
    <xf numFmtId="0" fontId="0" fillId="0" borderId="3" xfId="0" applyBorder="1" applyAlignment="1">
      <alignment horizontal="right"/>
    </xf>
    <xf numFmtId="0" fontId="0" fillId="6" borderId="3" xfId="0" applyFill="1" applyBorder="1" applyAlignment="1">
      <alignment horizontal="right"/>
    </xf>
    <xf numFmtId="0" fontId="1" fillId="0" borderId="1" xfId="0" applyFont="1" applyBorder="1" applyAlignment="1">
      <alignment horizontal="right"/>
    </xf>
    <xf numFmtId="0" fontId="2" fillId="0" borderId="2" xfId="0" applyFont="1" applyBorder="1" applyAlignment="1">
      <alignment horizontal="right"/>
    </xf>
    <xf numFmtId="0" fontId="0" fillId="0" borderId="12" xfId="0" applyBorder="1" applyAlignment="1">
      <alignment horizontal="right"/>
    </xf>
    <xf numFmtId="0" fontId="0" fillId="0" borderId="13" xfId="0" applyBorder="1"/>
    <xf numFmtId="0" fontId="0" fillId="6" borderId="13" xfId="0" applyFill="1" applyBorder="1"/>
    <xf numFmtId="0" fontId="5" fillId="8" borderId="14" xfId="0" applyFont="1" applyFill="1" applyBorder="1" applyAlignment="1">
      <alignment horizontal="right" vertical="top" wrapText="1"/>
    </xf>
    <xf numFmtId="0" fontId="5" fillId="9" borderId="14" xfId="0" applyFont="1" applyFill="1" applyBorder="1" applyAlignment="1">
      <alignment horizontal="right" vertical="top" wrapText="1"/>
    </xf>
    <xf numFmtId="0" fontId="0" fillId="10" borderId="1" xfId="0" applyFill="1" applyBorder="1"/>
    <xf numFmtId="0" fontId="0" fillId="10" borderId="5" xfId="0" applyFill="1" applyBorder="1"/>
    <xf numFmtId="0" fontId="1" fillId="10" borderId="1" xfId="0" applyFont="1" applyFill="1" applyBorder="1" applyAlignment="1">
      <alignment horizontal="right"/>
    </xf>
    <xf numFmtId="0" fontId="0" fillId="10" borderId="3" xfId="0" applyFill="1" applyBorder="1" applyAlignment="1">
      <alignment horizontal="right" vertical="top" wrapText="1"/>
    </xf>
    <xf numFmtId="0" fontId="0" fillId="10" borderId="3" xfId="0" applyFill="1" applyBorder="1" applyAlignment="1">
      <alignment horizontal="center" vertical="center"/>
    </xf>
    <xf numFmtId="0" fontId="0" fillId="10" borderId="3" xfId="0" applyFill="1" applyBorder="1" applyAlignment="1">
      <alignment wrapText="1"/>
    </xf>
    <xf numFmtId="0" fontId="0" fillId="10" borderId="3" xfId="0" applyFill="1" applyBorder="1"/>
    <xf numFmtId="0" fontId="0" fillId="10" borderId="10" xfId="0" applyFill="1" applyBorder="1" applyAlignment="1">
      <alignment wrapText="1"/>
    </xf>
    <xf numFmtId="0" fontId="7" fillId="3" borderId="0" xfId="4"/>
    <xf numFmtId="0" fontId="7" fillId="3" borderId="0" xfId="4" applyAlignment="1">
      <alignment horizontal="center" vertical="center"/>
    </xf>
    <xf numFmtId="0" fontId="7" fillId="3" borderId="1" xfId="4" applyBorder="1" applyAlignment="1">
      <alignment horizontal="center" vertical="center" wrapText="1"/>
    </xf>
    <xf numFmtId="0" fontId="7" fillId="3" borderId="0" xfId="4" applyAlignment="1">
      <alignment horizontal="right"/>
    </xf>
    <xf numFmtId="0" fontId="7" fillId="3" borderId="0" xfId="4" applyAlignment="1">
      <alignment horizontal="center" vertical="center" wrapText="1"/>
    </xf>
    <xf numFmtId="0" fontId="7" fillId="3" borderId="1" xfId="4" applyBorder="1" applyAlignment="1">
      <alignment horizontal="right" vertical="top" wrapText="1"/>
    </xf>
    <xf numFmtId="0" fontId="7" fillId="3" borderId="0" xfId="4" applyAlignment="1">
      <alignment horizontal="right" wrapText="1"/>
    </xf>
    <xf numFmtId="0" fontId="7" fillId="3" borderId="0" xfId="4" applyAlignment="1">
      <alignment wrapText="1"/>
    </xf>
    <xf numFmtId="0" fontId="7" fillId="3" borderId="5" xfId="4" applyBorder="1"/>
    <xf numFmtId="0" fontId="7" fillId="3" borderId="1" xfId="4" applyBorder="1"/>
    <xf numFmtId="0" fontId="7" fillId="3" borderId="1" xfId="4" applyBorder="1" applyAlignment="1">
      <alignment horizontal="right"/>
    </xf>
    <xf numFmtId="0" fontId="7" fillId="3" borderId="3" xfId="4" applyBorder="1" applyAlignment="1">
      <alignment horizontal="right" vertical="top" wrapText="1"/>
    </xf>
    <xf numFmtId="0" fontId="7" fillId="3" borderId="3" xfId="4" applyBorder="1" applyAlignment="1">
      <alignment horizontal="center" vertical="center"/>
    </xf>
    <xf numFmtId="0" fontId="7" fillId="3" borderId="3" xfId="4" applyBorder="1" applyAlignment="1">
      <alignment wrapText="1"/>
    </xf>
    <xf numFmtId="0" fontId="7" fillId="3" borderId="3" xfId="4" applyBorder="1"/>
    <xf numFmtId="0" fontId="7" fillId="3" borderId="10" xfId="4" applyBorder="1" applyAlignment="1">
      <alignment wrapText="1"/>
    </xf>
    <xf numFmtId="0" fontId="6" fillId="4" borderId="0" xfId="3"/>
    <xf numFmtId="0" fontId="6" fillId="4" borderId="0" xfId="3" applyAlignment="1">
      <alignment horizontal="right"/>
    </xf>
    <xf numFmtId="0" fontId="6" fillId="4" borderId="0" xfId="3" applyAlignment="1">
      <alignment wrapText="1"/>
    </xf>
    <xf numFmtId="0" fontId="6" fillId="4" borderId="1" xfId="3" applyBorder="1" applyAlignment="1">
      <alignment horizontal="right" vertical="top" wrapText="1"/>
    </xf>
    <xf numFmtId="0" fontId="6" fillId="4" borderId="1" xfId="3" applyBorder="1" applyAlignment="1">
      <alignment wrapText="1"/>
    </xf>
    <xf numFmtId="0" fontId="6" fillId="4" borderId="1" xfId="3" applyBorder="1"/>
    <xf numFmtId="0" fontId="8" fillId="2" borderId="0" xfId="5"/>
    <xf numFmtId="0" fontId="8" fillId="2" borderId="14" xfId="5" applyBorder="1" applyAlignment="1">
      <alignment horizontal="right" vertical="top" wrapText="1"/>
    </xf>
    <xf numFmtId="0" fontId="8" fillId="2" borderId="0" xfId="5" applyAlignment="1">
      <alignment horizontal="right" wrapText="1"/>
    </xf>
    <xf numFmtId="0" fontId="8" fillId="2" borderId="1" xfId="5" applyBorder="1" applyAlignment="1">
      <alignment horizontal="right"/>
    </xf>
    <xf numFmtId="0" fontId="8" fillId="2" borderId="1" xfId="5" applyBorder="1" applyAlignment="1">
      <alignment horizontal="right" vertical="top" wrapText="1"/>
    </xf>
    <xf numFmtId="0" fontId="8" fillId="2" borderId="1" xfId="5" applyBorder="1"/>
    <xf numFmtId="0" fontId="8" fillId="2" borderId="1" xfId="5" applyBorder="1" applyAlignment="1">
      <alignment wrapText="1"/>
    </xf>
    <xf numFmtId="0" fontId="7" fillId="3" borderId="14" xfId="4" applyBorder="1" applyAlignment="1">
      <alignment horizontal="right" vertical="top" wrapText="1"/>
    </xf>
    <xf numFmtId="0" fontId="8" fillId="2" borderId="0" xfId="5" applyAlignment="1">
      <alignment horizontal="right"/>
    </xf>
    <xf numFmtId="0" fontId="8" fillId="2" borderId="0" xfId="5" applyAlignment="1">
      <alignment wrapText="1"/>
    </xf>
    <xf numFmtId="0" fontId="0" fillId="0" borderId="0" xfId="0" applyAlignment="1">
      <alignment wrapText="1"/>
    </xf>
    <xf numFmtId="9" fontId="6" fillId="4" borderId="0" xfId="3" applyNumberFormat="1"/>
    <xf numFmtId="9" fontId="6" fillId="4" borderId="1" xfId="3" applyNumberFormat="1" applyBorder="1" applyAlignment="1">
      <alignment horizontal="right" vertical="top" wrapText="1"/>
    </xf>
    <xf numFmtId="9" fontId="6" fillId="4" borderId="0" xfId="3" applyNumberFormat="1" applyAlignment="1">
      <alignment wrapText="1"/>
    </xf>
    <xf numFmtId="0" fontId="7" fillId="3" borderId="3" xfId="4" applyBorder="1" applyAlignment="1">
      <alignment horizontal="left" vertical="center" wrapText="1"/>
    </xf>
    <xf numFmtId="0" fontId="7" fillId="3" borderId="6" xfId="4" applyBorder="1"/>
    <xf numFmtId="0" fontId="7" fillId="3" borderId="6" xfId="4" applyBorder="1" applyAlignment="1">
      <alignment wrapText="1"/>
    </xf>
    <xf numFmtId="0" fontId="7" fillId="3" borderId="2" xfId="4" applyBorder="1" applyAlignment="1">
      <alignment horizontal="right"/>
    </xf>
    <xf numFmtId="0" fontId="7" fillId="3" borderId="3" xfId="4" applyBorder="1" applyAlignment="1">
      <alignment horizontal="left" vertical="center"/>
    </xf>
    <xf numFmtId="0" fontId="7" fillId="3" borderId="10" xfId="4" applyBorder="1"/>
    <xf numFmtId="0" fontId="7" fillId="3" borderId="0" xfId="4" applyAlignment="1">
      <alignment horizontal="right" vertical="center" wrapText="1"/>
    </xf>
    <xf numFmtId="0" fontId="0" fillId="0" borderId="15" xfId="0" applyFill="1" applyBorder="1"/>
    <xf numFmtId="0" fontId="0" fillId="0" borderId="0" xfId="0" applyAlignment="1">
      <alignment horizontal="right" wrapText="1"/>
    </xf>
    <xf numFmtId="0" fontId="6" fillId="4" borderId="0" xfId="3" applyAlignment="1">
      <alignment horizontal="right" wrapText="1"/>
    </xf>
    <xf numFmtId="43" fontId="0" fillId="0" borderId="0" xfId="6" applyFont="1"/>
    <xf numFmtId="0" fontId="0" fillId="11" borderId="1" xfId="0" applyFill="1" applyBorder="1"/>
    <xf numFmtId="0" fontId="4" fillId="11" borderId="1" xfId="2" applyFill="1" applyBorder="1"/>
    <xf numFmtId="0" fontId="0" fillId="11" borderId="1" xfId="0" applyFill="1" applyBorder="1" applyAlignment="1">
      <alignment wrapText="1"/>
    </xf>
    <xf numFmtId="0" fontId="0" fillId="12" borderId="0" xfId="0" applyFill="1"/>
    <xf numFmtId="0" fontId="0" fillId="12" borderId="0" xfId="0" applyFill="1" applyAlignment="1">
      <alignment horizontal="right"/>
    </xf>
    <xf numFmtId="0" fontId="0" fillId="12" borderId="0" xfId="0" applyFill="1" applyAlignment="1">
      <alignment horizontal="right" wrapText="1"/>
    </xf>
    <xf numFmtId="0" fontId="7" fillId="3" borderId="3" xfId="4" applyBorder="1" applyAlignment="1">
      <alignment horizontal="right" vertical="top" wrapText="1"/>
    </xf>
    <xf numFmtId="0" fontId="0" fillId="13" borderId="5" xfId="0" applyBorder="1" applyFill="1"/>
    <xf numFmtId="0" fontId="0" fillId="13" borderId="1" xfId="0" applyBorder="1" applyFill="1"/>
    <xf numFmtId="0" fontId="1" fillId="13" borderId="1" xfId="0" applyFont="1" applyBorder="1" applyAlignment="1" applyFill="1">
      <alignment horizontal="right"/>
    </xf>
    <xf numFmtId="0" fontId="0" fillId="13" borderId="3" xfId="0" applyBorder="1" applyAlignment="1" applyFill="1">
      <alignment horizontal="right" vertical="top" wrapText="1"/>
    </xf>
    <xf numFmtId="0" fontId="0" fillId="13" borderId="3" xfId="0" applyBorder="1" applyAlignment="1" applyFill="1">
      <alignment horizontal="center" vertical="center"/>
    </xf>
    <xf numFmtId="0" fontId="0" fillId="13" borderId="3" xfId="0" applyBorder="1" applyFill="1"/>
    <xf numFmtId="0" fontId="0" fillId="13" borderId="10" xfId="0" applyBorder="1" applyFill="1"/>
    <xf numFmtId="0" fontId="0" fillId="13" borderId="6" xfId="0" applyBorder="1" applyFill="1"/>
    <xf numFmtId="0" fontId="0" fillId="13" borderId="0" xfId="0" applyFill="1"/>
    <xf numFmtId="0" fontId="0" fillId="0" borderId="3" xfId="0" applyBorder="1" applyAlignment="1">
      <alignment horizontal="right" vertical="top" wrapText="1"/>
    </xf>
    <xf numFmtId="0" fontId="0" fillId="0" borderId="8" xfId="0" applyBorder="1" applyAlignment="1">
      <alignment horizontal="right" vertical="top" wrapText="1"/>
    </xf>
    <xf numFmtId="0" fontId="7" fillId="3" borderId="0" xfId="4" applyAlignment="1">
      <alignment horizontal="right" wrapText="1" vertical="top"/>
    </xf>
    <xf numFmtId="0" fontId="7" fillId="3" borderId="0" xfId="4" applyAlignment="1">
      <alignment horizontal="center" vertical="top" wrapText="1"/>
    </xf>
    <xf numFmtId="0" fontId="7" fillId="3" borderId="0" xfId="4" applyAlignment="1">
      <alignment wrapText="1" vertical="top"/>
    </xf>
    <xf numFmtId="0" fontId="0" fillId="12" borderId="0" xfId="0" applyFill="1" applyAlignment="1">
      <alignment horizontal="right" wrapText="1" vertical="top"/>
    </xf>
    <xf numFmtId="0" fontId="0" fillId="0" borderId="0" xfId="0" applyAlignment="1">
      <alignment wrapText="1" vertical="top"/>
    </xf>
    <xf numFmtId="0" fontId="4" fillId="13" borderId="0" xfId="2" applyFill="1" applyAlignment="1">
      <alignment horizontal="right"/>
    </xf>
    <xf numFmtId="0" fontId="0" fillId="13" borderId="0" xfId="0" applyAlignment="1" applyFill="1">
      <alignment wrapText="1" vertical="top"/>
    </xf>
    <xf numFmtId="0" fontId="6" fillId="4" borderId="0" xfId="3" applyAlignment="1">
      <alignment wrapText="1" vertical="top"/>
    </xf>
    <xf numFmtId="0" fontId="0" fillId="13" borderId="0" xfId="0" applyAlignment="1" applyFill="1">
      <alignment horizontal="right"/>
    </xf>
    <xf numFmtId="0" fontId="5" fillId="13" borderId="14" xfId="0" applyFont="1" applyFill="1" applyBorder="1" applyAlignment="1">
      <alignment horizontal="right" vertical="top" wrapText="1"/>
    </xf>
    <xf numFmtId="0" fontId="5" fillId="13" borderId="14" xfId="0" applyFont="1" applyFill="1" applyBorder="1" applyAlignment="1">
      <alignment horizontal="right" vertical="top" wrapText="1"/>
    </xf>
    <xf numFmtId="0" fontId="0" fillId="0" borderId="0" xfId="0" applyAlignment="1">
      <alignment horizontal="right" wrapText="1" vertical="top"/>
    </xf>
    <xf numFmtId="0" fontId="0" fillId="0" borderId="0" xfId="0" applyAlignment="1">
      <alignment wrapText="1" vertical="top"/>
    </xf>
    <xf numFmtId="0" fontId="9" fillId="14" borderId="16" xfId="0" applyNumberFormat="1" applyFont="1" applyFill="1" applyBorder="1" applyAlignment="1">
      <alignment vertical="top"/>
    </xf>
    <xf numFmtId="0" fontId="9" fillId="14" borderId="16" xfId="0" applyNumberFormat="1" applyFont="1" applyFill="1" applyBorder="1" applyAlignment="1">
      <alignment vertical="top" wrapText="1"/>
    </xf>
    <xf numFmtId="0" fontId="10" fillId="15" borderId="17" xfId="0" applyNumberFormat="1" applyFont="1" applyFill="1" applyBorder="1" applyAlignment="1">
      <alignment vertical="top"/>
    </xf>
    <xf numFmtId="0" fontId="10" fillId="15" borderId="17" xfId="0" applyNumberFormat="1" applyFont="1" applyFill="1" applyBorder="1" applyAlignment="1">
      <alignment vertical="top" wrapText="1"/>
    </xf>
  </cellXfs>
  <cellStyles count="7">
    <cellStyle name="Bad" xfId="4" builtinId="27"/>
    <cellStyle name="Comma" xfId="6" builtinId="3"/>
    <cellStyle name="Good" xfId="3" builtinId="26"/>
    <cellStyle name="Hyperlink" xfId="2" builtinId="8"/>
    <cellStyle name="Neutral" xfId="5" builtinId="28"/>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C6EECF"/>
      </a:accent1>
      <a:accent2>
        <a:srgbClr val="ED7D31"/>
      </a:accent2>
      <a:accent3>
        <a:srgbClr val="A5A5A5"/>
      </a:accent3>
      <a:accent4>
        <a:srgbClr val="FFC000"/>
      </a:accent4>
      <a:accent5>
        <a:srgbClr val="4472C4"/>
      </a:accent5>
      <a:accent6>
        <a:srgbClr val="C6EECF"/>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auart.lv/" TargetMode="External"/><Relationship Id="rId13" Type="http://schemas.openxmlformats.org/officeDocument/2006/relationships/hyperlink" Target="https://www.accentbuve.lv/" TargetMode="External"/><Relationship Id="rId3" Type="http://schemas.openxmlformats.org/officeDocument/2006/relationships/hyperlink" Target="https://www.estrichbuve.lv/" TargetMode="External"/><Relationship Id="rId7" Type="http://schemas.openxmlformats.org/officeDocument/2006/relationships/hyperlink" Target="http://www.prbplus.lv/" TargetMode="External"/><Relationship Id="rId12" Type="http://schemas.openxmlformats.org/officeDocument/2006/relationships/hyperlink" Target="https://www.domabuve.lv/" TargetMode="External"/><Relationship Id="rId2" Type="http://schemas.openxmlformats.org/officeDocument/2006/relationships/hyperlink" Target="https://safegroup.lv/" TargetMode="External"/><Relationship Id="rId1" Type="http://schemas.openxmlformats.org/officeDocument/2006/relationships/hyperlink" Target="mailto:info@ugunsdrosibalv.lv,%20asked%20to%20send%20more%20info.%20I%20can%20send%20and%20call%20later.%20" TargetMode="External"/><Relationship Id="rId6" Type="http://schemas.openxmlformats.org/officeDocument/2006/relationships/hyperlink" Target="https://www.uptk.lv/" TargetMode="External"/><Relationship Id="rId11" Type="http://schemas.openxmlformats.org/officeDocument/2006/relationships/hyperlink" Target="https://www.elektro-pm.lv/" TargetMode="External"/><Relationship Id="rId5" Type="http://schemas.openxmlformats.org/officeDocument/2006/relationships/hyperlink" Target="http://www.expon.lv/" TargetMode="External"/><Relationship Id="rId15" Type="http://schemas.openxmlformats.org/officeDocument/2006/relationships/printerSettings" Target="../printerSettings/printerSettings1.bin"/><Relationship Id="rId10" Type="http://schemas.openxmlformats.org/officeDocument/2006/relationships/hyperlink" Target="https://ancoris.eu/" TargetMode="External"/><Relationship Id="rId4" Type="http://schemas.openxmlformats.org/officeDocument/2006/relationships/hyperlink" Target="https://www.betonaklonagridas.lv/" TargetMode="External"/><Relationship Id="rId9" Type="http://schemas.openxmlformats.org/officeDocument/2006/relationships/hyperlink" Target="https://www.rbv.lv/" TargetMode="External"/><Relationship Id="rId14" Type="http://schemas.openxmlformats.org/officeDocument/2006/relationships/hyperlink" Target="https://titans.l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3"/>
  <sheetViews>
    <sheetView tabSelected="1" topLeftCell="C1" zoomScale="110" zoomScaleNormal="110" workbookViewId="0">
      <selection activeCell="D47" sqref="D47"/>
    </sheetView>
  </sheetViews>
  <sheetFormatPr defaultRowHeight="80.25" customHeight="1"/>
  <cols>
    <col min="2" max="2" width="20" customWidth="1"/>
    <col min="3" max="3" width="85.7109375" style="21" customWidth="1"/>
    <col min="4" max="4" width="57.5703125" style="92" customWidth="1"/>
    <col min="5" max="5" width="18.5703125" customWidth="1"/>
    <col min="6" max="6" width="51.5703125" customWidth="1"/>
    <col min="7" max="7" width="14.85546875" customWidth="1"/>
    <col min="8" max="8" width="13.5703125" customWidth="1"/>
    <col min="9" max="9" width="11.42578125" customWidth="1"/>
    <col min="10" max="10" width="9.7109375" customWidth="1"/>
    <col min="11" max="11" width="60.42578125" customWidth="1"/>
    <col min="12" max="12" width="24.140625" customWidth="1"/>
    <col min="13" max="13" width="20" customWidth="1"/>
    <col min="14" max="14" width="27.42578125" customWidth="1"/>
    <col min="15" max="15" width="27.140625" customWidth="1"/>
  </cols>
  <sheetData>
    <row r="2" spans="1:15" ht="80.25" customHeight="1">
      <c r="A2" s="2" t="s">
        <v>0</v>
      </c>
      <c r="B2" s="2" t="s">
        <v>147</v>
      </c>
      <c r="C2" s="29" t="s">
        <v>1</v>
      </c>
      <c r="D2" s="23" t="s">
        <v>2</v>
      </c>
      <c r="E2" s="2" t="s">
        <v>3</v>
      </c>
      <c r="F2" s="2" t="s">
        <v>4</v>
      </c>
      <c r="G2" s="2" t="s">
        <v>5</v>
      </c>
      <c r="H2" s="2" t="s">
        <v>6</v>
      </c>
      <c r="I2" s="2" t="s">
        <v>7</v>
      </c>
      <c r="J2" s="8" t="s">
        <v>8</v>
      </c>
      <c r="K2" s="2" t="s">
        <v>9</v>
      </c>
      <c r="L2" s="2" t="s">
        <v>10</v>
      </c>
      <c r="M2" s="8" t="s">
        <v>11</v>
      </c>
      <c r="N2" s="2" t="s">
        <v>12</v>
      </c>
      <c r="O2" s="91" t="s">
        <v>313</v>
      </c>
    </row>
    <row r="3" spans="1:15" ht="80.25" customHeight="1">
      <c r="A3" s="3"/>
      <c r="B3" s="11"/>
      <c r="C3" s="58" t="s">
        <v>13</v>
      </c>
      <c r="D3" s="59" t="s">
        <v>94</v>
      </c>
      <c r="E3" s="62" t="s">
        <v>93</v>
      </c>
      <c r="F3" s="62" t="s">
        <v>95</v>
      </c>
      <c r="G3" s="62" t="s">
        <v>96</v>
      </c>
      <c r="H3" s="62" t="s">
        <v>96</v>
      </c>
      <c r="I3" s="62" t="s">
        <v>96</v>
      </c>
      <c r="J3" s="62" t="s">
        <v>96</v>
      </c>
      <c r="K3" s="63" t="s">
        <v>101</v>
      </c>
      <c r="L3" s="86" t="s">
        <v>97</v>
      </c>
      <c r="M3" s="85"/>
      <c r="N3" s="85"/>
      <c r="O3" s="57" t="s">
        <v>95</v>
      </c>
    </row>
    <row r="4" spans="1:15" s="15" customFormat="1" ht="249" customHeight="1">
      <c r="A4" s="41"/>
      <c r="B4" s="40"/>
      <c r="C4" s="42" t="s">
        <v>14</v>
      </c>
      <c r="D4" s="43" t="s">
        <v>103</v>
      </c>
      <c r="E4" s="44" t="s">
        <v>93</v>
      </c>
      <c r="F4" s="45" t="s">
        <v>114</v>
      </c>
      <c r="G4" s="46"/>
      <c r="H4" s="46"/>
      <c r="I4" s="46"/>
      <c r="J4" s="46"/>
      <c r="K4" s="47" t="s">
        <v>308</v>
      </c>
      <c r="L4" s="14"/>
      <c r="M4" s="14"/>
      <c r="N4" s="14"/>
      <c r="O4" s="57" t="s">
        <v>95</v>
      </c>
    </row>
    <row r="5" spans="1:15" ht="80.25" customHeight="1">
      <c r="A5" s="3"/>
      <c r="B5" s="36"/>
      <c r="C5" s="31"/>
      <c r="D5" s="24"/>
      <c r="E5" s="1"/>
      <c r="F5" s="1"/>
      <c r="G5" s="1"/>
      <c r="H5" s="1"/>
      <c r="I5" s="1"/>
      <c r="J5" s="1"/>
      <c r="K5" s="9"/>
      <c r="L5" s="4"/>
      <c r="M5" s="4"/>
      <c r="N5" s="4"/>
    </row>
    <row r="6" spans="1:15" s="20" customFormat="1" ht="80.25" customHeight="1">
      <c r="A6" s="16"/>
      <c r="B6" s="37"/>
      <c r="C6" s="32" t="s">
        <v>15</v>
      </c>
      <c r="D6" s="25" t="s">
        <v>84</v>
      </c>
      <c r="E6" s="17" t="s">
        <v>93</v>
      </c>
      <c r="F6" s="17" t="s">
        <v>95</v>
      </c>
      <c r="G6" s="17"/>
      <c r="H6" s="17"/>
      <c r="I6" s="17"/>
      <c r="J6" s="17"/>
      <c r="K6" s="18" t="s">
        <v>102</v>
      </c>
      <c r="L6" s="19"/>
      <c r="M6" s="19"/>
      <c r="N6" s="19"/>
      <c r="O6" s="57" t="s">
        <v>95</v>
      </c>
    </row>
    <row r="7" spans="1:15" s="48" customFormat="1" ht="162" customHeight="1">
      <c r="A7" s="56"/>
      <c r="B7" s="57"/>
      <c r="C7" s="58" t="s">
        <v>16</v>
      </c>
      <c r="D7" s="101" t="inlineStr">
        <is>
          <t xml:space="preserve">2024 net turnover: €201,729.
Reg. 40003544247.
Source: UR annual accounts, report 1977581. https://data.gov.lv/dati/dataset/gada-parskatu-finansu-dati
| 1 | Vladimirs Vereteņņikovs | Chairman of the Board, individual representation rights | +371 67563065 | sanoserviss@inbox.lv | Decision-maker ✅ / direct phone ❌ |</t>
        </is>
      </c>
      <c r="E7" s="60" t="s">
        <v>93</v>
      </c>
      <c r="F7" s="88" t="s">
        <v>106</v>
      </c>
      <c r="G7" s="62"/>
      <c r="H7" s="62"/>
      <c r="I7" s="62"/>
      <c r="J7" s="62"/>
      <c r="K7" s="89"/>
      <c r="L7" s="85"/>
      <c r="M7" s="85"/>
      <c r="N7" s="85"/>
    </row>
    <row r="8" spans="1:15" ht="80.25" customHeight="1">
      <c r="A8" s="3"/>
      <c r="B8" s="36"/>
      <c r="C8" s="31"/>
      <c r="D8" s="24"/>
      <c r="E8" s="1"/>
      <c r="F8" s="1"/>
      <c r="G8" s="1"/>
      <c r="H8" s="1"/>
      <c r="I8" s="1"/>
      <c r="J8" s="1"/>
      <c r="K8" s="9"/>
      <c r="L8" s="4"/>
      <c r="M8" s="4"/>
      <c r="N8" s="4"/>
    </row>
    <row r="9" spans="1:15" s="48" customFormat="1" ht="101.25" customHeight="1">
      <c r="A9" s="56"/>
      <c r="B9" s="57"/>
      <c r="C9" s="58" t="s">
        <v>18</v>
      </c>
      <c r="D9" s="59" t="s">
        <v>85</v>
      </c>
      <c r="E9" s="60" t="s">
        <v>93</v>
      </c>
      <c r="G9" s="62"/>
      <c r="H9" s="62"/>
      <c r="I9" s="62"/>
      <c r="J9" s="62"/>
      <c r="K9" s="62" t="s">
        <v>110</v>
      </c>
      <c r="L9" s="85"/>
      <c r="M9" s="85"/>
      <c r="N9" s="85"/>
      <c r="O9" s="57" t="s">
        <v>95</v>
      </c>
    </row>
    <row r="10" spans="1:15" s="48" customFormat="1" ht="118.5" customHeight="1">
      <c r="A10" s="56"/>
      <c r="B10" s="57"/>
      <c r="C10" s="58" t="s">
        <v>19</v>
      </c>
      <c r="D10" s="59" t="s">
        <v>163</v>
      </c>
      <c r="E10" s="60" t="s">
        <v>93</v>
      </c>
      <c r="F10" s="84" t="s">
        <v>164</v>
      </c>
      <c r="G10" s="62"/>
      <c r="H10" s="62"/>
      <c r="I10" s="62"/>
      <c r="J10" s="62"/>
      <c r="K10" s="63" t="s">
        <v>176</v>
      </c>
      <c r="L10" s="85"/>
      <c r="M10" s="85"/>
      <c r="N10" s="85"/>
      <c r="O10" s="57" t="s">
        <v>95</v>
      </c>
    </row>
    <row r="11" spans="1:15" ht="147" customHeight="1">
      <c r="A11" s="102"/>
      <c r="B11" s="103"/>
      <c r="C11" s="104" t="s">
        <v>20</v>
      </c>
      <c r="D11" s="105" t="inlineStr">
        <is>
          <t xml:space="preserve">2024 net turnover: €841,642.
Reg. 50003057361.
Source: UR annual accounts, report 2034931. https://data.gov.lv/dati/dataset/gada-parskatu-finansu-dati
Grigorijs Markins
grigorijs@akvilon.lv
+371 29354755</t>
        </is>
      </c>
      <c r="E11" s="106" t="s">
        <v>105</v>
      </c>
      <c r="F11" s="107"/>
      <c r="G11" s="107"/>
      <c r="H11" s="107"/>
      <c r="I11" s="107"/>
      <c r="J11" s="107"/>
      <c r="K11" s="108"/>
      <c r="L11" s="109"/>
      <c r="M11" s="109"/>
      <c r="N11" s="109"/>
      <c r="O11" s="110"/>
    </row>
    <row r="12" spans="1:15" ht="80.25" customHeight="1">
      <c r="A12" s="56"/>
      <c r="B12" s="57"/>
      <c r="C12" s="58" t="s">
        <v>21</v>
      </c>
      <c r="D12" s="59" t="s">
        <v>98</v>
      </c>
      <c r="E12" s="60" t="s">
        <v>93</v>
      </c>
      <c r="F12" s="61" t="s">
        <v>95</v>
      </c>
      <c r="G12" s="62" t="s">
        <v>96</v>
      </c>
      <c r="H12" s="62" t="s">
        <v>96</v>
      </c>
      <c r="I12" s="62" t="s">
        <v>96</v>
      </c>
      <c r="J12" s="62" t="s">
        <v>96</v>
      </c>
      <c r="K12" s="61" t="s">
        <v>99</v>
      </c>
      <c r="L12" s="4"/>
      <c r="M12" s="4"/>
      <c r="N12" s="4"/>
      <c r="O12" s="57" t="s">
        <v>95</v>
      </c>
    </row>
    <row r="13" spans="1:15" ht="147" customHeight="1">
      <c r="A13" s="3"/>
      <c r="B13" s="11"/>
      <c r="C13" s="34" t="s">
        <v>22</v>
      </c>
      <c r="D13" s="111" t="inlineStr">
        <is>
          <t xml:space="preserve">2024 net turnover: €411,701.
Reg. 40102027082.
Source: UR annual accounts, report 2024504. https://data.gov.lv/dati/dataset/gada-parskatu-finansu-dati
Mihails Potaševs
ventors@ventors.lv
+371 67134122</t>
        </is>
      </c>
      <c r="E13" s="1" t="s">
        <v>105</v>
      </c>
      <c r="F13" s="1"/>
      <c r="G13" s="1"/>
      <c r="H13" s="1"/>
      <c r="I13" s="1"/>
      <c r="J13" s="1"/>
      <c r="K13" s="9"/>
      <c r="L13" s="4"/>
      <c r="M13" s="4"/>
      <c r="N13" s="4"/>
    </row>
    <row r="14" spans="1:15" ht="180" customHeight="1">
      <c r="A14" s="56"/>
      <c r="B14" s="57"/>
      <c r="C14" s="87" t="s">
        <v>23</v>
      </c>
      <c r="D14" s="59" t="s">
        <v>100</v>
      </c>
      <c r="E14" s="60" t="s">
        <v>93</v>
      </c>
      <c r="F14" s="62" t="s">
        <v>95</v>
      </c>
      <c r="G14" s="62" t="s">
        <v>95</v>
      </c>
      <c r="H14" s="62"/>
      <c r="I14" s="62"/>
      <c r="J14" s="62"/>
      <c r="K14" s="63" t="s">
        <v>177</v>
      </c>
      <c r="L14" s="4"/>
      <c r="M14" s="4"/>
      <c r="N14" s="4"/>
      <c r="O14" s="57" t="s">
        <v>95</v>
      </c>
    </row>
    <row r="15" spans="1:15" ht="80.25" customHeight="1">
      <c r="A15" s="56"/>
      <c r="B15" s="57"/>
      <c r="C15" s="58" t="s">
        <v>24</v>
      </c>
      <c r="D15" s="59" t="s">
        <v>88</v>
      </c>
      <c r="E15" s="62" t="s">
        <v>105</v>
      </c>
      <c r="F15" s="62"/>
      <c r="G15" s="62"/>
      <c r="H15" s="62"/>
      <c r="I15" s="62"/>
      <c r="J15" s="62"/>
      <c r="K15" s="89" t="s">
        <v>113</v>
      </c>
      <c r="L15" s="4"/>
      <c r="M15" s="4"/>
      <c r="N15" s="4"/>
      <c r="O15" s="57" t="s">
        <v>95</v>
      </c>
    </row>
    <row r="16" spans="1:15" ht="80.25" customHeight="1">
      <c r="A16" s="56"/>
      <c r="B16" s="57"/>
      <c r="C16" s="58" t="s">
        <v>25</v>
      </c>
      <c r="D16" s="59" t="s">
        <v>89</v>
      </c>
      <c r="E16" s="60" t="s">
        <v>93</v>
      </c>
      <c r="F16" s="61" t="s">
        <v>107</v>
      </c>
      <c r="G16" s="62"/>
      <c r="H16" s="62"/>
      <c r="I16" s="62"/>
      <c r="J16" s="62"/>
      <c r="K16" s="63" t="s">
        <v>108</v>
      </c>
      <c r="L16" s="86" t="s">
        <v>109</v>
      </c>
      <c r="M16" s="4"/>
      <c r="N16" s="4"/>
      <c r="O16" s="57" t="s">
        <v>95</v>
      </c>
    </row>
    <row r="17" spans="1:15" ht="147" customHeight="1">
      <c r="A17" s="3"/>
      <c r="B17" s="11"/>
      <c r="C17" s="30" t="s">
        <v>26</v>
      </c>
      <c r="D17" s="111" t="inlineStr">
        <is>
          <t xml:space="preserve">2024 net turnover: €770,441.
Reg. 40103887033.
Source: UR annual accounts, report 1973200. https://data.gov.lv/dati/dataset/gada-parskatu-finansu-dati
Management / sales — named DM not verified
sales@latakva.com
+371 27249249</t>
        </is>
      </c>
      <c r="E17" s="1" t="s">
        <v>105</v>
      </c>
      <c r="F17" s="1"/>
      <c r="G17" s="1"/>
      <c r="H17" s="1"/>
      <c r="I17" s="1"/>
      <c r="J17" s="1"/>
      <c r="K17" s="9"/>
      <c r="L17" s="4"/>
      <c r="M17" s="4"/>
      <c r="N17" s="4"/>
    </row>
    <row r="18" spans="1:15" ht="80.25" customHeight="1">
      <c r="A18" s="56"/>
      <c r="B18" s="57"/>
      <c r="C18" s="58" t="s">
        <v>27</v>
      </c>
      <c r="D18" s="59" t="s">
        <v>91</v>
      </c>
      <c r="E18" s="60" t="s">
        <v>93</v>
      </c>
      <c r="F18" s="61" t="s">
        <v>111</v>
      </c>
      <c r="G18" s="62"/>
      <c r="H18" s="62"/>
      <c r="I18" s="62"/>
      <c r="J18" s="62"/>
      <c r="K18" s="63" t="s">
        <v>115</v>
      </c>
      <c r="L18" s="4"/>
      <c r="M18" s="4"/>
      <c r="N18" s="4"/>
      <c r="O18" s="57" t="s">
        <v>95</v>
      </c>
    </row>
    <row r="19" spans="1:15" ht="147" customHeight="1">
      <c r="A19" s="5"/>
      <c r="B19" s="12"/>
      <c r="C19" s="35" t="s">
        <v>28</v>
      </c>
      <c r="D19" s="112" t="inlineStr">
        <is>
          <t xml:space="preserve">2024 net turnover: €10,121,282.
Reg. 40203445723.
Source: UR annual accounts, report 1986752. https://data.gov.lv/dati/dataset/gada-parskatu-finansu-dati
Andrii Kalinovskyi
office@kness.lv
+371 29 35 45 57</t>
        </is>
      </c>
      <c r="E19" s="1" t="s">
        <v>105</v>
      </c>
      <c r="F19" s="6"/>
      <c r="G19" s="6"/>
      <c r="H19" s="6"/>
      <c r="I19" s="6"/>
      <c r="J19" s="6"/>
      <c r="K19" s="10"/>
      <c r="L19" s="7"/>
      <c r="M19" s="7"/>
      <c r="N19" s="7"/>
    </row>
    <row r="20" spans="1:15" ht="80.25" customHeight="1">
      <c r="A20" s="69"/>
      <c r="B20" s="69"/>
      <c r="C20" s="73" t="s">
        <v>73</v>
      </c>
      <c r="D20" s="74"/>
      <c r="E20" s="75"/>
      <c r="F20" s="75"/>
      <c r="G20" s="75"/>
      <c r="H20" s="75"/>
      <c r="I20" s="75"/>
      <c r="J20" s="75"/>
      <c r="K20" s="76" t="s">
        <v>173</v>
      </c>
      <c r="L20" s="11"/>
      <c r="M20" s="11"/>
      <c r="N20" s="11"/>
      <c r="O20" s="57" t="s">
        <v>95</v>
      </c>
    </row>
    <row r="21" spans="1:15" ht="80.25" customHeight="1">
      <c r="A21" s="48"/>
      <c r="B21" s="48" t="s">
        <v>152</v>
      </c>
      <c r="C21" s="51">
        <v>25447523</v>
      </c>
      <c r="D21" s="54"/>
      <c r="E21" s="48"/>
      <c r="F21" s="48"/>
      <c r="G21" s="48"/>
      <c r="H21" s="48"/>
      <c r="I21" s="48"/>
      <c r="J21" s="48"/>
      <c r="K21" s="55" t="s">
        <v>112</v>
      </c>
      <c r="O21" s="57" t="s">
        <v>95</v>
      </c>
    </row>
    <row r="22" spans="1:15" ht="80.25" customHeight="1">
      <c r="A22" s="70"/>
      <c r="B22" s="70" t="s">
        <v>152</v>
      </c>
      <c r="C22" s="74" t="s">
        <v>30</v>
      </c>
      <c r="D22" s="72"/>
      <c r="E22" s="70"/>
      <c r="F22" s="70" t="s">
        <v>95</v>
      </c>
      <c r="G22" s="70"/>
      <c r="H22" s="70"/>
      <c r="I22" s="70"/>
      <c r="J22" s="70"/>
      <c r="K22" s="76" t="s">
        <v>306</v>
      </c>
      <c r="O22" s="57" t="s">
        <v>95</v>
      </c>
    </row>
    <row r="23" spans="1:15" ht="112.5" customHeight="1">
      <c r="A23" s="64"/>
      <c r="B23" s="64" t="s">
        <v>152</v>
      </c>
      <c r="C23" s="67" t="s">
        <v>116</v>
      </c>
      <c r="D23" s="93"/>
      <c r="E23" s="64"/>
      <c r="F23" s="64"/>
      <c r="G23" s="64"/>
      <c r="H23" s="64"/>
      <c r="I23" s="64"/>
      <c r="J23" s="64"/>
      <c r="K23" s="68" t="s">
        <v>203</v>
      </c>
      <c r="O23" s="57" t="s">
        <v>95</v>
      </c>
    </row>
    <row r="24" spans="1:15" ht="80.25" customHeight="1">
      <c r="A24" s="64"/>
      <c r="B24" s="70"/>
      <c r="C24" s="74" t="s">
        <v>166</v>
      </c>
      <c r="D24" s="72"/>
      <c r="E24" s="70"/>
      <c r="F24" s="70"/>
      <c r="G24" s="70"/>
      <c r="H24" s="70"/>
      <c r="I24" s="70"/>
      <c r="J24" s="70"/>
      <c r="K24" s="76" t="s">
        <v>195</v>
      </c>
      <c r="O24" s="57" t="s">
        <v>95</v>
      </c>
    </row>
    <row r="25" spans="1:15" ht="207" customHeight="1">
      <c r="A25" s="48"/>
      <c r="B25" s="48" t="s">
        <v>152</v>
      </c>
      <c r="C25" s="53" t="s">
        <v>117</v>
      </c>
      <c r="D25" s="113" t="inlineStr">
        <is>
          <t xml:space="preserve">2024 net turnover: €10,744,737.
Reg. 40103242413.
Source: UR annual accounts, report 1986363. https://data.gov.lv/dati/dataset/gada-parskatu-finansu-dati
Called, no luck, 24.08.2026 - Aldis Baltiņš. He said will give me contact, he is not sure, maybe his team can fix themselves, maybe not. 
Contact checked 21 Sep 2026: Aldis Baltiņš — chairman. Company office: +371 26178151, info@safegroup.lv. https://safegroup.lv/par-mums/</t>
        </is>
      </c>
      <c r="E25" s="48"/>
      <c r="F25" s="48"/>
      <c r="G25" s="48"/>
      <c r="H25" s="48"/>
      <c r="I25" s="48"/>
      <c r="J25" s="48"/>
      <c r="K25" s="48"/>
    </row>
    <row r="26" spans="1:15" ht="123" customHeight="1">
      <c r="B26" s="81" t="s">
        <v>152</v>
      </c>
      <c r="C26" s="82" t="s">
        <v>118</v>
      </c>
      <c r="D26" s="83" t="s">
        <v>214</v>
      </c>
      <c r="E26" s="81"/>
      <c r="F26" s="81"/>
      <c r="G26" s="81"/>
      <c r="H26" s="81"/>
      <c r="I26" s="81"/>
      <c r="J26" s="81"/>
      <c r="K26" s="83" t="s">
        <v>305</v>
      </c>
      <c r="O26" s="57" t="s">
        <v>95</v>
      </c>
    </row>
    <row r="27" spans="1:15" ht="80.25" customHeight="1">
      <c r="A27" s="48"/>
      <c r="B27" s="48" t="s">
        <v>152</v>
      </c>
      <c r="C27" s="53" t="s">
        <v>119</v>
      </c>
      <c r="D27" s="55" t="s">
        <v>215</v>
      </c>
      <c r="E27" s="48"/>
      <c r="F27" s="48"/>
      <c r="G27" s="48"/>
      <c r="H27" s="48"/>
      <c r="I27" s="48"/>
      <c r="J27" s="48"/>
      <c r="K27" s="55" t="s">
        <v>286</v>
      </c>
      <c r="O27" s="57" t="s">
        <v>95</v>
      </c>
    </row>
    <row r="28" spans="1:15" ht="252" customHeight="1">
      <c r="A28" s="48"/>
      <c r="B28" s="49" t="s">
        <v>152</v>
      </c>
      <c r="C28" s="50" t="s">
        <v>120</v>
      </c>
      <c r="D28" s="114" t="inlineStr">
        <is>
          <t xml:space="preserve">2024 net turnover: €40,730.
Reg. 40203114398.
Source: UR annual accounts, report 2069258. https://data.gov.lv/dati/dataset/gada-parskatu-finansu-dati
Частный сектор.. Не очень заинтересован, плохой опыт с искуственным интелелктом, запишет телефон если когда-то что-то нужно будет. Говори что ему девочка через ИИ делал долго сайт остались неприятные впечатления. Нужно ему отправить видео WorksRecorded.
Contact checked 21 Sep 2026: Company contact: +371 28373575, estrichbuve@inbox.lv. Ask for owner/director; name not verified. https://abc.lv/infolapa/estrich-buve-sia</t>
        </is>
      </c>
      <c r="E28" s="48"/>
      <c r="F28" s="48"/>
      <c r="G28" s="48"/>
      <c r="H28" s="48"/>
      <c r="I28" s="48"/>
      <c r="J28" s="48"/>
      <c r="K28" s="48"/>
    </row>
    <row r="29" spans="1:15" ht="80.25" customHeight="1">
      <c r="A29" s="48"/>
      <c r="B29" s="49"/>
      <c r="C29" s="50">
        <v>2444666</v>
      </c>
      <c r="D29" s="54" t="s">
        <v>161</v>
      </c>
      <c r="E29" s="48"/>
      <c r="F29" s="48"/>
      <c r="G29" s="48"/>
      <c r="H29" s="48"/>
      <c r="I29" s="48"/>
      <c r="J29" s="48"/>
      <c r="K29" s="52" t="s">
        <v>165</v>
      </c>
      <c r="O29" s="57" t="s">
        <v>95</v>
      </c>
    </row>
    <row r="30" spans="1:15" ht="80.25" customHeight="1">
      <c r="B30" s="48" t="s">
        <v>152</v>
      </c>
      <c r="C30" s="53" t="s">
        <v>121</v>
      </c>
      <c r="D30" s="54" t="s">
        <v>159</v>
      </c>
      <c r="E30" s="48"/>
      <c r="F30" s="48"/>
      <c r="G30" s="48"/>
      <c r="H30" s="48"/>
      <c r="I30" s="48"/>
      <c r="J30" s="48"/>
      <c r="K30" s="55" t="s">
        <v>158</v>
      </c>
      <c r="O30" s="57" t="s">
        <v>95</v>
      </c>
    </row>
    <row r="31" spans="1:15" ht="409.5" customHeight="1">
      <c r="A31" s="95"/>
      <c r="B31" s="95" t="s">
        <v>152</v>
      </c>
      <c r="C31" s="96" t="s">
        <v>122</v>
      </c>
      <c r="D31" s="97" t="s">
        <v>326</v>
      </c>
      <c r="E31" s="95"/>
      <c r="F31" s="95"/>
      <c r="G31" s="95"/>
      <c r="H31" s="95"/>
      <c r="I31" s="95"/>
      <c r="J31" s="95"/>
      <c r="K31" s="95" t="s">
        <v>309</v>
      </c>
      <c r="O31" s="57" t="s">
        <v>95</v>
      </c>
    </row>
    <row r="32" spans="1:15" ht="80.25" customHeight="1">
      <c r="A32" s="70"/>
      <c r="B32" s="70" t="s">
        <v>152</v>
      </c>
      <c r="C32" s="78" t="s">
        <v>123</v>
      </c>
      <c r="D32" s="72" t="s">
        <v>162</v>
      </c>
      <c r="E32" s="70"/>
      <c r="F32" s="70"/>
      <c r="G32" s="70"/>
      <c r="H32" s="70"/>
      <c r="I32" s="70"/>
      <c r="J32" s="70"/>
      <c r="K32" s="79" t="s">
        <v>184</v>
      </c>
      <c r="O32" s="57" t="s">
        <v>95</v>
      </c>
    </row>
    <row r="33" spans="1:15" ht="80.25" customHeight="1">
      <c r="A33" s="48"/>
      <c r="B33" s="48" t="s">
        <v>152</v>
      </c>
      <c r="C33" s="51" t="s">
        <v>124</v>
      </c>
      <c r="D33" s="54" t="s">
        <v>167</v>
      </c>
      <c r="E33" s="48"/>
      <c r="F33" s="48"/>
      <c r="G33" s="48"/>
      <c r="H33" s="48"/>
      <c r="I33" s="48"/>
      <c r="J33" s="48"/>
      <c r="K33" s="55" t="s">
        <v>183</v>
      </c>
      <c r="O33" s="57" t="s">
        <v>95</v>
      </c>
    </row>
    <row r="34" spans="1:15" ht="80.25" customHeight="1">
      <c r="A34" s="11"/>
      <c r="B34" s="69" t="s">
        <v>152</v>
      </c>
      <c r="C34" s="69" t="s">
        <v>125</v>
      </c>
      <c r="D34" s="68" t="s">
        <v>168</v>
      </c>
      <c r="E34" s="69"/>
      <c r="F34" s="69"/>
      <c r="G34" s="64"/>
      <c r="H34" s="64"/>
      <c r="I34" s="64"/>
      <c r="J34" s="64"/>
      <c r="K34" s="66" t="s">
        <v>310</v>
      </c>
      <c r="O34" s="57" t="s">
        <v>95</v>
      </c>
    </row>
    <row r="35" spans="1:15" ht="80.25" customHeight="1">
      <c r="A35" s="70"/>
      <c r="B35" s="70" t="s">
        <v>152</v>
      </c>
      <c r="C35" s="78" t="s">
        <v>126</v>
      </c>
      <c r="D35" s="72" t="s">
        <v>169</v>
      </c>
      <c r="E35" s="70"/>
      <c r="F35" s="70"/>
      <c r="G35" s="70"/>
      <c r="H35" s="70"/>
      <c r="I35" s="70"/>
      <c r="J35" s="70"/>
      <c r="K35" s="79" t="s">
        <v>210</v>
      </c>
      <c r="O35" s="57" t="s">
        <v>95</v>
      </c>
    </row>
    <row r="36" spans="1:15" ht="80.25" customHeight="1">
      <c r="A36" s="48"/>
      <c r="B36" s="48" t="s">
        <v>152</v>
      </c>
      <c r="C36" s="51" t="s">
        <v>127</v>
      </c>
      <c r="D36" s="54" t="s">
        <v>180</v>
      </c>
      <c r="E36" s="48"/>
      <c r="F36" s="48"/>
      <c r="G36" s="48"/>
      <c r="H36" s="48"/>
      <c r="I36" s="48"/>
      <c r="J36" s="48"/>
      <c r="K36" s="55" t="s">
        <v>204</v>
      </c>
      <c r="O36" s="57" t="s">
        <v>95</v>
      </c>
    </row>
    <row r="37" spans="1:15" ht="222" customHeight="1">
      <c r="A37" s="48"/>
      <c r="B37" s="48" t="s">
        <v>152</v>
      </c>
      <c r="C37" s="51" t="s">
        <v>128</v>
      </c>
      <c r="D37" s="113" t="inlineStr">
        <is>
          <t xml:space="preserve">2024 net turnover: €146,851.
Reg. 45403050019.
Source: UR annual accounts, report 2057241. https://data.gov.lv/dati/dataset/gada-parskatu-finansu-dati
Looks like some shit 
Contact checked 21 Sep 2026: Company construction contacts: +371 26821496 / +371 27079062, juris422@inbox.lv. Current decision-maker name not verified. https://www.1188.lv/katalogs/celtnieciba-remontdarbi-1150/rl-buves-sia-876358</t>
        </is>
      </c>
      <c r="E37" s="48"/>
      <c r="F37" s="48"/>
      <c r="G37" s="48"/>
      <c r="H37" s="48"/>
      <c r="I37" s="48"/>
      <c r="J37" s="48"/>
      <c r="K37" s="48"/>
    </row>
    <row r="38" spans="1:15" ht="177" customHeight="1">
      <c r="A38" s="48"/>
      <c r="B38" s="48" t="s">
        <v>152</v>
      </c>
      <c r="C38" s="51" t="s">
        <v>129</v>
      </c>
      <c r="D38" s="113" t="inlineStr">
        <is>
          <t xml:space="preserve">2024 net turnover: not verified / not applicable.
Reg. 40203635549.
Not applicable for 2024: incorporated 20 March 2025.
Source: Latvian company register and annual accounts. https://data.gov.lv/dati/dataset/uz
Looks like some shit 
Contact checked 21 Sep 2026: Decision-maker and business contact not verified. https://www.firmas.lv/lv/uznemumi/lui-beton/40203635549</t>
        </is>
      </c>
      <c r="E38" s="48"/>
      <c r="F38" s="48"/>
      <c r="G38" s="48"/>
      <c r="H38" s="48"/>
      <c r="I38" s="48"/>
      <c r="J38" s="48"/>
      <c r="K38" s="48"/>
    </row>
    <row r="39" spans="1:15" ht="80.25" customHeight="1">
      <c r="A39" s="48"/>
      <c r="B39" s="48" t="s">
        <v>152</v>
      </c>
      <c r="C39" s="51" t="s">
        <v>130</v>
      </c>
      <c r="D39" s="54"/>
      <c r="E39" s="48"/>
      <c r="F39" s="48"/>
      <c r="G39" s="48"/>
      <c r="H39" s="48"/>
      <c r="I39" s="48"/>
      <c r="J39" s="48"/>
      <c r="K39" s="55" t="s">
        <v>304</v>
      </c>
      <c r="O39" s="57" t="s">
        <v>95</v>
      </c>
    </row>
    <row r="40" spans="1:15" ht="80.25" customHeight="1">
      <c r="A40" s="70"/>
      <c r="B40" s="70" t="s">
        <v>152</v>
      </c>
      <c r="C40" s="78" t="s">
        <v>131</v>
      </c>
      <c r="D40" s="72" t="s">
        <v>216</v>
      </c>
      <c r="E40" s="70"/>
      <c r="F40" s="70"/>
      <c r="G40" s="70"/>
      <c r="H40" s="70"/>
      <c r="I40" s="70"/>
      <c r="J40" s="70"/>
      <c r="K40" s="79" t="s">
        <v>307</v>
      </c>
      <c r="O40" s="57" t="s">
        <v>95</v>
      </c>
    </row>
    <row r="41" spans="1:15" ht="80.25" customHeight="1">
      <c r="B41" s="48" t="s">
        <v>152</v>
      </c>
      <c r="C41" s="51" t="s">
        <v>132</v>
      </c>
      <c r="D41" s="55" t="s">
        <v>217</v>
      </c>
      <c r="E41" s="48"/>
      <c r="F41" s="48"/>
      <c r="G41" s="48"/>
      <c r="H41" s="48"/>
      <c r="I41" s="48"/>
      <c r="J41" s="48"/>
      <c r="K41" s="48" t="s">
        <v>283</v>
      </c>
      <c r="O41" s="57" t="s">
        <v>95</v>
      </c>
    </row>
    <row r="42" spans="1:15" ht="192" customHeight="1">
      <c r="B42" s="48" t="s">
        <v>152</v>
      </c>
      <c r="C42" s="51" t="s">
        <v>133</v>
      </c>
      <c r="D42" s="115" t="inlineStr">
        <is>
          <t xml:space="preserve">2024 net turnover: €45,446.
Reg. 40003062905.
Source: UR annual accounts, report 1968527. https://data.gov.lv/dati/dataset/gada-parskatu-finansu-dati
No turnovers, seems waster of time.
Contact checked 21 Sep 2026: Company: +371 29452329 / +371 67442281, nccr@inbox.lv. Ask for director; name not verified. https://bis.gov.lv/bisp/lv/construction_companies/10470</t>
        </is>
      </c>
      <c r="E42" s="48"/>
      <c r="F42" s="48"/>
      <c r="G42" s="48"/>
      <c r="H42" s="48"/>
      <c r="I42" s="48"/>
      <c r="J42" s="48"/>
      <c r="K42" s="48"/>
    </row>
    <row r="43" spans="1:15" ht="80.25" customHeight="1">
      <c r="A43" s="48"/>
      <c r="B43" s="48" t="s">
        <v>152</v>
      </c>
      <c r="C43" s="51" t="s">
        <v>134</v>
      </c>
      <c r="D43" s="55" t="s">
        <v>218</v>
      </c>
      <c r="E43" s="48"/>
      <c r="F43" s="48"/>
      <c r="G43" s="48"/>
      <c r="H43" s="48"/>
      <c r="I43" s="48"/>
      <c r="J43" s="48"/>
      <c r="K43" s="55" t="s">
        <v>312</v>
      </c>
      <c r="O43" s="57" t="s">
        <v>95</v>
      </c>
    </row>
    <row r="44" spans="1:15" ht="177" customHeight="1">
      <c r="B44" s="98" t="s">
        <v>152</v>
      </c>
      <c r="C44" s="99" t="s">
        <v>135</v>
      </c>
      <c r="D44" s="116" t="inlineStr">
        <is>
          <t xml:space="preserve">2024 net turnover: €230,590.
Reg. 44103115726.
Source: UR annual accounts, report 2022832. https://data.gov.lv/dati/dataset/gada-parskatu-finansu-dati
371 26 552 190, called no answer
Contact checked 21 Sep 2026: Company mobile confirmed: +371 26552190. Decision-maker name/email not verified. https://company.lursoft.lv/promus/44103115726</t>
        </is>
      </c>
      <c r="E44" s="98"/>
      <c r="F44" s="98"/>
      <c r="G44" s="98"/>
      <c r="H44" s="98"/>
      <c r="I44" s="98"/>
      <c r="J44" s="98"/>
      <c r="K44" s="98"/>
    </row>
    <row r="45" spans="1:15" ht="80.25" customHeight="1">
      <c r="B45" s="48" t="s">
        <v>152</v>
      </c>
      <c r="C45" s="51" t="s">
        <v>136</v>
      </c>
      <c r="D45" s="54" t="s">
        <v>212</v>
      </c>
      <c r="E45" s="48"/>
      <c r="F45" s="48"/>
      <c r="G45" s="48"/>
      <c r="H45" s="48"/>
      <c r="I45" s="48"/>
      <c r="J45" s="48"/>
      <c r="K45" s="48" t="s">
        <v>213</v>
      </c>
      <c r="O45" s="57" t="s">
        <v>95</v>
      </c>
    </row>
    <row r="46" spans="1:15" ht="80.25" customHeight="1">
      <c r="B46" s="48" t="s">
        <v>299</v>
      </c>
      <c r="C46" s="54" t="s">
        <v>300</v>
      </c>
      <c r="D46" s="55" t="s">
        <v>293</v>
      </c>
      <c r="E46" s="48"/>
      <c r="F46" s="48"/>
      <c r="G46" s="48"/>
      <c r="H46" s="48"/>
      <c r="I46" s="48"/>
      <c r="J46" s="48"/>
      <c r="K46" s="48" t="s">
        <v>301</v>
      </c>
      <c r="O46" s="57" t="s">
        <v>95</v>
      </c>
    </row>
    <row r="47" spans="1:15" ht="267" customHeight="1">
      <c r="B47" t="s">
        <v>152</v>
      </c>
      <c r="C47" s="27" t="s">
        <v>137</v>
      </c>
      <c r="D47" s="117" t="inlineStr">
        <is>
          <t xml:space="preserve">2024 net turnover: €89,839.
Reg. 41503015742.
Source: UR annual accounts, report 1980939. https://data.gov.lv/dati/dataset/gada-parskatu-finansu-dati
Best decision-maker
Aivars Spūlis
Sole owner and beneficial owner
Board member with individual signing authority
Phone: +371 29 407 520
Email: buve-l@inbox.lv
For a company this small, the public mobile number is likely the most direct route to Aivars. Company data</t>
        </is>
      </c>
    </row>
    <row r="48" spans="1:15" ht="80.25" customHeight="1">
      <c r="B48" s="48" t="s">
        <v>152</v>
      </c>
      <c r="C48" s="51" t="s">
        <v>138</v>
      </c>
      <c r="D48" s="55" t="s">
        <v>295</v>
      </c>
      <c r="E48" s="48"/>
      <c r="F48" s="48"/>
      <c r="G48" s="48"/>
      <c r="H48" s="48"/>
      <c r="I48" s="48"/>
      <c r="J48" s="48"/>
      <c r="K48" s="55" t="s">
        <v>302</v>
      </c>
      <c r="O48" s="57" t="s">
        <v>95</v>
      </c>
    </row>
    <row r="49" spans="1:15" ht="80.25" customHeight="1">
      <c r="B49" s="48" t="s">
        <v>152</v>
      </c>
      <c r="C49" s="51" t="s">
        <v>139</v>
      </c>
      <c r="D49" s="55" t="s">
        <v>296</v>
      </c>
      <c r="E49" s="48"/>
      <c r="F49" s="48"/>
      <c r="G49" s="48"/>
      <c r="H49" s="48"/>
      <c r="I49" s="48"/>
      <c r="J49" s="48"/>
      <c r="K49" s="55" t="s">
        <v>303</v>
      </c>
      <c r="O49" s="57" t="s">
        <v>95</v>
      </c>
    </row>
    <row r="50" spans="1:15" ht="297" customHeight="1">
      <c r="B50" t="s">
        <v>152</v>
      </c>
      <c r="C50" s="27" t="s">
        <v>140</v>
      </c>
      <c r="D50" s="117" t="inlineStr">
        <is>
          <t xml:space="preserve">2024 net turnover: €502,923.
Reg. 44103019110.
Source: UR annual accounts, report 1983123. https://data.gov.lv/dati/dataset/gada-parskatu-finansu-dati
Evento is a strong WorksRecorded prospect and should be prioritised.
Best decision-maker
Mārtiņš Fronts
Sole owner and beneficial owner
Chairman of the board
Certified construction manager
Company mobile: +371 28 397 087
Office/alternative: +371 64 774 004
Email: evento@evento.lv</t>
        </is>
      </c>
    </row>
    <row r="51" spans="1:15" ht="327" customHeight="1">
      <c r="A51" s="110"/>
      <c r="B51" t="s" s="110">
        <v>152</v>
      </c>
      <c r="C51" s="118" t="s">
        <v>141</v>
      </c>
      <c r="D51" s="119" t="inlineStr">
        <is>
          <t xml:space="preserve">2024 net turnover: €1,487,201.
Reg. 40103007007.
Source: UR annual accounts, report 2050746. https://data.gov.lv/dati/dataset/gada-parskatu-finansu-dati
TITĀNS — worth calling: 8/10
Best decision-maker
Konstantīns Bendrups — valdes loceklis, 100% owner and beneficial owner; holds individual representation rights.
Company mobile: +371 29 517 144
Office: +371 67 817 100
Email: sia.titans@kcrtk.lv
The mobile is publicly listed for the company but is not explicitly labelled as Konstantīns’s personal number. Call it first and ask for him. Management verification · contact source</t>
        </is>
      </c>
      <c r="E51" s="110"/>
      <c r="F51" s="110"/>
      <c r="G51" s="110"/>
      <c r="H51" s="110"/>
      <c r="I51" s="110"/>
      <c r="J51" s="110"/>
      <c r="K51" s="110"/>
      <c r="L51" s="110"/>
      <c r="M51" s="110"/>
      <c r="N51" s="110"/>
      <c r="O51" s="110"/>
    </row>
    <row r="52" spans="1:15" ht="177" customHeight="1">
      <c r="A52" s="64"/>
      <c r="B52" s="64" t="s">
        <v>152</v>
      </c>
      <c r="C52" s="65" t="s">
        <v>142</v>
      </c>
      <c r="D52" s="120" t="inlineStr">
        <is>
          <t xml:space="preserve">2024 net turnover: €51,554.
Reg. 40203580927.
Report period: 2024-08-08 to 2024-12-31.
Source: UR annual accounts, report 1967015. https://data.gov.lv/dati/dataset/gada-parskatu-finansu-dati
Contact checked 21 Sep 2026: Company: +371 27000536, info@woodenlays.lv. Ask for owner/director; name not verified. https://balticexport.com/infolapa/woodenlays-sia</t>
        </is>
      </c>
      <c r="E52" s="64"/>
      <c r="F52" s="64"/>
      <c r="G52" s="64"/>
      <c r="H52" s="64"/>
      <c r="I52" s="64"/>
      <c r="J52" s="64"/>
      <c r="K52" s="64"/>
      <c r="L52" s="64"/>
    </row>
    <row r="53" spans="1:15" ht="192" customHeight="1">
      <c r="B53" t="s">
        <v>152</v>
      </c>
      <c r="C53" s="21" t="s">
        <v>143</v>
      </c>
      <c r="D53" s="117" t="inlineStr">
        <is>
          <t xml:space="preserve">2024 net turnover: €33,716.
Reg. 40203462899.
Source: UR annual accounts, report 1963848. https://data.gov.lv/dati/dataset/gada-parskatu-finansu-dati
Checked 10 Sep 2026. Active O.K. JOBS SIA, reg. 40203462899. Company +371 23334819, o.k.jobs@outlook.com; ask for owner/director (name not publicly verified). Registry lists no liquidation or suspended activity. https://www.firmas.lv/lv/uznemumi/o-k-jobs/40203462899</t>
        </is>
      </c>
    </row>
    <row r="54" spans="1:15" ht="162" customHeight="1">
      <c r="B54" t="s">
        <v>152</v>
      </c>
      <c r="C54" s="22" t="s">
        <v>144</v>
      </c>
      <c r="D54" s="117" t="inlineStr">
        <is>
          <t xml:space="preserve">2024 net turnover: €223,279.
Reg. 40103534122.
Source: UR annual accounts, report 1974982. https://data.gov.lv/dati/dataset/gada-parskatu-finansu-dati
Checked 10 Sep 2026. Operating construction company website with 2025 projects. Named decision maker not publicly verified. Company route: +371 26430898, info@ancoris.eu. https://ancoris.eu/</t>
        </is>
      </c>
    </row>
    <row r="55" spans="1:15" ht="222" customHeight="1">
      <c r="A55" s="110"/>
      <c r="B55" t="s" s="110">
        <v>152</v>
      </c>
      <c r="C55" s="121" t="s">
        <v>145</v>
      </c>
      <c r="D55" s="119" t="inlineStr">
        <is>
          <t xml:space="preserve">2024 net turnover: €952,641.
Reg. 48503002722.
Source: UR annual accounts, report 2060594. https://data.gov.lv/dati/dataset/gada-parskatu-finansu-dati
Checked 10 Sep 2026. Listed member of Latvijas Būvnieki. Company: +371 63077210, vitols@vitols.lv. Dzintars Kalniņš — published recruitment contact, +371 26598519 (2023; senior role/current number to confirm). https://www.latvijasbuvnieki.lv/biedri/biedru-saraksts/ ; https://www.jelgava.lv/wp-content/uploads/2023/10/AKTUALAS_VAKANCES_28.pdf</t>
        </is>
      </c>
      <c r="E55" s="110"/>
      <c r="F55" s="110"/>
      <c r="G55" s="110"/>
      <c r="H55" s="110"/>
      <c r="I55" s="110"/>
      <c r="J55" s="110"/>
      <c r="K55" s="110"/>
      <c r="L55" s="110"/>
      <c r="M55" s="110"/>
      <c r="N55" s="110"/>
      <c r="O55" s="110"/>
    </row>
    <row r="56" spans="1:15" ht="177" customHeight="1">
      <c r="B56" t="s">
        <v>148</v>
      </c>
      <c r="C56" s="22" t="s">
        <v>146</v>
      </c>
      <c r="D56" s="117" t="inlineStr">
        <is>
          <t xml:space="preserve">2024 net turnover: €289,973.
Reg. 40003965223.
Source: UR annual accounts, report 2032087. https://data.gov.lv/dati/dataset/gada-parskatu-finansu-dati
Checked 10 Sep 2026. Operating electrical contractor; SIA ELEKTRO PM, reg. 40003965223. Published company contact: +371 29153788, inta@elektro-pm.lv. Contact's full name/decision authority not publicly verified. https://www.elektro-pm.lv/</t>
        </is>
      </c>
    </row>
    <row r="57" spans="1:15" ht="222" customHeight="1">
      <c r="B57" t="s">
        <v>148</v>
      </c>
      <c r="C57" s="22" t="s">
        <v>149</v>
      </c>
      <c r="D57" s="117" t="inlineStr">
        <is>
          <t xml:space="preserve">2024 net turnover: €3,828,937.
Reg. 46103005212.
Source: UR annual accounts, report 1975969. https://data.gov.lv/dati/dataset/gada-parskatu-finansu-dati
Checked 10 Sep 2026. Active BIS electrical contractor; DOMA-būve, reg. 46103005212. Andris Trumpekojs — board member since May 2025. Company route +371 29181644, info@domabuve.lv. https://bis.gov.lv/bisp/lv/construction_companies/9034 ; https://b2bhint.com/lv/company/lv/doma-buve--46103005212</t>
        </is>
      </c>
    </row>
    <row r="58" spans="1:15" ht="267" customHeight="1">
      <c r="B58" t="s">
        <v>148</v>
      </c>
      <c r="C58" s="21" t="s">
        <v>150</v>
      </c>
      <c r="D58" s="117" t="inlineStr">
        <is>
          <t xml:space="preserve">2024 net turnover: €3,395,923.
Reg. 49003000127.
Source: UR annual accounts, report 2006516. https://data.gov.lv/dati/dataset/gada-parskatu-finansu-dati
Checked 10 Sep 2026. Active operations evidenced by 2026 municipal contract. Danijs Štrauss — chairman in 2023 company project document (confirm current): company +371 63291298 / +371 63291197, info@talsuspriegums.lv. https://www.talsunovads.lv/lv/media/25961/download?attachment= ; https://www.talsunovads.lv/lv/iepirkums/buvdarbi-udensvada-un-hidranta-izbuve-eksporta-iela-talsos-projekta-infrastrukturas-izveide-uznemejdarbibas-attistibai-talsu-pilseta-ietvaros</t>
        </is>
      </c>
    </row>
    <row r="59" spans="1:15" ht="177" customHeight="1">
      <c r="B59" t="s">
        <v>148</v>
      </c>
      <c r="C59" s="21" t="s">
        <v>151</v>
      </c>
      <c r="D59" s="117" t="inlineStr">
        <is>
          <t xml:space="preserve">2024 net turnover: not verified / not applicable.
Exact legal entity cannot be identified from this name. Need company website or registration number; no turnover assigned.
Checked 10 Sep 2026. Exact company identity not verified. Search returned other Daugavpils electrical businesses, including ELEKTRO-ALTER, which is separately listed in row 93. Need website or registration number before assigning a decision maker/contact.</t>
        </is>
      </c>
    </row>
    <row r="60" spans="1:15" ht="267" customHeight="1">
      <c r="A60" s="110"/>
      <c r="B60" t="s" s="110">
        <v>148</v>
      </c>
      <c r="C60" s="122" t="s">
        <v>76</v>
      </c>
      <c r="D60" s="119" t="inlineStr">
        <is>
          <t xml:space="preserve">2024 net turnover: €1,005,838.
Reg. 40003946311.
Revenue range only: this entity is a chemical research/manufacturing business, not a verified construction contractor.
Source: UR annual accounts, report 2066800. https://data.gov.lv/dati/dataset/gada-parskatu-finansu-dati
Checked 10 Sep 2026. Likely sector mismatch: exact-name AS SISTĒMU INOVĀCIJAS, reg. 40003946311, operates chemical research/manufacturing, not electrical contracting. Helēna Čibisova listed as board chair. Confirm intended company before outreach. https://cro.lv/en/ ; https://vissviena.lv/uznemums/40003946311/akciju-sabiedriba-sistemu-inovacijas/</t>
        </is>
      </c>
      <c r="E60" s="110"/>
      <c r="F60" s="110"/>
      <c r="G60" s="110"/>
      <c r="H60" s="110"/>
      <c r="I60" s="110"/>
      <c r="J60" s="110"/>
      <c r="K60" s="110"/>
      <c r="L60" s="110"/>
      <c r="M60" s="110"/>
      <c r="N60" s="110"/>
      <c r="O60" s="110"/>
    </row>
    <row r="61" spans="1:15" ht="267" customHeight="1">
      <c r="B61" t="s">
        <v>148</v>
      </c>
      <c r="C61" s="38" t="s">
        <v>77</v>
      </c>
      <c r="D61" s="117" t="inlineStr">
        <is>
          <t xml:space="preserve">2024 net turnover: €220,228.
Lithuania reg. 125549723.
Lithuanian UAB BALTIC SECURITY SYSTEMS. No Latvian entity verified; confirm this is the intended prospect.
Source: https://tax.lt/imones/216163-baltic-security-systems-uab
Checked 10 Sep 2026. Country mismatch: exact-name match is Lithuanian UAB Baltic Security Systems, reg. 125549723, Vilnius. Aleksandras Masoit — manager. Company +370 52767581, info@bss.lt. Current directory shows operating business; Latvian entity not verified. Confirm intended prospect. https://rekvizitai.vz.lt/imone/baltic_security_systems/ ; https://www.1551.lt/baltic-security-systems-uab-38606/</t>
        </is>
      </c>
    </row>
    <row r="62" spans="1:15" ht="192" customHeight="1">
      <c r="A62" s="110"/>
      <c r="B62" t="s" s="110">
        <v>148</v>
      </c>
      <c r="C62" s="122" t="s">
        <v>78</v>
      </c>
      <c r="D62" s="119" t="inlineStr">
        <is>
          <t xml:space="preserve">2024 net turnover: €1,841,621.
Reg. 40103322206.
Source: UR annual accounts, report 1989114. https://data.gov.lv/dati/dataset/gada-parskatu-finansu-dati
Checked 10 Sep 2026. Operating security-systems business, reg. 40103322206; LIAA profile May 2026. Juris Kazulis — board member: +371 29429601, info@videoprojekts.lv. https://liaa.business.gov.lv/uznemumi/sabiedriba-ar-ierobezotu-atbildibu-videoprojekts-baltija</t>
        </is>
      </c>
      <c r="E62" s="110"/>
      <c r="F62" s="110"/>
      <c r="G62" s="110"/>
      <c r="H62" s="110"/>
      <c r="I62" s="110"/>
      <c r="J62" s="110"/>
      <c r="K62" s="110"/>
      <c r="L62" s="110"/>
      <c r="M62" s="110"/>
      <c r="N62" s="110"/>
      <c r="O62" s="110"/>
    </row>
    <row r="63" spans="1:15" ht="177" customHeight="1">
      <c r="B63" t="s">
        <v>148</v>
      </c>
      <c r="C63" s="38" t="s">
        <v>79</v>
      </c>
      <c r="D63" s="117" t="inlineStr">
        <is>
          <t xml:space="preserve">2024 net turnover: not verified / not applicable.
Apsardzes Alianse represents multiple companies. Exact 'Tehnika' legal entity not verified; no group turnover assigned to this row.
Checked 10 Sep 2026. Operating Apsardzes Alianse brand verified; exact 'Tehnika' legal entity not publicly verified. General business route: +371 60003517, info@alianse.lv. Ask for technical department director; named decision maker unverified. https://apsardzes.alianse.lv/test_drive</t>
        </is>
      </c>
    </row>
    <row r="64" spans="1:15" ht="207" customHeight="1">
      <c r="B64" t="s">
        <v>148</v>
      </c>
      <c r="C64" s="38" t="s">
        <v>80</v>
      </c>
      <c r="D64" s="117" t="inlineStr">
        <is>
          <t xml:space="preserve">2024 net turnover: €0.
Reg. 40103357602.
Source: UR annual accounts, report 2077146. https://data.gov.lv/dati/dataset/gada-parskatu-finansu-dati
Checked 10 Sep 2026. Registered SIA SECURITY SOLUTIONS, reg. 40103357602, but current trading activity not established: 2025 turnover EUR 0; registry flags inactive taxpayer. No public business phone/email or named decision maker verified. https://www.firmas.lv/en/companies/security-solutions/40103357602 ; https://saraksts.lv/40103357602</t>
        </is>
      </c>
    </row>
    <row r="65" spans="1:15" ht="80.25" customHeight="1">
      <c r="B65" s="70" t="s">
        <v>148</v>
      </c>
      <c r="C65" s="71" t="s">
        <v>81</v>
      </c>
      <c r="D65" s="72" t="s">
        <v>170</v>
      </c>
      <c r="E65" s="70"/>
      <c r="F65" s="70"/>
      <c r="G65" s="70"/>
      <c r="H65" s="70"/>
      <c r="I65" s="70"/>
      <c r="J65" s="70"/>
      <c r="K65" s="70" t="s">
        <v>171</v>
      </c>
      <c r="O65" s="57" t="s">
        <v>95</v>
      </c>
    </row>
    <row r="66" spans="1:15" ht="80.25" customHeight="1">
      <c r="A66" s="48"/>
      <c r="B66" s="48" t="s">
        <v>148</v>
      </c>
      <c r="C66" s="77" t="s">
        <v>82</v>
      </c>
      <c r="D66" s="54" t="s">
        <v>172</v>
      </c>
      <c r="E66" s="48"/>
      <c r="F66" s="48"/>
      <c r="G66" s="48"/>
      <c r="H66" s="48"/>
      <c r="I66" s="48"/>
      <c r="J66" s="48"/>
      <c r="K66" s="55" t="s">
        <v>181</v>
      </c>
      <c r="O66" s="57" t="s">
        <v>95</v>
      </c>
    </row>
    <row r="67" spans="1:15" ht="312" customHeight="1">
      <c r="A67" s="110"/>
      <c r="B67" t="s" s="110">
        <v>148</v>
      </c>
      <c r="C67" s="122" t="s">
        <v>83</v>
      </c>
      <c r="D67" s="119" t="inlineStr">
        <is>
          <t xml:space="preserve">2024 net turnover: €1,739,466.
Reg. 43603009810.
Source: UR annual accounts, report 1975344. https://data.gov.lv/dati/dataset/gada-parskatu-finansu-dati
Checked 10 Sep 2026. Operating electrical contractor; SIA Mītavas Elektra, reg. 43603009810. Company email: info@mitavaselektra.lv. Named decision maker and commercial phone not publicly verified. https://mitavaselektra.lv/ ; https://mitavaselektra.lv/privatuma-politika-2/
Priority	Person	Role	Contact
1	Brigita Buividaite	Chairwoman of the board; final buyer	+371 29 287 371 · mitavaselektra@apollo.lv
2	Rolands Osis	Project manager; best operational champion	+371 27 221 404 · projekti@mitavaselektra.lv
3	Dace Eihvalde	Assistant project manager; involved in work coordination	+371 27 221 400 ·</t>
        </is>
      </c>
      <c r="E67" s="110"/>
      <c r="F67" s="110"/>
      <c r="G67" s="110"/>
      <c r="H67" s="110"/>
      <c r="I67" s="110"/>
      <c r="J67" s="110"/>
      <c r="K67" s="110"/>
      <c r="L67" s="110"/>
      <c r="M67" s="110"/>
      <c r="N67" s="110"/>
      <c r="O67" s="110"/>
    </row>
    <row r="68" spans="1:15" ht="192" customHeight="1">
      <c r="B68" t="s">
        <v>153</v>
      </c>
      <c r="C68" s="38" t="s">
        <v>70</v>
      </c>
      <c r="D68" s="117" t="inlineStr">
        <is>
          <t xml:space="preserve">2024 net turnover: €382,642.
Reg. 40103311448.
Source: UR annual accounts, report 2049113. https://data.gov.lv/dati/dataset/gada-parskatu-finansu-dati
Checked 10 Sep 2026. Operating smoke-control/fire-safety business; SIA DNS automātika, reg. 40103311448. Company route: +371 26670084 / +371 29822364, dumunovadisana@inbox.lv. Named decision maker not publicly verified. https://www.dumunovadisana.lv/kontakti</t>
        </is>
      </c>
    </row>
    <row r="69" spans="1:15" ht="207" customHeight="1">
      <c r="B69" t="s">
        <v>153</v>
      </c>
      <c r="C69" s="38" t="s">
        <v>71</v>
      </c>
      <c r="D69" s="117" t="inlineStr">
        <is>
          <t xml:space="preserve">2024 net turnover: €536,707.
Reg. 43603042285.
Source: UR annual accounts, report 2079302. https://data.gov.lv/dati/dataset/gada-parskatu-finansu-dati
Checked 10 Sep 2026. Operating security business; Rears, reg. 43603042285. Armands Straume — named public-contract contact: +371 29186815, rears@rears.lv (board role unverified). https://www.rears.lv/privatuma-politika ; https://eformsb.pvs.iub.gov.lv/show/3f8c4a26-3ec1-4ecb-9d46-7329ce029010</t>
        </is>
      </c>
    </row>
    <row r="70" spans="1:15" ht="192" customHeight="1">
      <c r="B70" t="s">
        <v>153</v>
      </c>
      <c r="C70" s="38" t="s">
        <v>72</v>
      </c>
      <c r="D70" s="117" t="inlineStr">
        <is>
          <t xml:space="preserve">2024 net turnover: €239,552.
Reg. 51203068441.
Source: UR annual accounts, report 2062802. https://data.gov.lv/dati/dataset/gada-parskatu-finansu-dati
Checked 10 Sep 2026. Active security/IT business; DarkNet, reg. 51203068441; 2025 accounts published. Company +371 29355331, darknet@darknet.lv / info@darknet.lv. Named decision maker not publicly verified. https://balticexport.com/infolapa/darknet-sia ; https://saraksts.lv/51203068441</t>
        </is>
      </c>
    </row>
    <row r="71" spans="1:15" ht="237" customHeight="1">
      <c r="B71" t="s">
        <v>153</v>
      </c>
      <c r="C71" s="38" t="s">
        <v>73</v>
      </c>
      <c r="D71" s="117" t="inlineStr">
        <is>
          <t xml:space="preserve">2024 net turnover: €4,825,844.
Reg. 40003013346.
Source: UR annual accounts, report 2034919. https://data.gov.lv/dati/dataset/gada-parskatu-finansu-dati
Checked 10 Sep 2026. Active SIA SPRINKLER SERVICE, reg. 40003013346. Office: +371 67226360. Existing construction-sheet row 8 already gives Romualds Špaks, +371 20269727, romualds.spaks@sprinkler.lv (user's prior contact, current role not independently verified). Existing Experiment 1 row 20 has follow-up notes: check before duplicate outreach. https://www.firmas.lv/en/companies/sprinkler-service/40003013346 ; https://sprinkler.lv/lv/contacts</t>
        </is>
      </c>
    </row>
    <row r="72" spans="1:15" ht="207" customHeight="1">
      <c r="B72" t="s">
        <v>153</v>
      </c>
      <c r="C72" s="38" t="s">
        <v>74</v>
      </c>
      <c r="D72" s="117" t="inlineStr">
        <is>
          <t xml:space="preserve">2024 net turnover: €7,915,690.
Reg. 40103632404.
Source: UR annual accounts, report 1994922. https://data.gov.lv/dati/dataset/gada-parskatu-finansu-dati
Checked 10 Sep 2026. Operating fire-safety supplier; Arcofire, reg. 40103632404. Zintis Zābers — listed board chairman. Office +371 22495752, office@arcofire.com; sales +371 25423463, orders@arcofire.com. https://arcofire.com/contacts/ ; https://overit.lv/uznemums/sabiedriba-ar-ierobezotu-atbildibu-arcofire-40103632404/</t>
        </is>
      </c>
    </row>
    <row r="73" spans="1:15" ht="297" customHeight="1">
      <c r="B73" t="s">
        <v>153</v>
      </c>
      <c r="C73" s="38" t="s">
        <v>75</v>
      </c>
      <c r="D73" s="117" t="inlineStr">
        <is>
          <t xml:space="preserve">2024 net turnover: €3,257,619.
Reg. 40003279693.
Matched to SIA ISKADA via the existing phone/email. Correct registration number is 40003279693 (the old contact note has a typo). The 'Serviss' suffix is not its legal name.
Source: UR annual accounts, report 1993642. https://data.gov.lv/dati/dataset/gada-parskatu-finansu-dati
Checked 10 Sep 2026. Likely match is SIA ISKADA, reg. 40003279893, fire-safety equipment supplier; exact 'Iskada Serviss' entity not verified. Company route: +371 67139564, info@iskada.lv. Confirm entity and ask for director. https://viss.lv/?k=139643
Contact checked 21 Sep 2026: Company: +371 67212061 / +371 29470025, info@iskada.lv. Named decision maker not verified. https://abc.lv/infolapa/iskada-sia</t>
        </is>
      </c>
    </row>
    <row r="74" spans="1:15" ht="207" customHeight="1">
      <c r="B74" t="s">
        <v>148</v>
      </c>
      <c r="C74" s="38" t="s">
        <v>55</v>
      </c>
      <c r="D74" s="117" t="inlineStr">
        <is>
          <t xml:space="preserve">2024 net turnover: €20,574,547.
Reg. 40003048441.
Source: UR annual accounts, report 2077769. https://data.gov.lv/dati/dataset/gada-parskatu-finansu-dati
Checked 10 Sep 2026. Operating electrical contractor; ELSANA, reg. 40003048441. Mārtiņš Pūce — listed board member; company email elsana@elsana.lv. Direct personal contact not publicly verified. https://www.elsana.lv/lv/kontakti/ ; https://vissviena.lv/uznemums/40003048441/sabiedriba-ar-ierobezotu-atbildibu-elsana/</t>
        </is>
      </c>
    </row>
    <row r="75" spans="1:15" ht="192" customHeight="1">
      <c r="B75" t="s">
        <v>148</v>
      </c>
      <c r="C75" s="38" t="s">
        <v>21</v>
      </c>
      <c r="D75" s="117" t="inlineStr">
        <is>
          <t xml:space="preserve">2024 net turnover: €2,743,284.
Reg. 42103000774.
Source: UR annual accounts, report 2055997. https://data.gov.lv/dati/dataset/gada-parskatu-finansu-dati
Checked 10 Sep 2026. Operating electrical contractor; SIA OMS, reg. 42103000774. Company +371 63491032, oms@oms.lv. Existing row 12 names Mārtiņš Petris, +371 26177621 (prior user contact, role not independently verified), and records no interest: check before repeat outreach. https://www.oms.lv/kontakti</t>
        </is>
      </c>
    </row>
    <row r="76" spans="1:15" ht="222" customHeight="1">
      <c r="B76" t="s">
        <v>148</v>
      </c>
      <c r="C76" s="38" t="s">
        <v>56</v>
      </c>
      <c r="D76" s="117" t="inlineStr">
        <is>
          <t xml:space="preserve">2024 net turnover: not verified / not applicable.
Reg. 43603014154.
No verified 2024 turnover found. Deregistered 9 October 2024; historical revenue was not used.
Source: Latvian company register and annual accounts. https://data.gov.lv/dati/dataset/uz
Checked 10 Sep 2026. INACTIVE: SIA Būvenergo A, reg. 43603014154, liquidated 9 October 2024. Do not treat historical staff/office contacts as current prospects. https://www.lursoft.lv/adrese/langervaldes-iela-1-jelgava-lv-3002/strukturvienibas ; https://vissviena.lv/uznemums/40103873847/sabiedriba-ar-ierobezotu-atbildibu-buvenergija/</t>
        </is>
      </c>
    </row>
    <row r="77" spans="1:15" ht="252" customHeight="1">
      <c r="B77" t="s">
        <v>148</v>
      </c>
      <c r="C77" s="38" t="s">
        <v>29</v>
      </c>
      <c r="D77" s="117" t="inlineStr">
        <is>
          <t xml:space="preserve">2024 net turnover: not verified / not applicable.
Reg. 40203598524.
No separate 2024 annual turnover: first filed accounts cover 24 October 2024–31 December 2025. Do not treat the combined-period figure as 2024 revenue.
Source: https://www.kombo.lv/lv/profile/40203598524/lindberg
Checked 10 Sep 2026. Operating construction company; SIA LINDBERG, reg. 40203598524; joined builders' association in 2026. Aleksejs Ivanovs — CEO; Edgars Kupcs — COO/CFO. Company +371 29133553, info@lindberg.lv. Direct partnership route: Jevgēnijs Šeršņovs, jevgenijs.sersnovs@lindberg.lv. https://lindberg.lv/ ; https://www.latvijasbuvnieki.lv/lindberg/</t>
        </is>
      </c>
    </row>
    <row r="78" spans="1:15" ht="177" customHeight="1">
      <c r="B78" t="s">
        <v>148</v>
      </c>
      <c r="C78" s="38" t="s">
        <v>57</v>
      </c>
      <c r="D78" s="117" t="inlineStr">
        <is>
          <t xml:space="preserve">2024 net turnover: €442,826.
Reg. 40203459935.
Source: UR annual accounts, report 1965447. https://data.gov.lv/dati/dataset/gada-parskatu-finansu-dati
Checked 10 Sep 2026. Operating electrical contractor; Kulmen, reg. 40203459935. Ernests Kūla — board chairman/owner listed in July 2026. Company +371 25410225, info@kulmen.lv. https://kulmen.lv/lv/kontakti ; https://b2bhint.com/lv/company/lv/kulmen--40203459935</t>
        </is>
      </c>
    </row>
    <row r="79" spans="1:15" ht="207" customHeight="1">
      <c r="B79" t="s">
        <v>148</v>
      </c>
      <c r="C79" s="38" t="s">
        <v>58</v>
      </c>
      <c r="D79" s="117" t="inlineStr">
        <is>
          <t xml:space="preserve">2024 net turnover: €577,827.
Reg. 45403035908.
Source: UR annual accounts, report 2085103. https://data.gov.lv/dati/dataset/gada-parskatu-finansu-dati
Checked 10 Sep 2026. Active registered electrical-design company; Navitas RP, reg. 45403035908. Ralfs Pērsis — board member/owner. Company +371 29856789; website contact form. Direct email not publicly verified. https://navitas.lv/en/kontakti/ ; https://b2bhint.com/lv/company/lv/navitas-rp--45403035908</t>
        </is>
      </c>
    </row>
    <row r="80" spans="1:15" ht="207" customHeight="1">
      <c r="B80" t="s">
        <v>148</v>
      </c>
      <c r="C80" s="38" t="s">
        <v>59</v>
      </c>
      <c r="D80" s="117" t="inlineStr">
        <is>
          <t xml:space="preserve">2024 net turnover: €61,681.
Reg. 50003616871.
Source: UR annual accounts, report 1982461. https://data.gov.lv/dati/dataset/gada-parskatu-finansu-dati
Checked 10 Sep 2026. Operating telecom/low-voltage contractor website; SIA TELEMAKS, reg. 50003616871. Company +371 20377422 / +371 67273383, info@telemaks.lv. Named decision maker not publicly verified. https://www.telemaks.lv/index.php?id=1&amp;lang=lat&amp;page=content</t>
        </is>
      </c>
    </row>
    <row r="81" spans="2:4" ht="342" customHeight="1">
      <c r="B81" t="s">
        <v>148</v>
      </c>
      <c r="C81" s="38" t="s">
        <v>60</v>
      </c>
      <c r="D81" s="117" t="inlineStr">
        <is>
          <t xml:space="preserve">2024 net turnover: €401,254.
Reg. 50003647091.
Matched the exact company name SIA FTP, reg. 50003647091. FTP Service (40103887692), mentioned in the old note, is a separate legal entity sharing contact details.
Source: UR annual accounts, report 2066390. https://data.gov.lv/dati/dataset/gada-parskatu-finansu-dati
Checked 10 Sep 2026. Entity needs confirmation: SIA FTP and SIA FTP Service are distinct names in sources. FTP Service (40103887692) has active BIS registration: +371 67275239, info@ftpcompany.lv; website also gives +371 26669856. Named decision maker not publicly verified. https://bis.gov.lv/bisp/lv/construction_companies/12803 ; https://ftpcompany.lv/contact-us/
Contact checked 21 Sep 2026: SIA FTP business contact: +371 67275239, info@ftpcompany.lv. Named decision maker not verified. https://bis.gov.lv/bisp/lv/construction_companies/8024</t>
        </is>
      </c>
    </row>
    <row r="82" spans="2:4" ht="192" customHeight="1">
      <c r="A82" s="110"/>
      <c r="B82" t="s" s="110">
        <v>148</v>
      </c>
      <c r="C82" s="122" t="s">
        <v>61</v>
      </c>
      <c r="D82" s="119" t="inlineStr">
        <is>
          <t xml:space="preserve">2024 net turnover: €1,460,781.
Reg. 41203003212.
Source: UR annual accounts, report 2037807. https://data.gov.lv/dati/dataset/gada-parskatu-finansu-dati
Checked 10 Sep 2026. Active BIS contractor; SIA Latus SARDZE, reg. 41203003212. Company +371 29466494 / +371 63622986, office@latus-sardze.lv / latuss@inbox.lv. Named decision maker not publicly verified. https://bis.gov.lv/bisp/lv/construction_companies/9292 ; https://latus-sardze.lv/site/lv/kontakti/</t>
        </is>
      </c>
      <c r="E82" s="110"/>
      <c r="F82" s="110"/>
      <c r="G82" s="110"/>
      <c r="H82" s="110"/>
      <c r="I82" s="110"/>
      <c r="J82" s="110"/>
      <c r="K82" s="110"/>
      <c r="L82" s="110"/>
      <c r="M82" s="110"/>
      <c r="N82" s="110"/>
      <c r="O82" s="110"/>
    </row>
    <row r="83" spans="2:4" ht="207" customHeight="1">
      <c r="A83" s="110"/>
      <c r="B83" t="s" s="110">
        <v>148</v>
      </c>
      <c r="C83" s="122" t="s">
        <v>62</v>
      </c>
      <c r="D83" s="119" t="inlineStr">
        <is>
          <t xml:space="preserve">2024 net turnover: €1,116,593.
Reg. 40203309609.
Source: UR annual accounts, report 2072880. https://data.gov.lv/dati/dataset/gada-parskatu-finansu-dati
Checked 10 Sep 2026. Operating solar/electrical contractor; Electrical SIA, reg. 40203309609. Company +371 29329999, info@electrical.lv. Juris Lazars is mentioned by a customer testimonial; decision-making role not publicly verified. https://electrical.lv/kontakti/ ; https://electrical.lv/</t>
        </is>
      </c>
      <c r="E83" s="110"/>
      <c r="F83" s="110"/>
      <c r="G83" s="110"/>
      <c r="H83" s="110"/>
      <c r="I83" s="110"/>
      <c r="J83" s="110"/>
      <c r="K83" s="110"/>
      <c r="L83" s="110"/>
      <c r="M83" s="110"/>
      <c r="N83" s="110"/>
      <c r="O83" s="110"/>
    </row>
    <row r="84" spans="2:4" ht="177" customHeight="1">
      <c r="B84" t="s">
        <v>148</v>
      </c>
      <c r="C84" s="38" t="s">
        <v>63</v>
      </c>
      <c r="D84" s="117" t="inlineStr">
        <is>
          <t xml:space="preserve">2024 net turnover: €2,931,973.
Reg. 49003001300.
Source: UR annual accounts, report 2079124. https://data.gov.lv/dati/dataset/gada-parskatu-finansu-dati
Checked 10 Sep 2026. Operating electrical contractor; SIA CVS. Jānis Sakniņš — board member, direct +371 26131336. General company phone +371 26670322; website contact form. https://cvs.lv/ ; https://abc.lv/infolapa/cvs-sia</t>
        </is>
      </c>
    </row>
    <row r="85" spans="2:4" ht="192" customHeight="1">
      <c r="A85" s="110"/>
      <c r="B85" t="s" s="110">
        <v>148</v>
      </c>
      <c r="C85" s="122" t="s">
        <v>64</v>
      </c>
      <c r="D85" s="119" t="inlineStr">
        <is>
          <t xml:space="preserve">2024 net turnover: €1,145,823.
Reg. 41503021043.
Source: UR annual accounts, report 1978165. https://data.gov.lv/dati/dataset/gada-parskatu-finansu-dati
Checked 10 Sep 2026. Active BIS electrical contractor; reg. 41503021043. Aleksejs Dzjuba — board member on company contact page: +371 29463859. Company email elpoli@inbox.lv; office +371 65431154. https://www.elpoli.lv/contacts.php ; https://bis.gov.lv/bisp/lv/construction_companies/9850</t>
        </is>
      </c>
      <c r="E85" s="110"/>
      <c r="F85" s="110"/>
      <c r="G85" s="110"/>
      <c r="H85" s="110"/>
      <c r="I85" s="110"/>
      <c r="J85" s="110"/>
      <c r="K85" s="110"/>
      <c r="L85" s="110"/>
      <c r="M85" s="110"/>
      <c r="N85" s="110"/>
      <c r="O85" s="110"/>
    </row>
    <row r="86" spans="2:4" ht="222" customHeight="1">
      <c r="B86" t="s">
        <v>148</v>
      </c>
      <c r="C86" s="38" t="s">
        <v>65</v>
      </c>
      <c r="D86" s="117" t="inlineStr">
        <is>
          <t xml:space="preserve">2024 net turnover: €471,750.
Reg. 40003868619.
Source: UR annual accounts, report 2048385. https://data.gov.lv/dati/dataset/gada-parskatu-finansu-dati
Checked 10 Sep 2026. Active BIS electrical contractor, reg. 40003868619; 2025 accounts listed. Armands Belasiks — board chairman. Company route +371 28627999, sem40@inbox.lv. https://abc.lv/infolapa/salacgrivas-elektromontaznieks-sia ; https://overit.lv/en/company/sabiedriba-ar-ierobezotu-atbildibu-salacgrivas-elektromontaz-40003868619/</t>
        </is>
      </c>
    </row>
    <row r="87" spans="2:4" ht="222" customHeight="1">
      <c r="B87" t="s">
        <v>148</v>
      </c>
      <c r="C87" s="38" t="s">
        <v>66</v>
      </c>
      <c r="D87" s="117" t="inlineStr">
        <is>
          <t xml:space="preserve">2024 net turnover: €5,297,857.
Reg. 42103054809.
Source: UR annual accounts, report 1981964. https://data.gov.lv/dati/dataset/gada-parskatu-finansu-dati
Checked 10 Sep 2026. Operating electrical contractor; reg. 42103054809. Dans Perševics — board chairman: dans@elnetworks.lv; +371 29481914 (official English page), office +371 63483400. Operational contact: Elvis Grāveris, Riga construction project manager, +371 28800032, elvis@elnetworks.lv. https://elnetworks.lv/kontakti/ ; https://elnetworks.lv/en/contacts/</t>
        </is>
      </c>
    </row>
    <row r="88" spans="2:4" ht="192" customHeight="1">
      <c r="B88" t="s">
        <v>148</v>
      </c>
      <c r="C88" s="38" t="s">
        <v>67</v>
      </c>
      <c r="D88" s="117" t="inlineStr">
        <is>
          <t xml:space="preserve">2024 net turnover: €46,832.
Reg. 41503033589.
Source: UR annual accounts, report 1989066. https://data.gov.lv/dati/dataset/gada-parskatu-finansu-dati
Checked 10 Sep 2026. Active BIS electrical contractor; reg. 41503033589. Company +371 29253749 / +371 65438824, elektro-alter@inbox.lv. Named decision maker not publicly verified. https://bis.gov.lv/bisp/lv/construction_companies/8674 ; https://abc.lv/infolapa/elektroalter-sia</t>
        </is>
      </c>
    </row>
    <row r="89" spans="2:4" ht="222" customHeight="1">
      <c r="B89" t="s">
        <v>148</v>
      </c>
      <c r="C89" s="38" t="s">
        <v>68</v>
      </c>
      <c r="D89" s="117" t="inlineStr">
        <is>
          <t xml:space="preserve">2024 net turnover: €83,124.
Reg. 49203003677.
Matched SIA Elektro in Tume, reg. 49203003677. Confirm this is the intended prospect.
Source: UR annual accounts, report 2072396. https://data.gov.lv/dati/dataset/gada-parskatu-finansu-dati
Checked 10 Sep 2026. Likely match: SIA Elektro, Tume, reg. 49203003677; active BIS status listed. Company +371 29250380 / +371 63193411, janis@elektro.apollo.lv. Full decision-maker name/role not publicly verified. Confirm Tume company is intended. https://abc.lv/infolapa/elektro-sia</t>
        </is>
      </c>
    </row>
    <row r="90" spans="2:4" ht="177" customHeight="1">
      <c r="B90" t="s">
        <v>148</v>
      </c>
      <c r="C90" s="38" t="s">
        <v>69</v>
      </c>
      <c r="D90" s="117" t="inlineStr">
        <is>
          <t xml:space="preserve">2024 net turnover: €6,283,533.
Reg. 40103303667.
Source: UR annual accounts, report 2087182. https://data.gov.lv/dati/dataset/gada-parskatu-finansu-dati
Checked 10 Sep 2026. Active BIS contractor; SIA Eltex, reg. 40103303667. Named business email and phone: andis@eltex.lv, +371 29378173. Full name/decision authority not publicly verified. https://bis.gov.lv/bisp/lv/construction_companies/2162</t>
        </is>
      </c>
    </row>
    <row r="91" spans="2:4" ht="177" customHeight="1">
      <c r="B91" t="s">
        <v>156</v>
      </c>
      <c r="C91" s="39" t="s">
        <v>154</v>
      </c>
      <c r="D91" s="117" t="inlineStr">
        <is>
          <t xml:space="preserve">2024 net turnover: not verified / not applicable.
Reg. 40003706478.
Not applicable for 2024: this entity was deregistered 27 November 2019.
Source: Latvian company register and annual accounts. https://data.gov.lv/dati/dataset/uz
Checked 10 Sep 2026. INACTIVE: AVK Sistēmas, reg. 40003706478, liquidated 27 November 2019. No current decision-maker contacts for this entity. https://company.lursoft.lv/avk-sistemas/40003706478</t>
        </is>
      </c>
    </row>
    <row r="92" spans="2:4" ht="222" customHeight="1">
      <c r="A92" s="110"/>
      <c r="B92" t="s" s="110">
        <v>156</v>
      </c>
      <c r="C92" s="123" t="s">
        <v>31</v>
      </c>
      <c r="D92" s="119" t="inlineStr">
        <is>
          <t xml:space="preserve">2024 net turnover: €1,131,404.
Reg. 50003163481.
Source: UR annual accounts, report 1973650. https://data.gov.lv/dati/dataset/gada-parskatu-finansu-dati
Checked 10 Sep 2026. Operating HVAC website; SIA Vikomakss, reg. 50003163481; 2025 annual report filed in 2026. Company +371 29143349 / +371 67287476, vikomakss@vikomakss.lv. Named decision maker not publicly verified. Existing construction-sheet row 31 records 'No projects at the moment'. https://www.vikomakss.lv/lv/kontakti ; https://www.firmas.lv/lv/uznemumi/vikomakss/50003163481</t>
        </is>
      </c>
      <c r="E92" s="110"/>
      <c r="F92" s="110"/>
      <c r="G92" s="110"/>
      <c r="H92" s="110"/>
      <c r="I92" s="110"/>
      <c r="J92" s="110"/>
      <c r="K92" s="110"/>
      <c r="L92" s="110"/>
      <c r="M92" s="110"/>
      <c r="N92" s="110"/>
      <c r="O92" s="110"/>
    </row>
    <row r="93" spans="2:4" ht="222" customHeight="1">
      <c r="B93" t="s">
        <v>156</v>
      </c>
      <c r="C93" s="39" t="s">
        <v>155</v>
      </c>
      <c r="D93" s="117" t="inlineStr">
        <is>
          <t xml:space="preserve">2024 net turnover: €37,978,466.
Reg. 44103036801.
Source: UR annual accounts, report 2005946. https://data.gov.lv/dati/dataset/gada-parskatu-finansu-dati
Checked 10 Sep 2026. RENAMED: historical Siltums Jums (44103036801) is now MONUM; active projects published August 2026. Evita Domello — board member named February 2026. Office +371 67270085, monum@monum.lv. https://vissviena.lv/uznemums/44103036801/sia-monum/ ; https://monum.lv/kontakti/ ; https://monum.lv/jaunumi/monum-uzsak-pirmo-attistibas-projektu/</t>
        </is>
      </c>
    </row>
    <row r="94" spans="2:4" ht="237" customHeight="1">
      <c r="B94" t="s">
        <v>156</v>
      </c>
      <c r="C94" s="39" t="s">
        <v>16</v>
      </c>
      <c r="D94" s="117" t="inlineStr">
        <is>
          <t xml:space="preserve">2024 net turnover: €201,729.
Reg. 40003544247.
Source: UR annual accounts, report 1977581. https://data.gov.lv/dati/dataset/gada-parskatu-finansu-dati
Checked 10 Sep 2026. Registered plumbing/HVAC company, reg. 40003544247; viewed registry profile reports no liquidation/insolvency entries. Vladimirs Vereteņņikovs — board chairman. Company +371 67563065. Existing row 7 already has contact/history. https://makoro.lv/uznemumi/sia-sano-serviss-40003544247 ; https://www.firmas.lv/lv/uznemumi/sano-serviss/40003544247</t>
        </is>
      </c>
    </row>
    <row r="95" spans="2:4" ht="222" customHeight="1">
      <c r="A95" s="110"/>
      <c r="B95" t="s" s="110">
        <v>156</v>
      </c>
      <c r="C95" s="123" t="s">
        <v>17</v>
      </c>
      <c r="D95" s="119" t="inlineStr">
        <is>
          <t xml:space="preserve">2024 net turnover: €854,441.
Reg. 40003550421.
Source: UR annual accounts, report 1980247. https://data.gov.lv/dati/dataset/gada-parskatu-finansu-dati
Checked 10 Sep 2026. Active BIS HVAC contractor, Ventmontāža, reg. 40003550421. Valdis Šulbergs — board member. Published business contact +371 29459766, valdis@ventmontaza.lv. https://bis.gov.lv/bisp/lv/construction_companies/9926 ; https://overit.lv/uznemums/sabiedriba-ar-ierobezotu-atbildibu-ventmontaza-40003550421/</t>
        </is>
      </c>
      <c r="E95" s="110"/>
      <c r="F95" s="110"/>
      <c r="G95" s="110"/>
      <c r="H95" s="110"/>
      <c r="I95" s="110"/>
      <c r="J95" s="110"/>
      <c r="K95" s="110"/>
      <c r="L95" s="110"/>
      <c r="M95" s="110"/>
      <c r="N95" s="110"/>
      <c r="O95" s="110"/>
    </row>
    <row r="96" spans="2:4" ht="207" customHeight="1">
      <c r="A96" s="110"/>
      <c r="B96" t="s" s="110">
        <v>156</v>
      </c>
      <c r="C96" s="123" t="s">
        <v>19</v>
      </c>
      <c r="D96" s="119" t="inlineStr">
        <is>
          <t xml:space="preserve">2024 net turnover: €1,815,616.
Reg. 40203145487.
Source: UR annual accounts, report 2014849. https://data.gov.lv/dati/dataset/gada-parskatu-finansu-dati
Checked 10 Sep 2026. Operating SIA HVAC Solutions, reg. 40203145487. Company +371 26346479 / +371 26414466, info@hvac-s.lv. Existing row 10 has Gatis Svistunovs' email and ongoing conversation: gatis.svistunovs@hvac-s.lv (user-supplied; role not independently verified). https://www.hvacsolutions.lv/kontakti</t>
        </is>
      </c>
      <c r="E96" s="110"/>
      <c r="F96" s="110"/>
      <c r="G96" s="110"/>
      <c r="H96" s="110"/>
      <c r="I96" s="110"/>
      <c r="J96" s="110"/>
      <c r="K96" s="110"/>
      <c r="L96" s="110"/>
      <c r="M96" s="110"/>
      <c r="N96" s="110"/>
      <c r="O96" s="110"/>
    </row>
    <row r="97" spans="2:15" ht="207" customHeight="1">
      <c r="A97" s="110"/>
      <c r="B97" t="s" s="110">
        <v>156</v>
      </c>
      <c r="C97" s="123" t="s">
        <v>20</v>
      </c>
      <c r="D97" s="119" t="inlineStr">
        <is>
          <t xml:space="preserve">2024 net turnover: €841,642.
Reg. 50003057361.
Source: UR annual accounts, report 2034931. https://data.gov.lv/dati/dataset/gada-parskatu-finansu-dati
Checked 10 Sep 2026. Operating SIA Akvilon, reg. 50003057361. Grigorijs Markins — production manager/board member: +371 29354755, grigorijs@akvilon.lv. For site operations: Aleksejs Markins, certified construction manager at technical partner Akvilon PRO, +371 26543180, info@akvilonpro.lv. Duplicate of row 11. https://akvilon.eu/lv/kontakti</t>
        </is>
      </c>
      <c r="E97" s="110"/>
      <c r="F97" s="110"/>
      <c r="G97" s="110"/>
      <c r="H97" s="110"/>
      <c r="I97" s="110"/>
      <c r="J97" s="110"/>
      <c r="K97" s="110"/>
      <c r="L97" s="110"/>
      <c r="M97" s="110"/>
      <c r="N97" s="110"/>
      <c r="O97" s="110"/>
    </row>
    <row r="98" spans="2:15" ht="192" customHeight="1">
      <c r="B98" t="s">
        <v>156</v>
      </c>
      <c r="C98" s="39" t="s">
        <v>32</v>
      </c>
      <c r="D98" s="117" t="inlineStr">
        <is>
          <t xml:space="preserve">2024 net turnover: €229,642.
Reg. 50103171131.
Source: UR annual accounts, report 2048911. https://data.gov.lv/dati/dataset/gada-parskatu-finansu-dati
Checked 10 Sep 2026. HVAC match: RemBaltic, reg. 50103171131; 2025 accounts listed, no liquidation/insolvency shown. Company +371 29888884. Named decision maker not publicly verified. Do not confuse with cleaning company reg. 40203246623. https://company.lursoft.lv/rembaltic/50103171131</t>
        </is>
      </c>
    </row>
    <row r="99" spans="2:15" ht="177" customHeight="1">
      <c r="A99" s="110"/>
      <c r="B99" t="s" s="110">
        <v>156</v>
      </c>
      <c r="C99" s="123" t="s">
        <v>33</v>
      </c>
      <c r="D99" s="119" t="inlineStr">
        <is>
          <t xml:space="preserve">2024 net turnover: €2,165,355.
Reg. 40003923427.
Source: UR annual accounts, report 2007553. https://data.gov.lv/dati/dataset/gada-parskatu-finansu-dati
Checked 10 Sep 2026. Operating HVAC/engineering company; SIA MJ-Partneri, reg. 40003923427. Juris Leitāns — board chairman. Company route +371 67817777, mj@mj.lv. https://www.ventilacija24.lv/kontakti/ ; https://mj.lv/par-mums</t>
        </is>
      </c>
      <c r="E99" s="110"/>
      <c r="F99" s="110"/>
      <c r="G99" s="110"/>
      <c r="H99" s="110"/>
      <c r="I99" s="110"/>
      <c r="J99" s="110"/>
      <c r="K99" s="110"/>
      <c r="L99" s="110"/>
      <c r="M99" s="110"/>
      <c r="N99" s="110"/>
      <c r="O99" s="110"/>
    </row>
    <row r="100" spans="2:15" ht="80.25" customHeight="1">
      <c r="B100" s="48" t="s">
        <v>156</v>
      </c>
      <c r="C100" s="77" t="s">
        <v>34</v>
      </c>
      <c r="D100" s="54"/>
      <c r="E100" s="48"/>
      <c r="F100" s="48"/>
      <c r="G100" s="48"/>
      <c r="H100" s="48"/>
      <c r="I100" s="48"/>
      <c r="J100" s="48"/>
      <c r="K100" s="48" t="s">
        <v>178</v>
      </c>
      <c r="O100" s="57" t="s">
        <v>95</v>
      </c>
    </row>
    <row r="101" spans="2:15" ht="192" customHeight="1">
      <c r="B101" t="s">
        <v>156</v>
      </c>
      <c r="C101" s="39" t="s">
        <v>35</v>
      </c>
      <c r="D101" s="117" t="inlineStr">
        <is>
          <t xml:space="preserve">2024 net turnover: €568,821.
Reg. 40103849510.
Source: UR annual accounts, report 2042685. https://data.gov.lv/dati/dataset/gada-parskatu-finansu-dati
Checked 10 Sep 2026. Operating HVAC business; FIXT, reg. 40103849510; 2025 revenue published. Jānis Bērziņš — board member. Company +371 28007725, serviss@fixt.lv. https://www.fixt.lv/kontakti ; https://overit.lv/uznemums/sabiedriba-ar-ierobezotu-atbildibu-fixt-40103849510/</t>
        </is>
      </c>
    </row>
    <row r="102" spans="2:15" ht="177" customHeight="1">
      <c r="B102" t="s">
        <v>156</v>
      </c>
      <c r="C102" s="39" t="s">
        <v>22</v>
      </c>
      <c r="D102" s="117" t="inlineStr">
        <is>
          <t xml:space="preserve">2024 net turnover: €411,701.
Reg. 40102027082.
Source: UR annual accounts, report 2024504. https://data.gov.lv/dati/dataset/gada-parskatu-finansu-dati
Checked 10 Sep 2026. Active BIS HVAC contractor; SIA Ventors, reg. 40102027082; 2025 accounts listed. Company +371 67134122, ventors@ventors.lv. Existing row 13 names Mihails Potaševs as chairman (current role to reconfirm). https://abc.lv/infolapa/ventors-sia</t>
        </is>
      </c>
    </row>
    <row r="103" spans="2:15" ht="207" customHeight="1">
      <c r="B103" t="s">
        <v>156</v>
      </c>
      <c r="C103" s="39" t="s">
        <v>36</v>
      </c>
      <c r="D103" s="117" t="inlineStr">
        <is>
          <t xml:space="preserve">2024 net turnover: €156,104.
Reg. 40003834059.
Source: UR annual accounts, report 1997945. https://data.gov.lv/dati/dataset/gada-parskatu-finansu-dati
Checked 10 Sep 2026. Operating HVAC business; SERVISS SIA, reg. 40003834059; 2025 accounts filed June 2026, no liquidation/insolvency listed. Company +371 29139574, info@siaserviss.lv; ask for director. Name not publicly verified. https://abc.lv/infolapa/serviss-sia-275967 ; https://company.lursoft.lv/serviss/40003834059</t>
        </is>
      </c>
    </row>
    <row r="104" spans="2:15" ht="177" customHeight="1">
      <c r="B104" t="s">
        <v>156</v>
      </c>
      <c r="C104" s="39" t="s">
        <v>37</v>
      </c>
      <c r="D104" s="117" t="inlineStr">
        <is>
          <t xml:space="preserve">2024 net turnover: €241,657.
Reg. 40103596508.
Source: UR annual accounts, report 1973621. https://data.gov.lv/dati/dataset/gada-parskatu-finansu-dati
Checked 10 Sep 2026. Operating Concity/Mitsubishi partner; SIA IFC Latvija, reg. 40103596508. Company +371 20498632 / +371 29517107, info@concity.lv. Named decision maker not publicly verified. https://www.concity.lv/</t>
        </is>
      </c>
    </row>
    <row r="105" spans="2:15" ht="80.25" customHeight="1">
      <c r="B105" s="48" t="s">
        <v>156</v>
      </c>
      <c r="C105" s="77" t="s">
        <v>38</v>
      </c>
      <c r="D105" s="54"/>
      <c r="E105" s="48"/>
      <c r="F105" s="48"/>
      <c r="G105" s="48"/>
      <c r="H105" s="48"/>
      <c r="I105" s="48"/>
      <c r="J105" s="48"/>
      <c r="K105" s="55" t="s">
        <v>179</v>
      </c>
      <c r="O105" s="57" t="s">
        <v>95</v>
      </c>
    </row>
    <row r="106" spans="2:15" ht="207" customHeight="1">
      <c r="B106" t="s">
        <v>156</v>
      </c>
      <c r="C106" s="39" t="s">
        <v>39</v>
      </c>
      <c r="D106" s="117" t="inlineStr">
        <is>
          <t xml:space="preserve">2024 net turnover: €3,059,249.
Reg. 40103667919.
Source: UR annual accounts, report 2067973. https://data.gov.lv/dati/dataset/gada-parskatu-finansu-dati
Checked 10 Sep 2026. Likely sector mismatch: SIA AER, reg. 40103667919, is a tools distributor, not verified as HVAC contractor. Company +371 24881244 / +371 67808845, info@aer.lv. Named decision maker not publicly verified; confirm intended prospect. https://aer.lv/lv/kontakti ; https://www.linkedin.com/company/aer-sia</t>
        </is>
      </c>
    </row>
    <row r="107" spans="2:15" ht="132" customHeight="1">
      <c r="B107" t="s">
        <v>156</v>
      </c>
      <c r="C107" s="39" t="s">
        <v>40</v>
      </c>
      <c r="D107" s="117" t="inlineStr">
        <is>
          <t xml:space="preserve">2024 net turnover: not verified / not applicable.
Exact Latvian legal entity not verified from the supplied name. Need website or registration number; no turnover assigned.
Checked 10 Sep 2026. Exact Latvian HVAC company not verified from supplied name. Need website or registration number; no unrelated contacts assigned.</t>
        </is>
      </c>
    </row>
    <row r="108" spans="2:15" ht="237" customHeight="1">
      <c r="B108" t="s">
        <v>156</v>
      </c>
      <c r="C108" s="39" t="s">
        <v>41</v>
      </c>
      <c r="D108" s="117" t="inlineStr">
        <is>
          <t xml:space="preserve">2024 net turnover: €11,014,057.
Reg. 40003996308.
Revenue is for Latvian SIA Airwave only, not the Estonian parent or Baltic group.
Source: UR annual accounts, report 2084410. https://data.gov.lv/dati/dataset/gada-parskatu-finansu-dati
Checked 10 Sep 2026. Operating Baltic HVAC distributor with Latvian office. Group board members Urmas Malmet and Karl Leinus are listed by Airwave OÜ. Latvia company route +371 67566607, info@airwave.lv; local decision maker not publicly verified. https://www.airwave.lv/kontakti/ ; https://www.awbaltic.com/contact-us-2/</t>
        </is>
      </c>
    </row>
    <row r="109" spans="2:15" ht="207" customHeight="1">
      <c r="B109" t="s">
        <v>156</v>
      </c>
      <c r="C109" s="39" t="s">
        <v>42</v>
      </c>
      <c r="D109" s="117" t="inlineStr">
        <is>
          <t xml:space="preserve">2024 net turnover: not verified / not applicable.
Reg. 40003907649.
Not applicable for 2024: SIA FRIGUS was deregistered 25 February 2016. FRIGUS JV is a different company.
Source: Latvian company register and annual accounts. https://data.gov.lv/dati/dataset/uz
Checked 10 Sep 2026. INACTIVE exact-name match: SIA FRIGUS, reg. 40003907649, removed from register 25 February 2016. No current decision-maker contacts verified. FRIGUS JV is a separate entity; confirm if that was intended. https://www.firmas.lv/lv/uznemumi/frigus/40003907649</t>
        </is>
      </c>
    </row>
    <row r="110" spans="2:15" ht="222" customHeight="1">
      <c r="A110" s="110"/>
      <c r="B110" t="s" s="110">
        <v>156</v>
      </c>
      <c r="C110" s="123" t="s">
        <v>43</v>
      </c>
      <c r="D110" s="119" t="inlineStr">
        <is>
          <t xml:space="preserve">2024 net turnover: €855,673.
Reg. 40103326354.
Source: UR annual accounts, report 2068814. https://data.gov.lv/dati/dataset/gada-parskatu-finansu-dati
Checked 10 Sep 2026. Operating HVAC supplier/installer; Climate systems, reg. 40103326354; address updated June 2026. Kaspars Ozols — public exhibition contact, +371 29474608, info@climatesystems.lv (decision-making role to confirm). https://www.bt1.lv/ct2/part.php?id=1591&amp;subid=40986 ; https://www.zl.lv/lv/uznemums/climate-systems-sia-284636</t>
        </is>
      </c>
      <c r="E110" s="110"/>
      <c r="F110" s="110"/>
      <c r="G110" s="110"/>
      <c r="H110" s="110"/>
      <c r="I110" s="110"/>
      <c r="J110" s="110"/>
      <c r="K110" s="110"/>
      <c r="L110" s="110"/>
      <c r="M110" s="110"/>
      <c r="N110" s="110"/>
      <c r="O110" s="110"/>
    </row>
    <row r="111" spans="2:15" ht="222" customHeight="1">
      <c r="B111" t="s">
        <v>156</v>
      </c>
      <c r="C111" s="39" t="s">
        <v>44</v>
      </c>
      <c r="D111" s="117" t="inlineStr">
        <is>
          <t xml:space="preserve">2024 net turnover: not verified / not applicable.
Reg. 40003693281.
Exact-name Latvian SIA PROVENT, reg. 40003693281, was deregistered 31 May 2017. Intended current HVAC contractor remains unverified.
Source: Latvian company register and annual accounts. https://data.gov.lv/dati/dataset/uz
Checked 10 Sep 2026. Identity/sector unclear: provent.lv is a ventilating floor-underlay product of PEPI RER, while Provent OÜ is Estonian. Latvian HVAC contractor under supplied name not verified. Need website or registration number. https://www.provent.lv/ ; https://provent.ee/kontaktid/</t>
        </is>
      </c>
    </row>
    <row r="112" spans="2:15" ht="192" customHeight="1">
      <c r="A112" s="110"/>
      <c r="B112" t="s" s="110">
        <v>156</v>
      </c>
      <c r="C112" s="123" t="s">
        <v>45</v>
      </c>
      <c r="D112" s="119" t="inlineStr">
        <is>
          <t xml:space="preserve">2024 net turnover: €1,109,703.
Reg. 40003959284.
Source: UR annual accounts, report 2018222. https://data.gov.lv/dati/dataset/gada-parskatu-finansu-dati
Checked 10 Sep 2026. Operating Panasonic distributor/service centre; SIA RIKON AC, reg. 40003959284. Company +371 29159425 / +371 67310975, salons@kondicionieris.lv. Named decision maker not publicly verified. https://www.kondicionieris.lv/lv/kontakti</t>
        </is>
      </c>
      <c r="E112" s="110"/>
      <c r="F112" s="110"/>
      <c r="G112" s="110"/>
      <c r="H112" s="110"/>
      <c r="I112" s="110"/>
      <c r="J112" s="110"/>
      <c r="K112" s="110"/>
      <c r="L112" s="110"/>
      <c r="M112" s="110"/>
      <c r="N112" s="110"/>
      <c r="O112" s="110"/>
    </row>
    <row r="113" spans="2:15" ht="192" customHeight="1">
      <c r="B113" t="s">
        <v>156</v>
      </c>
      <c r="C113" s="39" t="s">
        <v>46</v>
      </c>
      <c r="D113" s="117" t="inlineStr">
        <is>
          <t xml:space="preserve">2024 net turnover: €27,594.
Reg. 48503008119.
Source: UR annual accounts, report 1982048. https://data.gov.lv/dati/dataset/gada-parskatu-finansu-dati
Checked 10 Sep 2026. Operating HVAC installer; SIA Eiroklimats, reg. 48503008119; LIAA profile August 2026. Andris Miežubrālis — board member: +371 26461241. https://www.eiroklimats.lv/kontakti/ ; https://liaa.business.gov.lv/uznemumi/sabiedriba-ar-ierobezotu-atbildibu-eiroklimats</t>
        </is>
      </c>
    </row>
    <row r="114" spans="2:15" ht="162" customHeight="1">
      <c r="B114" t="s">
        <v>156</v>
      </c>
      <c r="C114" s="39" t="s">
        <v>47</v>
      </c>
      <c r="D114" s="117" t="inlineStr">
        <is>
          <t xml:space="preserve">2024 net turnover: not verified / not applicable.
Multiple businesses use Komforts. Exact legal entity not verified; no turnover assigned without website or registration number.
Checked 10 Sep 2026. Ambiguous brand/company name. Search finds Komforts shops operated by EVA-SAT and other heating businesses; intended HVAC contractor not established. Need website or registration number. https://komforts.net/</t>
        </is>
      </c>
    </row>
    <row r="115" spans="2:15" ht="222" customHeight="1">
      <c r="B115" t="s">
        <v>156</v>
      </c>
      <c r="C115" s="39" t="s">
        <v>48</v>
      </c>
      <c r="D115" s="117" t="inlineStr">
        <is>
          <t xml:space="preserve">2024 net turnover: €10,670,901.
Reg. 40003612312.
Source: UR annual accounts, report 2084208. https://data.gov.lv/dati/dataset/gada-parskatu-finansu-dati
Checked 10 Sep 2026. Operating industrial parts/tools supplier and conveyor-belt manufacturer; not primarily HVAC. Valters — published Riga-area sales representative, +371 26007766 (full name/decision authority not verified). Ask for operations/director. https://promehanika.lv/lv/kontakti ; https://www.biltim.lv/dalibnieki-biltim/item/419155/pro-mehanika-sia</t>
        </is>
      </c>
    </row>
    <row r="116" spans="2:15" ht="192" customHeight="1">
      <c r="B116" t="s">
        <v>156</v>
      </c>
      <c r="C116" s="39" t="s">
        <v>49</v>
      </c>
      <c r="D116" s="117" t="inlineStr">
        <is>
          <t xml:space="preserve">2024 net turnover: not verified / not applicable.
Several similarly named entities exist. Exact intended company not verified; no turnover assigned.
Checked 10 Sep 2026. Identity ambiguous: search finds CAPITALIS INŽENIERSISTĒMAS and a foreign-company INŽENIERSISTĒMAS representative office. Supplied name does not identify intended HVAC contractor; no decision-maker contact safely assigned. Need website or registration number. https://www.firmas.lv/lv/uznemumi/capitalis-inzeniersistemas/40003573693</t>
        </is>
      </c>
    </row>
    <row r="117" spans="2:15" ht="222" customHeight="1">
      <c r="B117" t="s">
        <v>156</v>
      </c>
      <c r="C117" s="39" t="s">
        <v>50</v>
      </c>
      <c r="D117" s="117" t="inlineStr">
        <is>
          <t xml:space="preserve">2024 net turnover: not verified / not applicable.
Reg. 40003957349.
A partial-period 2024 report is listed for 1 January–14 June, but turnover could not be verified in accessible data. Entity reorganised on 20 June 2024.
Source: https://www.lursoft.lv/gada-parskati/40003957349?l=en
Checked 10 Sep 2026. INACTIVE under this entity: TERMEX, reg. 40003957349, removed from register through reorganisation on 20 June 2024. Historical termex@termex.lv / +371 67319212 are not verified as current. Identify successor before outreach. https://www.firmas.lv/en/companies/termex/40003957349</t>
        </is>
      </c>
    </row>
    <row r="118" spans="2:15" ht="237" customHeight="1">
      <c r="B118" t="s">
        <v>156</v>
      </c>
      <c r="C118" s="39" t="s">
        <v>51</v>
      </c>
      <c r="D118" s="117" t="inlineStr">
        <is>
          <t xml:space="preserve">2024 net turnover: €6,945,040.
Reg. 50203081101.
Source: UR annual accounts, report 2018259. https://data.gov.lv/dati/dataset/gada-parskatu-finansu-dati
Checked 10 Sep 2026. Real PS Siltumserviss Rīga, reg. 50203081101; historical municipal maintenance contracts verified. Current operating status and non-emergency business contact not publicly verified. Published 80000610 is an emergency line, unsuitable for sales. https://company.lursoft.lv/siltumserviss-riga/50203081101 ; https://www.rigasudens.lv/lv/udens-efektiva-majsaimnieciba</t>
        </is>
      </c>
    </row>
    <row r="119" spans="2:15" ht="222" customHeight="1">
      <c r="B119" t="s">
        <v>156</v>
      </c>
      <c r="C119" s="39" t="s">
        <v>52</v>
      </c>
      <c r="D119" s="117" t="inlineStr">
        <is>
          <t xml:space="preserve">2024 net turnover: €3,348,254.
Reg. 42402005862.
Source: UR annual accounts, report 2065320. https://data.gov.lv/dati/dataset/gada-parskatu-finansu-dati
Checked 10 Sep 2026. Real heating contractor SILTUMTEHSERVISS, reg. 42402005862. Company +371 64622280, siltumtehserviss@inbox.lv. Named decision maker not publicly verified. 2025 Competition Council infringement decision found; check current legal position before qualification. https://defro.ptm.lv/partneri-regionos/ ; https://www.vestnesis.lv/op/2025/180.23</t>
        </is>
      </c>
    </row>
    <row r="120" spans="2:15" ht="237" customHeight="1">
      <c r="A120" s="110"/>
      <c r="B120" t="s" s="110">
        <v>156</v>
      </c>
      <c r="C120" s="123" t="s">
        <v>53</v>
      </c>
      <c r="D120" s="119" t="inlineStr">
        <is>
          <t xml:space="preserve">2024 net turnover: €1,323,713.
Reg. 41203008864.
Revenue range only: environmental engineering business, not a verified HVAC contractor.
Source: UR annual accounts, report 2025077. https://data.gov.lv/dati/dataset/gada-parskatu-finansu-dati
Checked 10 Sep 2026. Operating environmental engineering business, not HVAC. Arta Bažovska — general director named on company page (confirm current). Company +371 26559949 / +371 29225443, info@venteko.com. https://www.venteko.com/lv/kontakti.html ; https://www.venteko.com/lt/bendrove.html</t>
        </is>
      </c>
      <c r="E120" s="110"/>
      <c r="F120" s="110"/>
      <c r="G120" s="110"/>
      <c r="H120" s="110"/>
      <c r="I120" s="110"/>
      <c r="J120" s="110"/>
      <c r="K120" s="110"/>
      <c r="L120" s="110"/>
      <c r="M120" s="110"/>
      <c r="N120" s="110"/>
      <c r="O120" s="110"/>
    </row>
    <row r="121" spans="2:15" ht="162" customHeight="1">
      <c r="B121" t="s">
        <v>156</v>
      </c>
      <c r="C121" s="39" t="s">
        <v>54</v>
      </c>
      <c r="D121" s="117" t="inlineStr">
        <is>
          <t xml:space="preserve">2024 net turnover: not verified / not applicable.
Exact Latvian HVAC entity not verified. Do not use the unrelated pharmacy SIA KLIMA's accounts. Need website or registration number.
Checked 10 Sep 2026. Exact Latvian HVAC company not verified. Similar-name SIA KLIMA in registry is a pharmacy business, not a safe match. Need website or registration number before assigning contacts. https://www.firmas.lv/lv/uznemumi/klima/50003426191</t>
        </is>
      </c>
    </row>
    <row r="122" spans="2:15" ht="80.25" customHeight="1">
      <c r="B122" s="64"/>
      <c r="C122" s="65" t="s">
        <v>174</v>
      </c>
      <c r="D122" s="93"/>
      <c r="E122" s="64"/>
      <c r="F122" s="64"/>
      <c r="G122" s="64"/>
      <c r="H122" s="64"/>
      <c r="I122" s="64"/>
      <c r="J122" s="64"/>
      <c r="K122" s="66" t="s">
        <v>287</v>
      </c>
      <c r="O122" s="57" t="s">
        <v>95</v>
      </c>
    </row>
    <row r="123" spans="2:15" ht="80.25" customHeight="1">
      <c r="B123" s="70"/>
      <c r="C123" s="78" t="s">
        <v>175</v>
      </c>
      <c r="D123" s="72"/>
      <c r="E123" s="70"/>
      <c r="F123" s="70"/>
      <c r="G123" s="70"/>
      <c r="H123" s="70"/>
      <c r="I123" s="70"/>
      <c r="J123" s="70"/>
      <c r="K123" s="79" t="s">
        <v>187</v>
      </c>
      <c r="O123" s="57" t="s">
        <v>95</v>
      </c>
    </row>
    <row r="124" spans="2:15" ht="80.25" customHeight="1">
      <c r="B124" s="64"/>
      <c r="C124" s="65" t="s">
        <v>182</v>
      </c>
      <c r="D124" s="93"/>
      <c r="E124" s="64"/>
      <c r="F124" s="64"/>
      <c r="G124" s="64"/>
      <c r="H124" s="64"/>
      <c r="I124" s="64"/>
      <c r="J124" s="64"/>
      <c r="K124" s="66" t="s">
        <v>209</v>
      </c>
      <c r="O124" s="57" t="s">
        <v>95</v>
      </c>
    </row>
    <row r="125" spans="2:15" ht="128.25" customHeight="1">
      <c r="C125" s="65" t="s">
        <v>185</v>
      </c>
      <c r="D125" s="93"/>
      <c r="E125" s="64"/>
      <c r="F125" s="64"/>
      <c r="G125" s="64"/>
      <c r="H125" s="64"/>
      <c r="I125" s="64"/>
      <c r="J125" s="64"/>
      <c r="K125" s="66" t="s">
        <v>206</v>
      </c>
      <c r="O125" s="57" t="s">
        <v>95</v>
      </c>
    </row>
    <row r="126" spans="2:15" ht="80.25" customHeight="1">
      <c r="B126" s="64"/>
      <c r="C126" s="65" t="s">
        <v>186</v>
      </c>
      <c r="D126" s="93"/>
      <c r="E126" s="64"/>
      <c r="F126" s="64"/>
      <c r="G126" s="64"/>
      <c r="H126" s="64"/>
      <c r="I126" s="64"/>
      <c r="J126" s="64"/>
      <c r="K126" s="66" t="s">
        <v>284</v>
      </c>
      <c r="O126" s="57" t="s">
        <v>95</v>
      </c>
    </row>
    <row r="127" spans="2:15" ht="80.25" customHeight="1">
      <c r="B127" s="64"/>
      <c r="C127" s="51" t="s">
        <v>188</v>
      </c>
      <c r="D127" s="54">
        <v>37126554444</v>
      </c>
      <c r="E127" s="48"/>
      <c r="F127" s="48"/>
      <c r="G127" s="48"/>
      <c r="H127" s="48"/>
      <c r="I127" s="48"/>
      <c r="J127" s="48"/>
      <c r="K127" s="55" t="s">
        <v>285</v>
      </c>
      <c r="O127" s="57" t="s">
        <v>95</v>
      </c>
    </row>
    <row r="128" spans="2:15" ht="80.25" customHeight="1">
      <c r="B128" s="48"/>
      <c r="C128" s="51" t="s">
        <v>189</v>
      </c>
      <c r="D128" s="54"/>
      <c r="E128" s="48"/>
      <c r="F128" s="48"/>
      <c r="G128" s="48"/>
      <c r="H128" s="48"/>
      <c r="I128" s="48"/>
      <c r="J128" s="48"/>
      <c r="K128" s="55" t="s">
        <v>190</v>
      </c>
      <c r="O128" s="57" t="s">
        <v>95</v>
      </c>
    </row>
    <row r="129" spans="1:15" ht="80.25" customHeight="1">
      <c r="B129" s="48"/>
      <c r="C129" s="51" t="s">
        <v>191</v>
      </c>
      <c r="D129" s="54"/>
      <c r="E129" s="48"/>
      <c r="F129" s="48"/>
      <c r="G129" s="48"/>
      <c r="H129" s="48"/>
      <c r="I129" s="48"/>
      <c r="J129" s="48"/>
      <c r="K129" s="55" t="s">
        <v>207</v>
      </c>
      <c r="O129" s="57" t="s">
        <v>95</v>
      </c>
    </row>
    <row r="132" spans="1:15" ht="80.25" customHeight="1">
      <c r="C132" s="65" t="s">
        <v>192</v>
      </c>
      <c r="D132" s="93"/>
      <c r="E132" s="64"/>
      <c r="F132" s="64"/>
      <c r="G132" s="64"/>
      <c r="H132" s="64"/>
      <c r="I132" s="64"/>
      <c r="J132" s="64"/>
      <c r="K132" s="66" t="s">
        <v>193</v>
      </c>
      <c r="O132" s="57" t="s">
        <v>95</v>
      </c>
    </row>
    <row r="133" spans="1:15" ht="80.25" customHeight="1">
      <c r="C133" s="65" t="s">
        <v>196</v>
      </c>
      <c r="D133" s="93"/>
      <c r="E133" s="64"/>
      <c r="F133" s="64"/>
      <c r="G133" s="64"/>
      <c r="H133" s="64"/>
      <c r="I133" s="64"/>
      <c r="J133" s="64"/>
      <c r="K133" s="66" t="s">
        <v>325</v>
      </c>
      <c r="O133" s="57" t="s">
        <v>95</v>
      </c>
    </row>
    <row r="134" spans="1:15" ht="80.25" customHeight="1">
      <c r="A134" s="70"/>
      <c r="B134" s="70"/>
      <c r="C134" s="78" t="s">
        <v>197</v>
      </c>
      <c r="D134" s="72"/>
      <c r="E134" s="70"/>
      <c r="F134" s="70"/>
      <c r="G134" s="70"/>
      <c r="H134" s="70"/>
      <c r="I134" s="70"/>
      <c r="J134" s="70"/>
      <c r="K134" s="79" t="s">
        <v>202</v>
      </c>
      <c r="O134" s="57" t="s">
        <v>95</v>
      </c>
    </row>
    <row r="135" spans="1:15" ht="80.25" customHeight="1">
      <c r="A135" s="48"/>
      <c r="B135" s="48"/>
      <c r="C135" s="51" t="s">
        <v>198</v>
      </c>
      <c r="D135" s="54"/>
      <c r="E135" s="48"/>
      <c r="F135" s="48"/>
      <c r="G135" s="48"/>
      <c r="H135" s="48"/>
      <c r="I135" s="48"/>
      <c r="J135" s="48"/>
      <c r="K135" s="55" t="s">
        <v>199</v>
      </c>
      <c r="O135" s="57" t="s">
        <v>95</v>
      </c>
    </row>
    <row r="136" spans="1:15" ht="80.25" customHeight="1">
      <c r="A136" s="48"/>
      <c r="B136" s="48"/>
      <c r="C136" s="51" t="s">
        <v>200</v>
      </c>
      <c r="D136" s="54"/>
      <c r="E136" s="48"/>
      <c r="F136" s="48"/>
      <c r="G136" s="48"/>
      <c r="H136" s="48"/>
      <c r="I136" s="48"/>
      <c r="J136" s="48"/>
      <c r="K136" s="55" t="s">
        <v>208</v>
      </c>
      <c r="O136" s="57" t="s">
        <v>95</v>
      </c>
    </row>
    <row r="137" spans="1:15" ht="80.25" customHeight="1">
      <c r="A137" s="48"/>
      <c r="B137" s="48"/>
      <c r="C137" s="90" t="s">
        <v>201</v>
      </c>
      <c r="D137" s="54"/>
      <c r="E137" s="48"/>
      <c r="F137" s="48"/>
      <c r="G137" s="48"/>
      <c r="H137" s="48"/>
      <c r="I137" s="48"/>
      <c r="J137" s="48"/>
      <c r="K137" s="55" t="s">
        <v>205</v>
      </c>
      <c r="O137" s="57" t="s">
        <v>95</v>
      </c>
    </row>
    <row r="138" spans="1:15" ht="80.25" customHeight="1">
      <c r="A138" s="48"/>
      <c r="B138" s="48"/>
      <c r="C138" s="51" t="s">
        <v>288</v>
      </c>
      <c r="D138" s="54">
        <v>37126377774</v>
      </c>
      <c r="E138" s="48"/>
      <c r="F138" s="48"/>
      <c r="G138" s="48"/>
      <c r="H138" s="48"/>
      <c r="I138" s="48"/>
      <c r="J138" s="48"/>
      <c r="K138" s="48" t="s">
        <v>289</v>
      </c>
      <c r="O138" s="57" t="s">
        <v>95</v>
      </c>
    </row>
    <row r="139" spans="1:15" ht="80.25" customHeight="1">
      <c r="A139" s="48"/>
      <c r="B139" s="48"/>
      <c r="C139" s="51" t="s">
        <v>290</v>
      </c>
      <c r="D139" s="54">
        <v>37126006780</v>
      </c>
      <c r="E139" s="48"/>
      <c r="F139" s="48"/>
      <c r="G139" s="48"/>
      <c r="H139" s="48"/>
      <c r="I139" s="48"/>
      <c r="J139" s="48"/>
      <c r="K139" s="48" t="s">
        <v>291</v>
      </c>
      <c r="O139" s="57" t="s">
        <v>95</v>
      </c>
    </row>
    <row r="140" spans="1:15" ht="80.25" customHeight="1">
      <c r="A140" s="70"/>
      <c r="B140" s="70"/>
      <c r="C140" s="78">
        <v>37166010100</v>
      </c>
      <c r="D140" s="72"/>
      <c r="E140" s="70"/>
      <c r="F140" s="70"/>
      <c r="G140" s="70"/>
      <c r="H140" s="70"/>
      <c r="I140" s="70"/>
      <c r="J140" s="70"/>
      <c r="K140" s="79" t="s">
        <v>320</v>
      </c>
      <c r="O140" s="57" t="s">
        <v>95</v>
      </c>
    </row>
    <row r="141" spans="1:15" ht="222" customHeight="1">
      <c r="C141" s="21" t="s">
        <v>318</v>
      </c>
      <c r="D141" s="124" t="inlineStr">
        <is>
          <t xml:space="preserve">2024 net turnover: €771,318.
Reg. 40203291701.
Source: UR annual accounts, report 1978880. https://data.gov.lv/dati/dataset/gada-parskatu-finansu-dati
I can try data analytics angle. Never tried though. 
Contact checked 21 Sep 2026: Company: +371 26143643, info@nbconstruction.lv. BIS also publishes j.niimanis@gmail.com. Ask for owner/director; name not verified. https://nbconstruction.lv/sendvicpanelu-montaza ; https://bis.gov.lv/bisp/lv/construction_companies/17007</t>
        </is>
      </c>
    </row>
    <row r="142" spans="1:15" ht="80.25" customHeight="1">
      <c r="C142" s="21" t="s">
        <v>322</v>
      </c>
      <c r="D142" s="125" t="inlineStr">
        <is>
          <t xml:space="preserve">2024 net turnover: not verified / not applicable.
Person listed without an identifiable company. Company turnover and business contact cannot be verified from name alone.</t>
        </is>
      </c>
      <c r="K142" t="s">
        <v>323</v>
      </c>
    </row>
    <row r="143" spans="1:15" ht="80.25" customHeight="1">
      <c r="C143" s="21" t="s">
        <v>324</v>
      </c>
      <c r="D143" s="125" t="inlineStr">
        <is>
          <t xml:space="preserve">2024 net turnover: not verified / not applicable.
Person listed without an identifiable company. Company turnover and business contact cannot be verified from name alone.</t>
        </is>
      </c>
      <c r="K143" t="s">
        <v>323</v>
      </c>
    </row>
    <row r="144" ht="225" customHeight="1">
      <c r="A144" s="126"/>
      <c r="B144" s="127" t="str">
        <v>Concrete repair / structures</v>
      </c>
      <c r="C144" s="127" t="str">
        <v>KATLERI</v>
      </c>
      <c r="D144" s="127" t="str">
        <v>2024 net turnover: €1,560,959.
Reg. 40103073727.
Source: UR annual accounts, report 2092904.
https://data.gov.lv/dati/dataset/gada-parskatu-finansu-dati
Company: +371 29254050, info@katleri.lv. Ask for director/project manager; direct decision-maker not verified.
https://katleri.lv/kontakti/
https://katleri.lv/
Added 21 Sep 2026. Registered company; UR checked.</v>
      </c>
      <c r="E144" s="126"/>
      <c r="F144" s="126"/>
      <c r="G144" s="126"/>
      <c r="H144" s="126"/>
      <c r="I144" s="126"/>
      <c r="J144" s="126"/>
      <c r="K144" s="126"/>
      <c r="L144" s="126"/>
      <c r="M144" s="126"/>
      <c r="N144" s="126"/>
      <c r="O144" s="126" t="str">
        <v>No</v>
      </c>
    </row>
    <row r="145" ht="225" customHeight="1">
      <c r="A145" s="126"/>
      <c r="B145" s="127" t="str">
        <v>Concrete / foundations / building</v>
      </c>
      <c r="C145" s="127" t="str">
        <v>LET būve</v>
      </c>
      <c r="D145" s="127" t="str">
        <v>2024 net turnover: €1,569,323.
Reg. 43603068068.
Source: UR annual accounts, report 1970762.
https://data.gov.lv/dati/dataset/gada-parskatu-finansu-dati
Company: +371 20658988, sialetbuve@gmail.com. Ask for director; name not verified.
https://bis.gov.lv/bisp/lv/construction_companies/12996
Added 21 Sep 2026. Registered company; UR checked.</v>
      </c>
      <c r="E145" s="126"/>
      <c r="F145" s="126"/>
      <c r="G145" s="126"/>
      <c r="H145" s="126"/>
      <c r="I145" s="126"/>
      <c r="J145" s="126"/>
      <c r="K145" s="126"/>
      <c r="L145" s="126"/>
      <c r="M145" s="126"/>
      <c r="N145" s="126"/>
      <c r="O145" s="126" t="str">
        <v>No</v>
      </c>
    </row>
    <row r="146" ht="228" customHeight="1">
      <c r="A146" s="126"/>
      <c r="B146" s="127" t="str">
        <v>Roofing / timber structures</v>
      </c>
      <c r="C146" s="127" t="str">
        <v>HOPROOF</v>
      </c>
      <c r="D146" s="127" t="str">
        <v>2024 net turnover: €1,733,534.
Reg. 40203027067.
Source: UR annual accounts, report 2079712.
https://data.gov.lv/dati/dataset/gada-parskatu-finansu-dati
Raivis Bokta, board member: +371 29406155 (company publishes Raivis). Edgars: +371 28799799. info@hoproof.lv.
https://hoproof.lv/kontakti/
https://b2bhint.com/lv/company/lv/hoproof--40203027067
Added 21 Sep 2026. Registered company; UR checked.</v>
      </c>
      <c r="E146" s="126"/>
      <c r="F146" s="126"/>
      <c r="G146" s="126"/>
      <c r="H146" s="126"/>
      <c r="I146" s="126"/>
      <c r="J146" s="126"/>
      <c r="K146" s="126"/>
      <c r="L146" s="126"/>
      <c r="M146" s="126"/>
      <c r="N146" s="126"/>
      <c r="O146" s="126" t="str">
        <v>No</v>
      </c>
    </row>
    <row r="147" ht="225" customHeight="1">
      <c r="A147" s="126"/>
      <c r="B147" s="127" t="str">
        <v>Specialty construction</v>
      </c>
      <c r="C147" s="127" t="str">
        <v>GM BUILDING</v>
      </c>
      <c r="D147" s="127" t="str">
        <v>2024 net turnover: €1,534,145.
Reg. 40103645818.
Source: UR annual accounts, report 2049405.
https://data.gov.lv/dati/dataset/gada-parskatu-finansu-dati
Company: +371 29997591. Ask for Nikolajs Manuilovs (published beneficial owner); direct personal number and email not verified.
https://datreal.com/lv/lv/company/40103645818
Added 21 Sep 2026. Registered company; UR checked.</v>
      </c>
      <c r="E147" s="126"/>
      <c r="F147" s="126"/>
      <c r="G147" s="126"/>
      <c r="H147" s="126"/>
      <c r="I147" s="126"/>
      <c r="J147" s="126"/>
      <c r="K147" s="126"/>
      <c r="L147" s="126"/>
      <c r="M147" s="126"/>
      <c r="N147" s="126"/>
      <c r="O147" s="126" t="str">
        <v>No</v>
      </c>
    </row>
    <row r="148" ht="258" customHeight="1">
      <c r="A148" s="126"/>
      <c r="B148" s="127" t="str">
        <v>Stone finishing / installation</v>
      </c>
      <c r="C148" s="127" t="str">
        <v>PILSAKMENS</v>
      </c>
      <c r="D148" s="127" t="str">
        <v>2024 net turnover: €1,515,825.
Reg. 40103373486.
Source: UR annual accounts, report 2078806.
https://data.gov.lv/dati/dataset/gada-parskatu-finansu-dati
Rihards Mateisons, board member: rihards@pilsakmens.lv (municipal decision, Jan 2026). Office: +371 28883588, info@pilsakmens.lv. Stone supply, processing and installation.
https://salaspils.lv/sites/default/files/Domes%20sēdes/Lēmumi/2026/public-2-29-01-20260129.pdf
https://www.bt1.lv/ct2/part.php?id=1644&amp;subid=45453
Added 21 Sep 2026. Registered company; UR checked.</v>
      </c>
      <c r="E148" s="126"/>
      <c r="F148" s="126"/>
      <c r="G148" s="126"/>
      <c r="H148" s="126"/>
      <c r="I148" s="126"/>
      <c r="J148" s="126"/>
      <c r="K148" s="126"/>
      <c r="L148" s="126"/>
      <c r="M148" s="126"/>
      <c r="N148" s="126"/>
      <c r="O148" s="126" t="str">
        <v>No</v>
      </c>
    </row>
    <row r="149" ht="225" customHeight="1">
      <c r="A149" s="126"/>
      <c r="B149" s="127" t="str">
        <v>HVAC / plumbing installation</v>
      </c>
      <c r="C149" s="127" t="str">
        <v>BL inženiertīkli</v>
      </c>
      <c r="D149" s="127" t="str">
        <v>2024 net turnover: €1,864,800.
Reg. 42103084979.
Source: UR annual accounts, report 2020701.
https://data.gov.lv/dati/dataset/gada-parskatu-finansu-dati
Company: +371 26801303, janis@bli.lv. Ask for director/project manager; contact's full name and role not verified.
https://www.bli.lv/bl-inzeniertikli
Added 21 Sep 2026. Registered company; UR checked.</v>
      </c>
      <c r="E149" s="126"/>
      <c r="F149" s="126"/>
      <c r="G149" s="126"/>
      <c r="H149" s="126"/>
      <c r="I149" s="126"/>
      <c r="J149" s="126"/>
      <c r="K149" s="126"/>
      <c r="L149" s="126"/>
      <c r="M149" s="126"/>
      <c r="N149" s="126"/>
      <c r="O149" s="126" t="str">
        <v>No</v>
      </c>
    </row>
    <row r="150" ht="225" customHeight="1">
      <c r="A150" s="126"/>
      <c r="B150" s="127" t="str">
        <v>HVAC installation</v>
      </c>
      <c r="C150" s="127" t="str">
        <v>RGBG inženiertīkli</v>
      </c>
      <c r="D150" s="127" t="str">
        <v>2024 net turnover: €1,172,978.
Reg. 40103375877.
Source: UR annual accounts, report 1964680.
https://data.gov.lv/dati/dataset/gada-parskatu-finansu-dati
Company: +371 26606611, janis@rgbg.lv. Ask for director; contact's full name and role not verified.
https://bis.gov.lv/bisp/lv/construction_companies/16387
Added 21 Sep 2026. Registered company; UR checked.</v>
      </c>
      <c r="E150" s="126"/>
      <c r="F150" s="126"/>
      <c r="G150" s="126"/>
      <c r="H150" s="126"/>
      <c r="I150" s="126"/>
      <c r="J150" s="126"/>
      <c r="K150" s="126"/>
      <c r="L150" s="126"/>
      <c r="M150" s="126"/>
      <c r="N150" s="126"/>
      <c r="O150" s="126" t="str">
        <v>No</v>
      </c>
    </row>
    <row r="151" ht="243" customHeight="1">
      <c r="A151" s="126"/>
      <c r="B151" s="127" t="str">
        <v>Heating / pipework</v>
      </c>
      <c r="C151" s="127" t="str">
        <v>Siltumbūve</v>
      </c>
      <c r="D151" s="127" t="str">
        <v>2024 net turnover: €1,786,549.
Reg. 40103840757.
Source: UR annual accounts, report 1979555.
https://data.gov.lv/dati/dataset/gada-parskatu-finansu-dati
Company: +371 26959595, +371 26574837, info@siltumbuve.lv. Ask for director/project manager; direct decision-maker not verified.
https://siltumbuve.lv/index.php?route=information/contact
https://riga.pilseta24.lv/katalogs/info/siltumbuve-sia
Added 21 Sep 2026. Registered company; UR checked.</v>
      </c>
      <c r="E151" s="126"/>
      <c r="F151" s="126"/>
      <c r="G151" s="126"/>
      <c r="H151" s="126"/>
      <c r="I151" s="126"/>
      <c r="J151" s="126"/>
      <c r="K151" s="126"/>
      <c r="L151" s="126"/>
      <c r="M151" s="126"/>
      <c r="N151" s="126"/>
      <c r="O151" s="126" t="str">
        <v>No</v>
      </c>
    </row>
    <row r="152" ht="243" customHeight="1">
      <c r="A152" s="126"/>
      <c r="B152" s="127" t="str">
        <v>HVAC installation</v>
      </c>
      <c r="C152" s="127" t="str">
        <v>Klimat Komfort</v>
      </c>
      <c r="D152" s="127" t="str">
        <v>2024 net turnover: €1,517,073.
Reg. 40003681085.
Source: UR annual accounts, report 1977936.
https://data.gov.lv/dati/dataset/gada-parskatu-finansu-dati
Company: +371 29421142 (Firmas.lv), info@klimatkomfort.lv (Airwave partner list). Ask for director; name not verified.
https://www.firmas.lv/lv/uznemumi/klimat-komfort/40003681085
https://www.airwave.lv/tehniska-apkope/partneri-latvija/
Added 21 Sep 2026. Registered company; UR checked.</v>
      </c>
      <c r="E152" s="126"/>
      <c r="F152" s="126"/>
      <c r="G152" s="126"/>
      <c r="H152" s="126"/>
      <c r="I152" s="126"/>
      <c r="J152" s="126"/>
      <c r="K152" s="126"/>
      <c r="L152" s="126"/>
      <c r="M152" s="126"/>
      <c r="N152" s="126"/>
      <c r="O152" s="126" t="str">
        <v>No</v>
      </c>
    </row>
    <row r="153" ht="228" customHeight="1">
      <c r="A153" s="126"/>
      <c r="B153" s="127" t="str">
        <v>HVAC installation / service</v>
      </c>
      <c r="C153" s="127" t="str">
        <v>IONICA SERVISS</v>
      </c>
      <c r="D153" s="127" t="str">
        <v>2024 net turnover: €1,801,601.
Reg. 40003889682.
Source: UR annual accounts, report 2048867.
https://data.gov.lv/dati/dataset/gada-parskatu-finansu-dati
Company: +371 67350015. Public partner contact: ina.kubile@ionicaserviss.lv (role not specified). Ask for management.
https://www.ionicaserviss.lv/kontakti/
https://www.airwave.lv/tehniska-apkope/partneri-latvija/
Added 21 Sep 2026. Registered company; UR checked.</v>
      </c>
      <c r="E153" s="126"/>
      <c r="F153" s="126"/>
      <c r="G153" s="126"/>
      <c r="H153" s="126"/>
      <c r="I153" s="126"/>
      <c r="J153" s="126"/>
      <c r="K153" s="126"/>
      <c r="L153" s="126"/>
      <c r="M153" s="126"/>
      <c r="N153" s="126"/>
      <c r="O153" s="126" t="str">
        <v>No</v>
      </c>
    </row>
    <row r="154" ht="225" customHeight="1">
      <c r="A154" s="126"/>
      <c r="B154" s="127" t="str">
        <v>HVAC / engineering networks</v>
      </c>
      <c r="C154" s="127" t="str">
        <v>ES Technology</v>
      </c>
      <c r="D154" s="127" t="str">
        <v>2024 net turnover: €1,378,753.
Reg. 40103536528.
Source: UR annual accounts, report 2029639.
https://data.gov.lv/dati/dataset/gada-parskatu-finansu-dati
Company: +371 28805455, info@estechnology.lv. Ask for director/project manager; direct decision-maker not verified.
https://bis.gov.lv/bisp/en/construction_companies/1501
Added 21 Sep 2026. Registered company; UR checked.</v>
      </c>
      <c r="E154" s="126"/>
      <c r="F154" s="126"/>
      <c r="G154" s="126"/>
      <c r="H154" s="126"/>
      <c r="I154" s="126"/>
      <c r="J154" s="126"/>
      <c r="K154" s="126"/>
      <c r="L154" s="126"/>
      <c r="M154" s="126"/>
      <c r="N154" s="126"/>
      <c r="O154" s="126" t="str">
        <v>No</v>
      </c>
    </row>
    <row r="155" ht="225" customHeight="1">
      <c r="A155" s="126"/>
      <c r="B155" s="127" t="str">
        <v>HVAC installation</v>
      </c>
      <c r="C155" s="127" t="str">
        <v>VENTHAUS</v>
      </c>
      <c r="D155" s="127" t="str">
        <v>2024 net turnover: €1,013,404.
Reg. 50203021901.
Source: UR annual accounts, report 2044810.
https://data.gov.lv/dati/dataset/gada-parskatu-finansu-dati
Company: +371 28375813, venthaus@inbox.lv. Ask for director; name not verified.
https://bis.gov.lv/bisp/lv/construction_companies/13667
Added 21 Sep 2026. Registered company; UR checked.</v>
      </c>
      <c r="E155" s="126"/>
      <c r="F155" s="126"/>
      <c r="G155" s="126"/>
      <c r="H155" s="126"/>
      <c r="I155" s="126"/>
      <c r="J155" s="126"/>
      <c r="K155" s="126"/>
      <c r="L155" s="126"/>
      <c r="M155" s="126"/>
      <c r="N155" s="126"/>
      <c r="O155" s="126" t="str">
        <v>No</v>
      </c>
    </row>
    <row r="156" ht="225" customHeight="1">
      <c r="A156" s="126"/>
      <c r="B156" s="127" t="str">
        <v>HVAC / building automation</v>
      </c>
      <c r="C156" s="127" t="str">
        <v>Servocontrol</v>
      </c>
      <c r="D156" s="127" t="str">
        <v>2024 net turnover: €1,067,473.
Reg. 40003749617.
Source: UR annual accounts, report 2089939.
https://data.gov.lv/dati/dataset/gada-parskatu-finansu-dati
Company: +371 26537465, +371 67377552, info@servocontrol.lv. Ask for director/project manager; direct decision-maker not verified.
https://servocontrol.lv/lv/kontakti/
Added 21 Sep 2026. Registered company; UR checked.</v>
      </c>
      <c r="E156" s="126"/>
      <c r="F156" s="126"/>
      <c r="G156" s="126"/>
      <c r="H156" s="126"/>
      <c r="I156" s="126"/>
      <c r="J156" s="126"/>
      <c r="K156" s="126"/>
      <c r="L156" s="126"/>
      <c r="M156" s="126"/>
      <c r="N156" s="126"/>
      <c r="O156" s="126" t="str">
        <v>No</v>
      </c>
    </row>
    <row r="157" ht="225" customHeight="1">
      <c r="A157" s="126"/>
      <c r="B157" s="127" t="str">
        <v>HVAC / engineering networks</v>
      </c>
      <c r="C157" s="127" t="str">
        <v>DKD</v>
      </c>
      <c r="D157" s="127" t="str">
        <v>2024 net turnover: €1,358,396.
Reg. 40003388517.
Source: UR annual accounts, report 2029326.
https://data.gov.lv/dati/dataset/gada-parskatu-finansu-dati
Company: +371 29528233, +371 20021886, dkd@dkd.lv. Ask for director/project manager; direct decision-maker not verified.
https://www.dkd.lv/kontakti-apkure-ventilacija-siltumsuknis-gaiss-udens-uzstadisana
Added 21 Sep 2026. Registered company; UR checked.</v>
      </c>
      <c r="E157" s="126"/>
      <c r="F157" s="126"/>
      <c r="G157" s="126"/>
      <c r="H157" s="126"/>
      <c r="I157" s="126"/>
      <c r="J157" s="126"/>
      <c r="K157" s="126"/>
      <c r="L157" s="126"/>
      <c r="M157" s="126"/>
      <c r="N157" s="126"/>
      <c r="O157" s="126" t="str">
        <v>No</v>
      </c>
    </row>
    <row r="158" ht="225" customHeight="1">
      <c r="A158" s="126"/>
      <c r="B158" s="127" t="str">
        <v>HVAC installation</v>
      </c>
      <c r="C158" s="127" t="str">
        <v>JUMINIKS Ltd</v>
      </c>
      <c r="D158" s="127" t="str">
        <v>2024 net turnover: €1,630,155.
Reg. 50103495221.
Source: UR annual accounts, report 1983295.
https://data.gov.lv/dati/dataset/gada-parskatu-finansu-dati
Company: +371 29283041, juminiks@inbox.lv. Ask for director/project manager; direct decision-maker not verified.
https://bis.gov.lv/bisp/lv/construction_companies/848
Added 21 Sep 2026. Registered company; UR checked.</v>
      </c>
      <c r="E158" s="126"/>
      <c r="F158" s="126"/>
      <c r="G158" s="126"/>
      <c r="H158" s="126"/>
      <c r="I158" s="126"/>
      <c r="J158" s="126"/>
      <c r="K158" s="126"/>
      <c r="L158" s="126"/>
      <c r="M158" s="126"/>
      <c r="N158" s="126"/>
      <c r="O158" s="126" t="str">
        <v>No</v>
      </c>
    </row>
    <row r="159" ht="225" customHeight="1">
      <c r="A159" s="126"/>
      <c r="B159" s="127" t="str">
        <v>Electrical installation</v>
      </c>
      <c r="C159" s="127" t="str">
        <v>ELMON</v>
      </c>
      <c r="D159" s="127" t="str">
        <v>2024 net turnover: €1,572,167.
Reg. 40103824786.
Source: UR annual accounts, report 2003375.
https://data.gov.lv/dati/dataset/gada-parskatu-finansu-dati
Company: +371 29523487. Ask for director; direct decision-maker and email not verified.
https://company.lursoft.lv/lv/elmon/40103824786
Added 21 Sep 2026. Registered company; UR checked.</v>
      </c>
      <c r="E159" s="126"/>
      <c r="F159" s="126"/>
      <c r="G159" s="126"/>
      <c r="H159" s="126"/>
      <c r="I159" s="126"/>
      <c r="J159" s="126"/>
      <c r="K159" s="126"/>
      <c r="L159" s="126"/>
      <c r="M159" s="126"/>
      <c r="N159" s="126"/>
      <c r="O159" s="126" t="str">
        <v>No</v>
      </c>
    </row>
    <row r="160" ht="225" customHeight="1">
      <c r="A160" s="126"/>
      <c r="B160" s="127" t="str">
        <v>Electrical installation</v>
      </c>
      <c r="C160" s="127" t="str">
        <v>EdAn ELEKTRO</v>
      </c>
      <c r="D160" s="127" t="str">
        <v>2024 net turnover: €1,014,190.
Reg. 40003880170.
Source: UR annual accounts, report 1965286.
https://data.gov.lv/dati/dataset/gada-parskatu-finansu-dati
Company: +371 65020027, info@edanelektro.lv. Ask for director/project manager; direct decision-maker not verified.
https://www.edanelektro.lv/kontakti
Added 21 Sep 2026. Registered company; UR checked.</v>
      </c>
      <c r="E160" s="126"/>
      <c r="F160" s="126"/>
      <c r="G160" s="126"/>
      <c r="H160" s="126"/>
      <c r="I160" s="126"/>
      <c r="J160" s="126"/>
      <c r="K160" s="126"/>
      <c r="L160" s="126"/>
      <c r="M160" s="126"/>
      <c r="N160" s="126"/>
      <c r="O160" s="126" t="str">
        <v>No</v>
      </c>
    </row>
    <row r="161" ht="225" customHeight="1">
      <c r="A161" s="126"/>
      <c r="B161" s="127" t="str">
        <v>Electrical installation</v>
      </c>
      <c r="C161" s="127" t="str">
        <v>Gamma Elektro</v>
      </c>
      <c r="D161" s="127" t="str">
        <v>2024 net turnover: €1,553,578.
Reg. 45403044629.
Source: UR annual accounts, report 2063771.
https://data.gov.lv/dati/dataset/gada-parskatu-finansu-dati
Company: +371 29299344, gammaelektro@inbox.lv. Ask for director/project manager; direct decision-maker not verified.
https://www.firmas.lv/en/companies/gamma-elektro/45403044629
Added 21 Sep 2026. Registered company; UR checked.</v>
      </c>
      <c r="E161" s="126"/>
      <c r="F161" s="126"/>
      <c r="G161" s="126"/>
      <c r="H161" s="126"/>
      <c r="I161" s="126"/>
      <c r="J161" s="126"/>
      <c r="K161" s="126"/>
      <c r="L161" s="126"/>
      <c r="M161" s="126"/>
      <c r="N161" s="126"/>
      <c r="O161" s="126" t="str">
        <v>No</v>
      </c>
    </row>
    <row r="162" ht="225" customHeight="1">
      <c r="A162" s="126"/>
      <c r="B162" s="127" t="str">
        <v>Electrical installation</v>
      </c>
      <c r="C162" s="127" t="str">
        <v>ELFA</v>
      </c>
      <c r="D162" s="127" t="str">
        <v>2024 net turnover: €1,248,811.
Reg. 49203003662.
Source: UR annual accounts, report 2072417.
https://data.gov.lv/dati/dataset/gada-parskatu-finansu-dati
Company: +371 28758600, elfa.info@inbox.lv (Sadales tīkls contractor contact). Ask for director; name not verified.
https://sadalestikls.lv/lv/elektrotiklu-projektetaji
Added 21 Sep 2026. Registered company; UR checked.</v>
      </c>
      <c r="E162" s="126"/>
      <c r="F162" s="126"/>
      <c r="G162" s="126"/>
      <c r="H162" s="126"/>
      <c r="I162" s="126"/>
      <c r="J162" s="126"/>
      <c r="K162" s="126"/>
      <c r="L162" s="126"/>
      <c r="M162" s="126"/>
      <c r="N162" s="126"/>
      <c r="O162" s="126" t="str">
        <v>No</v>
      </c>
    </row>
    <row r="163" ht="225" customHeight="1">
      <c r="A163" s="126"/>
      <c r="B163" s="127" t="str">
        <v>Fence / gate installation</v>
      </c>
      <c r="C163" s="127" t="str">
        <v>DN SISTĒMAS</v>
      </c>
      <c r="D163" s="127" t="str">
        <v>2024 net turnover: €1,318,239.
Reg. 50003672101.
Source: UR annual accounts, report 1973187.
https://data.gov.lv/dati/dataset/gada-parskatu-finansu-dati
Company: +371 67134876, info@dnsistemas.lv. Ask for director/project manager; direct decision-maker not verified.
https://www.dnsistemas.lv/kontakti/
Added 21 Sep 2026. Registered company; UR checked.</v>
      </c>
      <c r="E163" s="126"/>
      <c r="F163" s="126"/>
      <c r="G163" s="126"/>
      <c r="H163" s="126"/>
      <c r="I163" s="126"/>
      <c r="J163" s="126"/>
      <c r="K163" s="126"/>
      <c r="L163" s="126"/>
      <c r="M163" s="126"/>
      <c r="N163" s="126"/>
      <c r="O163" s="126" t="str">
        <v>No</v>
      </c>
    </row>
    <row r="164" ht="225" customHeight="1">
      <c r="A164" s="128"/>
      <c r="B164" s="129" t="str">
        <v>Foundations / steel erection / roofs</v>
      </c>
      <c r="C164" s="129" t="str">
        <v>I.K. Būve</v>
      </c>
      <c r="D164" s="129" t="str">
        <v>2024 net turnover: €1,373,270.
Reg. 40003777875.
Source: UR annual accounts, report 2066535.
https://data.gov.lv/dati/dataset/gada-parskatu-finansu-dati
Company: +371 67522812, ikbuve@inbox.lv. Ask for director/project manager; named decision-maker not verified.
https://www.ikbuve.lv/
Added 21 Sep 2026. Registered company; UR checked.</v>
      </c>
      <c r="E164" s="128"/>
      <c r="F164" s="128"/>
      <c r="G164" s="128"/>
      <c r="H164" s="128"/>
      <c r="I164" s="128"/>
      <c r="J164" s="128"/>
      <c r="K164" s="128"/>
      <c r="L164" s="128"/>
      <c r="M164" s="128"/>
      <c r="N164" s="128"/>
      <c r="O164" s="128" t="str">
        <v>No</v>
      </c>
    </row>
    <row r="165" ht="225" customHeight="1">
      <c r="A165" s="128"/>
      <c r="B165" s="129" t="str">
        <v>Steel tower assembly / erection</v>
      </c>
      <c r="C165" s="129" t="str">
        <v>Turrem</v>
      </c>
      <c r="D165" s="129" t="str">
        <v>2024 net turnover: €1,069,234.
Reg. 40203464508.
Source: UR annual accounts, report 1973352.
https://data.gov.lv/dati/dataset/gada-parskatu-finansu-dati
Company: +371 22999987, info@turrem.eu. Latvian company carrying out steel tower assembly, including overseas projects. Ask for director; name not verified.
https://www.turrem.eu/
Added 21 Sep 2026. Registered company; UR checked.</v>
      </c>
      <c r="E165" s="128"/>
      <c r="F165" s="128"/>
      <c r="G165" s="128"/>
      <c r="H165" s="128"/>
      <c r="I165" s="128"/>
      <c r="J165" s="128"/>
      <c r="K165" s="128"/>
      <c r="L165" s="128"/>
      <c r="M165" s="128"/>
      <c r="N165" s="128"/>
      <c r="O165" s="128" t="str">
        <v>No</v>
      </c>
    </row>
    <row r="166" ht="225" customHeight="1">
      <c r="A166" s="128"/>
      <c r="B166" s="129" t="str">
        <v>Roofing construction / installation</v>
      </c>
      <c r="C166" s="129" t="str">
        <v>ONDULAT</v>
      </c>
      <c r="D166" s="129" t="str">
        <v>2024 net turnover: €1,033,371.
Reg. 40103109009.
Source: UR annual accounts, report 2014441.
https://data.gov.lv/dati/dataset/gada-parskatu-finansu-dati
Ansis Regža, board member: ondulat@ondulat.lv. Juris Induss, technical director: juris@ondulat.lv. Company: +371 26461521 / +371 67818180.
https://ondulat.lv/uznemums/personals
https://ondulat.lv/kontakti
Added 21 Sep 2026. Registered company; UR checked.</v>
      </c>
      <c r="E166" s="128"/>
      <c r="F166" s="128"/>
      <c r="G166" s="128"/>
      <c r="H166" s="128"/>
      <c r="I166" s="128"/>
      <c r="J166" s="128"/>
      <c r="K166" s="128"/>
      <c r="L166" s="128"/>
      <c r="M166" s="128"/>
      <c r="N166" s="128"/>
      <c r="O166" s="128" t="str">
        <v>No</v>
      </c>
    </row>
    <row r="167" ht="225" customHeight="1">
      <c r="A167" s="128"/>
      <c r="B167" s="129" t="str">
        <v>Flat / metal roofing / waterproofing</v>
      </c>
      <c r="C167" s="129" t="str">
        <v>Decon</v>
      </c>
      <c r="D167" s="129" t="str">
        <v>2024 net turnover: €1,012,719.
Reg. 40103473754.
Source: UR annual accounts, report 2027989.
https://data.gov.lv/dati/dataset/gada-parskatu-finansu-dati
Company: +371 26334463, decon@decon.lv. Ask for director/project manager; named decision-maker not verified.
https://decon.lv/
Added 21 Sep 2026. Registered company; UR checked.</v>
      </c>
      <c r="E167" s="128"/>
      <c r="F167" s="128"/>
      <c r="G167" s="128"/>
      <c r="H167" s="128"/>
      <c r="I167" s="128"/>
      <c r="J167" s="128"/>
      <c r="K167" s="128"/>
      <c r="L167" s="128"/>
      <c r="M167" s="128"/>
      <c r="N167" s="128"/>
      <c r="O167" s="128" t="str">
        <v>No</v>
      </c>
    </row>
    <row r="168" ht="225" customHeight="1">
      <c r="A168" s="128"/>
      <c r="B168" s="129" t="str">
        <v>Flat roof installation / repair</v>
      </c>
      <c r="C168" s="129" t="str">
        <v>LIBANONS</v>
      </c>
      <c r="D168" s="129" t="str">
        <v>2024 net turnover: €1,207,808.
Reg. 40103882036.
Source: UR annual accounts, report 2047987.
https://data.gov.lv/dati/dataset/gada-parskatu-finansu-dati
Company: +371 23078888, info.libanons@gmail.com. Ask for director/project manager; named decision-maker not verified.
https://libanons.lv/
Added 21 Sep 2026. Registered company; UR checked.</v>
      </c>
      <c r="E168" s="128"/>
      <c r="F168" s="128"/>
      <c r="G168" s="128"/>
      <c r="H168" s="128"/>
      <c r="I168" s="128"/>
      <c r="J168" s="128"/>
      <c r="K168" s="128"/>
      <c r="L168" s="128"/>
      <c r="M168" s="128"/>
      <c r="N168" s="128"/>
      <c r="O168" s="128" t="str">
        <v>No</v>
      </c>
    </row>
    <row r="169" ht="225" customHeight="1">
      <c r="A169" s="128"/>
      <c r="B169" s="129" t="str">
        <v>Roofs / foundations / building</v>
      </c>
      <c r="C169" s="129" t="str">
        <v>LABIE JUMTI</v>
      </c>
      <c r="D169" s="129" t="str">
        <v>2024 net turnover: €1,576,240.
Reg. 50103437401.
Source: UR annual accounts, report 2067510.
https://data.gov.lv/dati/dataset/gada-parskatu-finansu-dati
Published contacts: Kārlis Ermansons +371 29377380; Valters Valgačs +371 25942757. info@labiejumti.lv. Contact roles not stated on company website.
https://www.labiejumti.lv/kontakti
https://www.labiejumti.lv/
Added 21 Sep 2026. Registered company; UR checked.</v>
      </c>
      <c r="E169" s="128"/>
      <c r="F169" s="128"/>
      <c r="G169" s="128"/>
      <c r="H169" s="128"/>
      <c r="I169" s="128"/>
      <c r="J169" s="128"/>
      <c r="K169" s="128"/>
      <c r="L169" s="128"/>
      <c r="M169" s="128"/>
      <c r="N169" s="128"/>
      <c r="O169" s="128" t="str">
        <v>No</v>
      </c>
    </row>
    <row r="170" ht="228" customHeight="1">
      <c r="A170" s="128"/>
      <c r="B170" s="129" t="str">
        <v>Roof structures / roof installation</v>
      </c>
      <c r="C170" s="129" t="str">
        <v>Dakstiņa Jumti</v>
      </c>
      <c r="D170" s="129" t="str">
        <v>2024 net turnover: €1,829,337.
Reg. 44103055643.
Source: UR annual accounts, report 2063064.
https://data.gov.lv/dati/dataset/gada-parskatu-finansu-dati
Company: +371 26788808, info.dakstina.jumti@gmail.com (MiTek partner directory). Ask for director; current named decision-maker not verified. Roof installation described in company advertisement.
https://jumtakonstrukcija.lv/kontakti/
https://dom.lndb.lv/data/obj/file/332580.pdf
Added 21 Sep 2026. Registered company; UR checked.</v>
      </c>
      <c r="E170" s="128"/>
      <c r="F170" s="128"/>
      <c r="G170" s="128"/>
      <c r="H170" s="128"/>
      <c r="I170" s="128"/>
      <c r="J170" s="128"/>
      <c r="K170" s="128"/>
      <c r="L170" s="128"/>
      <c r="M170" s="128"/>
      <c r="N170" s="128"/>
      <c r="O170" s="128" t="str">
        <v>No</v>
      </c>
    </row>
    <row r="171" ht="228" customHeight="1">
      <c r="A171" s="128"/>
      <c r="B171" s="129" t="str">
        <v>Industrial building / structures</v>
      </c>
      <c r="C171" s="129" t="str">
        <v>BELMAST BŪVE</v>
      </c>
      <c r="D171" s="129" t="str">
        <v>2024 net turnover: €1,490,871.
Reg. 41503035363.
Source: UR annual accounts, report 1976296.
https://data.gov.lv/dati/dataset/gada-parskatu-finansu-dati
Company: +371 65407018, belmastbuve@dauer.lv. BIS contact: +371 29337726, aleksey@dauer.lv. Ask for director; full name/role not verified.
https://www.dauer.lv/bb/lv/bb_kontakti.html
https://bis.gov.lv/bisp/lv/construction_companies/9213
Added 21 Sep 2026. Registered company; UR checked.</v>
      </c>
      <c r="E171" s="128"/>
      <c r="F171" s="128"/>
      <c r="G171" s="128"/>
      <c r="H171" s="128"/>
      <c r="I171" s="128"/>
      <c r="J171" s="128"/>
      <c r="K171" s="128"/>
      <c r="L171" s="128"/>
      <c r="M171" s="128"/>
      <c r="N171" s="128"/>
      <c r="O171" s="128" t="str">
        <v>No</v>
      </c>
    </row>
    <row r="172" ht="225" customHeight="1">
      <c r="A172" s="128"/>
      <c r="B172" s="129" t="str">
        <v>Post-tensioned concrete structures</v>
      </c>
      <c r="C172" s="129" t="str">
        <v>STRANDECK</v>
      </c>
      <c r="D172" s="129" t="str">
        <v>2024 net turnover: €1,214,058.
Reg. 40103485607.
Source: UR annual accounts, report 2077594.
https://data.gov.lv/dati/dataset/gada-parskatu-finansu-dati
Latvian SIA office: +371 66100380, info@strandeck.eu. Ask for director/project manager; named decision-maker not verified.
https://strandeck.eu/
https://strandeck.eu/contact-us/
Added 21 Sep 2026. Registered company; UR checked.</v>
      </c>
      <c r="E172" s="128"/>
      <c r="F172" s="128"/>
      <c r="G172" s="128"/>
      <c r="H172" s="128"/>
      <c r="I172" s="128"/>
      <c r="J172" s="128"/>
      <c r="K172" s="128"/>
      <c r="L172" s="128"/>
      <c r="M172" s="128"/>
      <c r="N172" s="128"/>
      <c r="O172" s="128" t="str">
        <v>No</v>
      </c>
    </row>
    <row r="173" ht="228" customHeight="1">
      <c r="A173" s="128"/>
      <c r="B173" s="129" t="str">
        <v>Concrete / foundations / RC assembly</v>
      </c>
      <c r="C173" s="129" t="str">
        <v>Monolīts būvvadība</v>
      </c>
      <c r="D173" s="129" t="str">
        <v>2024 net turnover: €1,873,644.
Reg. 40003977735.
Source: UR annual accounts, report 2008521.
https://data.gov.lv/dati/dataset/gada-parskatu-finansu-dati
Company: +371 28338897 (current directory). monolitsbuv@monolitsbuv.lv is published in an older company advertisement; reconfirm email by phone. Ask for director; name not verified.
https://abc.lv/infolapa/monolits-buvvadiba-sia
https://dom.lndb.lv/data/obj/file/30611306.pdf
Added 21 Sep 2026. Registered company; UR checked.</v>
      </c>
      <c r="E173" s="128"/>
      <c r="F173" s="128"/>
      <c r="G173" s="128"/>
      <c r="H173" s="128"/>
      <c r="I173" s="128"/>
      <c r="J173" s="128"/>
      <c r="K173" s="128"/>
      <c r="L173" s="128"/>
      <c r="M173" s="128"/>
      <c r="N173" s="128"/>
      <c r="O173" s="128" t="str">
        <v>No</v>
      </c>
    </row>
    <row r="174" ht="225" customHeight="1">
      <c r="A174" s="128"/>
      <c r="B174" s="129" t="str">
        <v>Screw-pile foundation installation</v>
      </c>
      <c r="C174" s="129" t="str">
        <v>Latvian Screw Piles</v>
      </c>
      <c r="D174" s="129" t="str">
        <v>2024 net turnover: €1,048,132.
Reg. 40103164161.
Source: UR annual accounts, report 2066909.
https://data.gov.lv/dati/dataset/gada-parskatu-finansu-dati
Company: +371 29193930, info@skruvpali.lv. Manufactures and installs screw-pile foundations. Ask for director/project manager; name not verified.
https://latvianscrewpiles.eu/kontakti
https://latvianscrewpiles.eu/
Added 21 Sep 2026. Registered company; UR checked.</v>
      </c>
      <c r="E174" s="128"/>
      <c r="F174" s="128"/>
      <c r="G174" s="128"/>
      <c r="H174" s="128"/>
      <c r="I174" s="128"/>
      <c r="J174" s="128"/>
      <c r="K174" s="128"/>
      <c r="L174" s="128"/>
      <c r="M174" s="128"/>
      <c r="N174" s="128"/>
      <c r="O174" s="128" t="str">
        <v>No</v>
      </c>
    </row>
    <row r="175" ht="225" customHeight="1">
      <c r="A175" s="128"/>
      <c r="B175" s="129" t="str">
        <v>Concrete / foundations / structures</v>
      </c>
      <c r="C175" s="129" t="str">
        <v>JNBūve</v>
      </c>
      <c r="D175" s="129" t="str">
        <v>2024 net turnover: €2,035,320.
Reg. 43603070452.
Source: UR annual accounts, report 1994466.
https://data.gov.lv/dati/dataset/gada-parskatu-finansu-dati
Company: +371 25935925, brackan@inbox.lv. Concrete floors, foundations, walls and reinforced-concrete structures. Ask for director; name not verified.
https://abc.lv/infolapa/jnbuve-sia
Added 21 Sep 2026. Registered company; UR checked.</v>
      </c>
      <c r="E175" s="128"/>
      <c r="F175" s="128"/>
      <c r="G175" s="128"/>
      <c r="H175" s="128"/>
      <c r="I175" s="128"/>
      <c r="J175" s="128"/>
      <c r="K175" s="128"/>
      <c r="L175" s="128"/>
      <c r="M175" s="128"/>
      <c r="N175" s="128"/>
      <c r="O175" s="128" t="str">
        <v>No</v>
      </c>
    </row>
    <row r="176" ht="243" customHeight="1">
      <c r="A176" s="128"/>
      <c r="B176" s="129" t="str">
        <v>Steel / glass / facade assembly</v>
      </c>
      <c r="C176" s="129" t="str">
        <v>DBL building</v>
      </c>
      <c r="D176" s="129" t="str">
        <v>2024 net turnover: €922,961.
Reg. 40203255202.
Source: UR annual accounts, report 1966903.
https://data.gov.lv/dati/dataset/gada-parskatu-finansu-dati
Gints Bernots, published business contact: +371 26775187, gints.bernots@dblbuilding.com. Steel, glass and facade installation. Contact's decision-making authority not independently verified.
https://lv.linkedin.com/in/gints-bernots
https://dom.lndb.lv/data/obj/file/35022227.pdf?attach=true
Added 21 Sep 2026. Registered company; UR checked.</v>
      </c>
      <c r="E176" s="128"/>
      <c r="F176" s="128"/>
      <c r="G176" s="128"/>
      <c r="H176" s="128"/>
      <c r="I176" s="128"/>
      <c r="J176" s="128"/>
      <c r="K176" s="128"/>
      <c r="L176" s="128"/>
      <c r="M176" s="128"/>
      <c r="N176" s="128"/>
      <c r="O176" s="128" t="str">
        <v>No</v>
      </c>
    </row>
    <row r="177" ht="225" customHeight="1">
      <c r="A177" s="128"/>
      <c r="B177" s="129" t="str">
        <v>PVC roofing / waterproofing</v>
      </c>
      <c r="C177" s="129" t="str">
        <v>ALDEKO</v>
      </c>
      <c r="D177" s="129" t="str">
        <v>2024 net turnover: €818,444.
Reg. 40003763521.
Source: UR annual accounts, report 2064114.
https://data.gov.lv/dati/dataset/gada-parskatu-finansu-dati
Company: +371 28888803, aldeko@inbox.lv. Ask for director/project manager; named decision-maker not verified.
https://aldeko.lv/
Added 21 Sep 2026. Registered company; UR checked.</v>
      </c>
      <c r="E177" s="128"/>
      <c r="F177" s="128"/>
      <c r="G177" s="128"/>
      <c r="H177" s="128"/>
      <c r="I177" s="128"/>
      <c r="J177" s="128"/>
      <c r="K177" s="128"/>
      <c r="L177" s="128"/>
      <c r="M177" s="128"/>
      <c r="N177" s="128"/>
      <c r="O177" s="128" t="str">
        <v>No</v>
      </c>
    </row>
    <row r="178" ht="225" customHeight="1">
      <c r="A178" s="128"/>
      <c r="B178" s="129" t="str">
        <v>Roofing contractor</v>
      </c>
      <c r="C178" s="129" t="str">
        <v>RECTE</v>
      </c>
      <c r="D178" s="129" t="str">
        <v>2024 net turnover: €2,349,161.
Reg. 40103196947.
Source: UR annual accounts, report 2007585.
https://data.gov.lv/dati/dataset/gada-parskatu-finansu-dati
Company: +371 26328380. Ask for director/project manager; named decision-maker and public email not verified.
https://www.zl.lv/lv/uznemums/recte-sia-282944/
Added 21 Sep 2026. Registered company; UR checked.</v>
      </c>
      <c r="E178" s="128"/>
      <c r="F178" s="128"/>
      <c r="G178" s="128"/>
      <c r="H178" s="128"/>
      <c r="I178" s="128"/>
      <c r="J178" s="128"/>
      <c r="K178" s="128"/>
      <c r="L178" s="128"/>
      <c r="M178" s="128"/>
      <c r="N178" s="128"/>
      <c r="O178" s="128" t="str">
        <v>No</v>
      </c>
    </row>
    <row r="179" ht="243" customHeight="1">
      <c r="A179" s="128"/>
      <c r="B179" s="129" t="str">
        <v>Roof construction / repairs</v>
      </c>
      <c r="C179" s="129" t="str">
        <v>BūvJumts</v>
      </c>
      <c r="D179" s="129" t="str">
        <v>2024 net turnover: €954,779.
Reg. 41503049039.
Source: UR annual accounts, report 1974617.
https://data.gov.lv/dati/dataset/gada-parskatu-finansu-dati
Company: +371 29279950. Ask for director/project manager; named decision-maker and public email not verified. Roof repair contract awarded by Daugavpils municipality in June 2026.
https://buvjumts-c-17084.kontakti.lv/lv/
https://www.daugavpils.lv/pasvaldiba/normativajos-aktos-nereglamentetie-iepirkumi?purchase=9780
Added 21 Sep 2026. Registered company; UR checked.</v>
      </c>
      <c r="E179" s="128"/>
      <c r="F179" s="128"/>
      <c r="G179" s="128"/>
      <c r="H179" s="128"/>
      <c r="I179" s="128"/>
      <c r="J179" s="128"/>
      <c r="K179" s="128"/>
      <c r="L179" s="128"/>
      <c r="M179" s="128"/>
      <c r="N179" s="128"/>
      <c r="O179" s="128" t="str">
        <v>No</v>
      </c>
    </row>
    <row r="180" ht="225" customHeight="1">
      <c r="A180" s="128"/>
      <c r="B180" s="129" t="str">
        <v>Aluminium / glass / facade assembly</v>
      </c>
      <c r="C180" s="129" t="str">
        <v>AMG montāža</v>
      </c>
      <c r="D180" s="129" t="str">
        <v>2024 net turnover: €2,335,349.
Reg. 42103044603.
Source: UR annual accounts, report 2030858.
https://data.gov.lv/dati/dataset/gada-parskatu-finansu-dati
Company: +371 28443284, sales@amgmontaza.lv. Aluminium and glass structure installation. Ask for director/project manager; name not verified.
https://www.amgmontaza.lv/
https://www.amgmontaza.lv/lv/par-mums
Added 21 Sep 2026. Registered company; UR checked.</v>
      </c>
      <c r="E180" s="128"/>
      <c r="F180" s="128"/>
      <c r="G180" s="128"/>
      <c r="H180" s="128"/>
      <c r="I180" s="128"/>
      <c r="J180" s="128"/>
      <c r="K180" s="128"/>
      <c r="L180" s="128"/>
      <c r="M180" s="128"/>
      <c r="N180" s="128"/>
      <c r="O180" s="128" t="str">
        <v>No</v>
      </c>
    </row>
    <row r="181" ht="225" customHeight="1">
      <c r="A181" s="128"/>
      <c r="B181" s="129" t="str">
        <v>Metal / glass facade installation</v>
      </c>
      <c r="C181" s="129" t="str">
        <v>TBM-MAIGA</v>
      </c>
      <c r="D181" s="129" t="str">
        <v>2024 net turnover: €932,149.
Reg. 44103038855.
Source: UR annual accounts, report 1979305.
https://data.gov.lv/dati/dataset/gada-parskatu-finansu-dati
Company: +371 26536608, info@tbmmaiga.lv. Manufactures, supplies and installs aluminium/glass structures and facades. Ask for director; name not verified.
https://www.tbmmaiga.lv/kontakti/
Added 21 Sep 2026. Registered company; UR checked.</v>
      </c>
      <c r="E181" s="128"/>
      <c r="F181" s="128"/>
      <c r="G181" s="128"/>
      <c r="H181" s="128"/>
      <c r="I181" s="128"/>
      <c r="J181" s="128"/>
      <c r="K181" s="128"/>
      <c r="L181" s="128"/>
      <c r="M181" s="128"/>
      <c r="N181" s="128"/>
      <c r="O181" s="128" t="str">
        <v>No</v>
      </c>
    </row>
    <row r="182" ht="258" customHeight="1">
      <c r="A182" s="128"/>
      <c r="B182" s="129" t="str">
        <v>Roofing contractor</v>
      </c>
      <c r="C182" s="129" t="str">
        <v>BaltCeltne LTD</v>
      </c>
      <c r="D182" s="129" t="str">
        <v>2024 net turnover: €804,779.
Reg. 40103283002.
Source: UR annual accounts, report 2034191.
https://data.gov.lv/dati/dataset/gada-parskatu-finansu-dati
Nikolajs Lavrovs, board member; reach through company +371 29156506. Direct personal contact/email not verified. Roofing classification and active BIS registration checked.
https://www.firmas.lv/en/companies/baltceltne-ltd/40103283002
https://overit.lv/uznemums/sabiedriba-ar-ierobezotu-atbildibu-baltceltne-ltd-40103283002/
Added 21 Sep 2026. Registered company; UR checked.</v>
      </c>
      <c r="E182" s="128"/>
      <c r="F182" s="128"/>
      <c r="G182" s="128"/>
      <c r="H182" s="128"/>
      <c r="I182" s="128"/>
      <c r="J182" s="128"/>
      <c r="K182" s="128"/>
      <c r="L182" s="128"/>
      <c r="M182" s="128"/>
      <c r="N182" s="128"/>
      <c r="O182" s="128" t="str">
        <v>No</v>
      </c>
    </row>
    <row r="183" ht="228" customHeight="1">
      <c r="A183" s="128"/>
      <c r="B183" s="129" t="str">
        <v>Building construction / reconstruction</v>
      </c>
      <c r="C183" s="129" t="str">
        <v>A.P.E Build</v>
      </c>
      <c r="D183" s="129" t="str">
        <v>2024 net turnover: €1,047,600.
Reg. 40103742564.
Source: UR annual accounts, report 1997941.
https://data.gov.lv/dati/dataset/gada-parskatu-finansu-dati
Company: +371 29328857, info@apebuild.lv. Full-cycle residential/public building works and reconstruction. Ask for director/project manager; named decision-maker not verified.
https://apebuild.lv/
https://www.draugiem.lv/apebuild/contacts/
Added 21 Sep 2026. Registered company; UR checked.</v>
      </c>
      <c r="E183" s="128"/>
      <c r="F183" s="128"/>
      <c r="G183" s="128"/>
      <c r="H183" s="128"/>
      <c r="I183" s="128"/>
      <c r="J183" s="128"/>
      <c r="K183" s="128"/>
      <c r="L183" s="128"/>
      <c r="M183" s="128"/>
      <c r="N183" s="128"/>
      <c r="O183" s="128" t="str">
        <v>No</v>
      </c>
    </row>
  </sheetData>
  <hyperlinks>
    <hyperlink ref="F18" r:id="rId1" xr:uid="{F3A02A3F-8433-4ECA-96B5-1BACC9CEB5AE}"/>
    <hyperlink ref="C25" r:id="rId2" xr:uid="{91D4F019-EEA8-4517-B0FF-0BD9691A75AD}"/>
    <hyperlink ref="C28" r:id="rId3" xr:uid="{12EB0C3F-2981-4717-AA0B-B2676B18DC4B}"/>
    <hyperlink ref="C30" r:id="rId4" xr:uid="{84AAC47B-7C94-42AC-99A4-62E44E98CED3}"/>
    <hyperlink ref="C31" r:id="rId5" xr:uid="{4474AED8-FCC4-4E24-AEC7-774B9D71F680}"/>
    <hyperlink ref="C32" r:id="rId6" xr:uid="{807F583A-EF02-4269-8B48-F07D24F0534B}"/>
    <hyperlink ref="C33" r:id="rId7" xr:uid="{7ECAF9C3-4CD1-4BBA-9894-9DE232104776}"/>
    <hyperlink ref="C34" r:id="rId8" xr:uid="{7E761559-C917-4BC0-BB3B-CCC3206A73C6}"/>
    <hyperlink ref="C35" r:id="rId9" xr:uid="{5E9F98ED-2214-49CB-AE15-6CC05D5122F8}"/>
    <hyperlink ref="C54" r:id="rId10" xr:uid="{3518336C-2BBB-46AD-AB3E-F451B772A67D}"/>
    <hyperlink ref="C56" r:id="rId11" xr:uid="{EADD1584-47CB-4794-AA34-008A9C4FC203}"/>
    <hyperlink ref="C57" r:id="rId12" xr:uid="{6FD98985-9CC6-4519-AE44-5C3236FE08D7}"/>
    <hyperlink ref="C36" r:id="rId13" xr:uid="{69B42676-626E-49F8-8B44-130F27EF3211}"/>
    <hyperlink ref="C51" r:id="rId14" xr:uid="{4C37BA9B-6A78-4703-B576-65D288A983E0}"/>
  </hyperlinks>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6278-CBD1-46FB-B9D4-9117B8A985A8}">
  <dimension ref="B6:E9"/>
  <sheetViews>
    <sheetView workbookViewId="0">
      <selection activeCell="E15" sqref="E15"/>
    </sheetView>
  </sheetViews>
  <sheetFormatPr defaultRowHeight="15"/>
  <cols>
    <col min="2" max="2" width="30.85546875" customWidth="1"/>
    <col min="5" max="5" width="17.42578125" customWidth="1"/>
  </cols>
  <sheetData>
    <row r="6" spans="2:5">
      <c r="D6" t="s">
        <v>315</v>
      </c>
      <c r="E6" t="s">
        <v>316</v>
      </c>
    </row>
    <row r="7" spans="2:5">
      <c r="B7" t="s">
        <v>314</v>
      </c>
      <c r="C7">
        <v>55</v>
      </c>
      <c r="D7">
        <v>24</v>
      </c>
      <c r="E7" s="94">
        <f>C7/D7</f>
        <v>2.2916666666666665</v>
      </c>
    </row>
    <row r="8" spans="2:5">
      <c r="B8" t="s">
        <v>317</v>
      </c>
    </row>
    <row r="9" spans="2:5">
      <c r="B9"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Experiment 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Vjaceslavs Gromatovics</cp:lastModifiedBy>
  <dcterms:created xsi:type="dcterms:W3CDTF">2026-08-18T09:45:26Z</dcterms:created>
  <dcterms:modified xsi:type="dcterms:W3CDTF">2026-09-21T08:22:29Z</dcterms:modified>
</cp:coreProperties>
</file>