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user\MainProjects\worksRecorded\worksRecorded\outputs\whatsapp-2026-project-review\"/>
    </mc:Choice>
  </mc:AlternateContent>
  <xr:revisionPtr revIDLastSave="0" documentId="13_ncr:1_{E4DDFDB3-8E5E-4478-9FF0-B1F2FB5B0412}" xr6:coauthVersionLast="47" xr6:coauthVersionMax="47" xr10:uidLastSave="{00000000-0000-0000-0000-000000000000}"/>
  <bookViews>
    <workbookView minimized="1" xWindow="1920" yWindow="4185" windowWidth="21600" windowHeight="11295" activeTab="5" xr2:uid="{00000000-000D-0000-FFFF-FFFF00000000}"/>
  </bookViews>
  <sheets>
    <sheet name="Kopsavilkums" sheetId="1" r:id="rId1"/>
    <sheet name="Projekti" sheetId="2" r:id="rId2"/>
    <sheet name="Vietņu ieraksti" sheetId="3" r:id="rId3"/>
    <sheet name="Pārskatīšana" sheetId="4" r:id="rId4"/>
    <sheet name="Avota ziņas" sheetId="5" r:id="rId5"/>
    <sheet name="Norādes" sheetId="6" r:id="rId6"/>
  </sheets>
  <definedNames>
    <definedName name="_xlnm._FilterDatabase" localSheetId="4">'Avota ziņas'!A4:I663</definedName>
    <definedName name="_xlnm._FilterDatabase" localSheetId="5">Norādes!A4:B14</definedName>
    <definedName name="_xlnm._FilterDatabase" localSheetId="3">Pārskatīšana!A4:K213</definedName>
    <definedName name="_xlnm._FilterDatabase" localSheetId="1">Projekti!A4:J130</definedName>
    <definedName name="_xlnm._FilterDatabase" localSheetId="2">'Vietņu ieraksti'!A4:X493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0" i="2" l="1"/>
  <c r="G130" i="2"/>
  <c r="F130" i="2"/>
  <c r="E130" i="2"/>
  <c r="D130" i="2"/>
  <c r="C130" i="2"/>
  <c r="H129" i="2"/>
  <c r="G129" i="2"/>
  <c r="F129" i="2"/>
  <c r="E129" i="2"/>
  <c r="D129" i="2"/>
  <c r="C129" i="2"/>
  <c r="H128" i="2"/>
  <c r="G128" i="2"/>
  <c r="F128" i="2"/>
  <c r="E128" i="2"/>
  <c r="D128" i="2"/>
  <c r="C128" i="2"/>
  <c r="H127" i="2"/>
  <c r="G127" i="2"/>
  <c r="F127" i="2"/>
  <c r="E127" i="2"/>
  <c r="D127" i="2"/>
  <c r="C127" i="2"/>
  <c r="H126" i="2"/>
  <c r="G126" i="2"/>
  <c r="F126" i="2"/>
  <c r="E126" i="2"/>
  <c r="D126" i="2"/>
  <c r="C126" i="2"/>
  <c r="H125" i="2"/>
  <c r="G125" i="2"/>
  <c r="F125" i="2"/>
  <c r="E125" i="2"/>
  <c r="D125" i="2"/>
  <c r="C125" i="2"/>
  <c r="H124" i="2"/>
  <c r="G124" i="2"/>
  <c r="F124" i="2"/>
  <c r="E124" i="2"/>
  <c r="D124" i="2"/>
  <c r="C124" i="2"/>
  <c r="H123" i="2"/>
  <c r="G123" i="2"/>
  <c r="F123" i="2"/>
  <c r="E123" i="2"/>
  <c r="D123" i="2"/>
  <c r="C123" i="2"/>
  <c r="H122" i="2"/>
  <c r="G122" i="2"/>
  <c r="F122" i="2"/>
  <c r="E122" i="2"/>
  <c r="D122" i="2"/>
  <c r="C122" i="2"/>
  <c r="H121" i="2"/>
  <c r="G121" i="2"/>
  <c r="F121" i="2"/>
  <c r="E121" i="2"/>
  <c r="D121" i="2"/>
  <c r="C121" i="2"/>
  <c r="H120" i="2"/>
  <c r="G120" i="2"/>
  <c r="F120" i="2"/>
  <c r="E120" i="2"/>
  <c r="D120" i="2"/>
  <c r="C120" i="2"/>
  <c r="H119" i="2"/>
  <c r="G119" i="2"/>
  <c r="F119" i="2"/>
  <c r="E119" i="2"/>
  <c r="D119" i="2"/>
  <c r="C119" i="2"/>
  <c r="H118" i="2"/>
  <c r="G118" i="2"/>
  <c r="F118" i="2"/>
  <c r="E118" i="2"/>
  <c r="D118" i="2"/>
  <c r="C118" i="2"/>
  <c r="H117" i="2"/>
  <c r="G117" i="2"/>
  <c r="F117" i="2"/>
  <c r="E117" i="2"/>
  <c r="D117" i="2"/>
  <c r="C117" i="2"/>
  <c r="H116" i="2"/>
  <c r="G116" i="2"/>
  <c r="F116" i="2"/>
  <c r="E116" i="2"/>
  <c r="D116" i="2"/>
  <c r="C116" i="2"/>
  <c r="H115" i="2"/>
  <c r="G115" i="2"/>
  <c r="F115" i="2"/>
  <c r="E115" i="2"/>
  <c r="D115" i="2"/>
  <c r="C115" i="2"/>
  <c r="H114" i="2"/>
  <c r="G114" i="2"/>
  <c r="F114" i="2"/>
  <c r="E114" i="2"/>
  <c r="D114" i="2"/>
  <c r="C114" i="2"/>
  <c r="H113" i="2"/>
  <c r="G113" i="2"/>
  <c r="F113" i="2"/>
  <c r="E113" i="2"/>
  <c r="D113" i="2"/>
  <c r="C113" i="2"/>
  <c r="H112" i="2"/>
  <c r="G112" i="2"/>
  <c r="F112" i="2"/>
  <c r="E112" i="2"/>
  <c r="D112" i="2"/>
  <c r="C112" i="2"/>
  <c r="H111" i="2"/>
  <c r="G111" i="2"/>
  <c r="F111" i="2"/>
  <c r="E111" i="2"/>
  <c r="D111" i="2"/>
  <c r="C111" i="2"/>
  <c r="H110" i="2"/>
  <c r="G110" i="2"/>
  <c r="F110" i="2"/>
  <c r="E110" i="2"/>
  <c r="D110" i="2"/>
  <c r="C110" i="2"/>
  <c r="H109" i="2"/>
  <c r="G109" i="2"/>
  <c r="F109" i="2"/>
  <c r="E109" i="2"/>
  <c r="D109" i="2"/>
  <c r="C109" i="2"/>
  <c r="H108" i="2"/>
  <c r="G108" i="2"/>
  <c r="F108" i="2"/>
  <c r="E108" i="2"/>
  <c r="D108" i="2"/>
  <c r="C108" i="2"/>
  <c r="H107" i="2"/>
  <c r="G107" i="2"/>
  <c r="F107" i="2"/>
  <c r="E107" i="2"/>
  <c r="D107" i="2"/>
  <c r="C107" i="2"/>
  <c r="H106" i="2"/>
  <c r="G106" i="2"/>
  <c r="F106" i="2"/>
  <c r="E106" i="2"/>
  <c r="D106" i="2"/>
  <c r="C106" i="2"/>
  <c r="H105" i="2"/>
  <c r="G105" i="2"/>
  <c r="F105" i="2"/>
  <c r="E105" i="2"/>
  <c r="D105" i="2"/>
  <c r="C105" i="2"/>
  <c r="H104" i="2"/>
  <c r="G104" i="2"/>
  <c r="F104" i="2"/>
  <c r="E104" i="2"/>
  <c r="D104" i="2"/>
  <c r="C104" i="2"/>
  <c r="H103" i="2"/>
  <c r="G103" i="2"/>
  <c r="F103" i="2"/>
  <c r="E103" i="2"/>
  <c r="D103" i="2"/>
  <c r="C103" i="2"/>
  <c r="H102" i="2"/>
  <c r="G102" i="2"/>
  <c r="F102" i="2"/>
  <c r="E102" i="2"/>
  <c r="D102" i="2"/>
  <c r="C102" i="2"/>
  <c r="H101" i="2"/>
  <c r="G101" i="2"/>
  <c r="F101" i="2"/>
  <c r="E101" i="2"/>
  <c r="D101" i="2"/>
  <c r="C101" i="2"/>
  <c r="H100" i="2"/>
  <c r="G100" i="2"/>
  <c r="F100" i="2"/>
  <c r="E100" i="2"/>
  <c r="D100" i="2"/>
  <c r="C100" i="2"/>
  <c r="H99" i="2"/>
  <c r="G99" i="2"/>
  <c r="F99" i="2"/>
  <c r="E99" i="2"/>
  <c r="D99" i="2"/>
  <c r="C99" i="2"/>
  <c r="H98" i="2"/>
  <c r="G98" i="2"/>
  <c r="F98" i="2"/>
  <c r="E98" i="2"/>
  <c r="D98" i="2"/>
  <c r="C98" i="2"/>
  <c r="H97" i="2"/>
  <c r="G97" i="2"/>
  <c r="F97" i="2"/>
  <c r="E97" i="2"/>
  <c r="D97" i="2"/>
  <c r="C97" i="2"/>
  <c r="H96" i="2"/>
  <c r="G96" i="2"/>
  <c r="F96" i="2"/>
  <c r="E96" i="2"/>
  <c r="D96" i="2"/>
  <c r="C96" i="2"/>
  <c r="H95" i="2"/>
  <c r="G95" i="2"/>
  <c r="F95" i="2"/>
  <c r="E95" i="2"/>
  <c r="D95" i="2"/>
  <c r="C95" i="2"/>
  <c r="H94" i="2"/>
  <c r="G94" i="2"/>
  <c r="F94" i="2"/>
  <c r="E94" i="2"/>
  <c r="D94" i="2"/>
  <c r="C94" i="2"/>
  <c r="H93" i="2"/>
  <c r="G93" i="2"/>
  <c r="F93" i="2"/>
  <c r="E93" i="2"/>
  <c r="D93" i="2"/>
  <c r="C93" i="2"/>
  <c r="H92" i="2"/>
  <c r="G92" i="2"/>
  <c r="F92" i="2"/>
  <c r="E92" i="2"/>
  <c r="D92" i="2"/>
  <c r="C92" i="2"/>
  <c r="H91" i="2"/>
  <c r="G91" i="2"/>
  <c r="F91" i="2"/>
  <c r="E91" i="2"/>
  <c r="D91" i="2"/>
  <c r="C91" i="2"/>
  <c r="H90" i="2"/>
  <c r="G90" i="2"/>
  <c r="F90" i="2"/>
  <c r="E90" i="2"/>
  <c r="D90" i="2"/>
  <c r="C90" i="2"/>
  <c r="H89" i="2"/>
  <c r="G89" i="2"/>
  <c r="F89" i="2"/>
  <c r="E89" i="2"/>
  <c r="D89" i="2"/>
  <c r="C89" i="2"/>
  <c r="H88" i="2"/>
  <c r="G88" i="2"/>
  <c r="F88" i="2"/>
  <c r="E88" i="2"/>
  <c r="D88" i="2"/>
  <c r="C88" i="2"/>
  <c r="H87" i="2"/>
  <c r="G87" i="2"/>
  <c r="F87" i="2"/>
  <c r="E87" i="2"/>
  <c r="D87" i="2"/>
  <c r="C87" i="2"/>
  <c r="H86" i="2"/>
  <c r="G86" i="2"/>
  <c r="F86" i="2"/>
  <c r="E86" i="2"/>
  <c r="D86" i="2"/>
  <c r="C86" i="2"/>
  <c r="H85" i="2"/>
  <c r="G85" i="2"/>
  <c r="F85" i="2"/>
  <c r="E85" i="2"/>
  <c r="D85" i="2"/>
  <c r="C85" i="2"/>
  <c r="H84" i="2"/>
  <c r="G84" i="2"/>
  <c r="F84" i="2"/>
  <c r="E84" i="2"/>
  <c r="D84" i="2"/>
  <c r="C84" i="2"/>
  <c r="H83" i="2"/>
  <c r="G83" i="2"/>
  <c r="F83" i="2"/>
  <c r="E83" i="2"/>
  <c r="D83" i="2"/>
  <c r="C83" i="2"/>
  <c r="H82" i="2"/>
  <c r="G82" i="2"/>
  <c r="F82" i="2"/>
  <c r="E82" i="2"/>
  <c r="D82" i="2"/>
  <c r="C82" i="2"/>
  <c r="H81" i="2"/>
  <c r="G81" i="2"/>
  <c r="F81" i="2"/>
  <c r="E81" i="2"/>
  <c r="D81" i="2"/>
  <c r="C81" i="2"/>
  <c r="H80" i="2"/>
  <c r="G80" i="2"/>
  <c r="F80" i="2"/>
  <c r="E80" i="2"/>
  <c r="D80" i="2"/>
  <c r="C80" i="2"/>
  <c r="H79" i="2"/>
  <c r="G79" i="2"/>
  <c r="F79" i="2"/>
  <c r="E79" i="2"/>
  <c r="D79" i="2"/>
  <c r="C79" i="2"/>
  <c r="H78" i="2"/>
  <c r="G78" i="2"/>
  <c r="F78" i="2"/>
  <c r="E78" i="2"/>
  <c r="D78" i="2"/>
  <c r="C78" i="2"/>
  <c r="H77" i="2"/>
  <c r="G77" i="2"/>
  <c r="F77" i="2"/>
  <c r="E77" i="2"/>
  <c r="D77" i="2"/>
  <c r="C77" i="2"/>
  <c r="H76" i="2"/>
  <c r="G76" i="2"/>
  <c r="F76" i="2"/>
  <c r="E76" i="2"/>
  <c r="D76" i="2"/>
  <c r="C76" i="2"/>
  <c r="H75" i="2"/>
  <c r="G75" i="2"/>
  <c r="F75" i="2"/>
  <c r="E75" i="2"/>
  <c r="D75" i="2"/>
  <c r="C75" i="2"/>
  <c r="H74" i="2"/>
  <c r="G74" i="2"/>
  <c r="F74" i="2"/>
  <c r="E74" i="2"/>
  <c r="D74" i="2"/>
  <c r="C74" i="2"/>
  <c r="H73" i="2"/>
  <c r="G73" i="2"/>
  <c r="F73" i="2"/>
  <c r="E73" i="2"/>
  <c r="D73" i="2"/>
  <c r="C73" i="2"/>
  <c r="H72" i="2"/>
  <c r="G72" i="2"/>
  <c r="F72" i="2"/>
  <c r="E72" i="2"/>
  <c r="D72" i="2"/>
  <c r="C72" i="2"/>
  <c r="H71" i="2"/>
  <c r="G71" i="2"/>
  <c r="F71" i="2"/>
  <c r="E71" i="2"/>
  <c r="D71" i="2"/>
  <c r="C71" i="2"/>
  <c r="H70" i="2"/>
  <c r="G70" i="2"/>
  <c r="F70" i="2"/>
  <c r="E70" i="2"/>
  <c r="D70" i="2"/>
  <c r="C70" i="2"/>
  <c r="H69" i="2"/>
  <c r="G69" i="2"/>
  <c r="F69" i="2"/>
  <c r="E69" i="2"/>
  <c r="D69" i="2"/>
  <c r="C69" i="2"/>
  <c r="H68" i="2"/>
  <c r="G68" i="2"/>
  <c r="F68" i="2"/>
  <c r="E68" i="2"/>
  <c r="D68" i="2"/>
  <c r="C68" i="2"/>
  <c r="H67" i="2"/>
  <c r="G67" i="2"/>
  <c r="F67" i="2"/>
  <c r="E67" i="2"/>
  <c r="D67" i="2"/>
  <c r="C67" i="2"/>
  <c r="H66" i="2"/>
  <c r="G66" i="2"/>
  <c r="F66" i="2"/>
  <c r="E66" i="2"/>
  <c r="D66" i="2"/>
  <c r="C66" i="2"/>
  <c r="H65" i="2"/>
  <c r="G65" i="2"/>
  <c r="F65" i="2"/>
  <c r="E65" i="2"/>
  <c r="D65" i="2"/>
  <c r="C65" i="2"/>
  <c r="H64" i="2"/>
  <c r="G64" i="2"/>
  <c r="F64" i="2"/>
  <c r="E64" i="2"/>
  <c r="D64" i="2"/>
  <c r="C64" i="2"/>
  <c r="H63" i="2"/>
  <c r="G63" i="2"/>
  <c r="F63" i="2"/>
  <c r="E63" i="2"/>
  <c r="D63" i="2"/>
  <c r="C63" i="2"/>
  <c r="H62" i="2"/>
  <c r="G62" i="2"/>
  <c r="F62" i="2"/>
  <c r="E62" i="2"/>
  <c r="D62" i="2"/>
  <c r="C62" i="2"/>
  <c r="H61" i="2"/>
  <c r="G61" i="2"/>
  <c r="F61" i="2"/>
  <c r="E61" i="2"/>
  <c r="D61" i="2"/>
  <c r="C61" i="2"/>
  <c r="H60" i="2"/>
  <c r="G60" i="2"/>
  <c r="F60" i="2"/>
  <c r="E60" i="2"/>
  <c r="D60" i="2"/>
  <c r="C60" i="2"/>
  <c r="H59" i="2"/>
  <c r="G59" i="2"/>
  <c r="F59" i="2"/>
  <c r="E59" i="2"/>
  <c r="D59" i="2"/>
  <c r="C59" i="2"/>
  <c r="H58" i="2"/>
  <c r="G58" i="2"/>
  <c r="F58" i="2"/>
  <c r="E58" i="2"/>
  <c r="D58" i="2"/>
  <c r="C58" i="2"/>
  <c r="H57" i="2"/>
  <c r="G57" i="2"/>
  <c r="F57" i="2"/>
  <c r="E57" i="2"/>
  <c r="D57" i="2"/>
  <c r="C57" i="2"/>
  <c r="H56" i="2"/>
  <c r="G56" i="2"/>
  <c r="F56" i="2"/>
  <c r="E56" i="2"/>
  <c r="D56" i="2"/>
  <c r="C56" i="2"/>
  <c r="H55" i="2"/>
  <c r="G55" i="2"/>
  <c r="F55" i="2"/>
  <c r="E55" i="2"/>
  <c r="D55" i="2"/>
  <c r="C55" i="2"/>
  <c r="H54" i="2"/>
  <c r="G54" i="2"/>
  <c r="F54" i="2"/>
  <c r="E54" i="2"/>
  <c r="D54" i="2"/>
  <c r="C54" i="2"/>
  <c r="H53" i="2"/>
  <c r="G53" i="2"/>
  <c r="F53" i="2"/>
  <c r="E53" i="2"/>
  <c r="D53" i="2"/>
  <c r="C53" i="2"/>
  <c r="H52" i="2"/>
  <c r="G52" i="2"/>
  <c r="F52" i="2"/>
  <c r="E52" i="2"/>
  <c r="D52" i="2"/>
  <c r="C52" i="2"/>
  <c r="H51" i="2"/>
  <c r="G51" i="2"/>
  <c r="F51" i="2"/>
  <c r="E51" i="2"/>
  <c r="D51" i="2"/>
  <c r="C51" i="2"/>
  <c r="H50" i="2"/>
  <c r="G50" i="2"/>
  <c r="F50" i="2"/>
  <c r="E50" i="2"/>
  <c r="D50" i="2"/>
  <c r="C50" i="2"/>
  <c r="H49" i="2"/>
  <c r="G49" i="2"/>
  <c r="F49" i="2"/>
  <c r="E49" i="2"/>
  <c r="D49" i="2"/>
  <c r="C49" i="2"/>
  <c r="H48" i="2"/>
  <c r="G48" i="2"/>
  <c r="F48" i="2"/>
  <c r="E48" i="2"/>
  <c r="D48" i="2"/>
  <c r="C48" i="2"/>
  <c r="H47" i="2"/>
  <c r="G47" i="2"/>
  <c r="F47" i="2"/>
  <c r="E47" i="2"/>
  <c r="D47" i="2"/>
  <c r="C47" i="2"/>
  <c r="H46" i="2"/>
  <c r="G46" i="2"/>
  <c r="F46" i="2"/>
  <c r="E46" i="2"/>
  <c r="D46" i="2"/>
  <c r="C46" i="2"/>
  <c r="H45" i="2"/>
  <c r="G45" i="2"/>
  <c r="F45" i="2"/>
  <c r="E45" i="2"/>
  <c r="D45" i="2"/>
  <c r="C45" i="2"/>
  <c r="H44" i="2"/>
  <c r="G44" i="2"/>
  <c r="F44" i="2"/>
  <c r="E44" i="2"/>
  <c r="D44" i="2"/>
  <c r="C44" i="2"/>
  <c r="H43" i="2"/>
  <c r="G43" i="2"/>
  <c r="F43" i="2"/>
  <c r="E43" i="2"/>
  <c r="D43" i="2"/>
  <c r="C43" i="2"/>
  <c r="H42" i="2"/>
  <c r="G42" i="2"/>
  <c r="F42" i="2"/>
  <c r="E42" i="2"/>
  <c r="D42" i="2"/>
  <c r="C42" i="2"/>
  <c r="H41" i="2"/>
  <c r="G41" i="2"/>
  <c r="F41" i="2"/>
  <c r="E41" i="2"/>
  <c r="D41" i="2"/>
  <c r="C41" i="2"/>
  <c r="H40" i="2"/>
  <c r="G40" i="2"/>
  <c r="F40" i="2"/>
  <c r="E40" i="2"/>
  <c r="D40" i="2"/>
  <c r="C40" i="2"/>
  <c r="H39" i="2"/>
  <c r="G39" i="2"/>
  <c r="F39" i="2"/>
  <c r="E39" i="2"/>
  <c r="D39" i="2"/>
  <c r="C39" i="2"/>
  <c r="H38" i="2"/>
  <c r="G38" i="2"/>
  <c r="F38" i="2"/>
  <c r="E38" i="2"/>
  <c r="D38" i="2"/>
  <c r="C38" i="2"/>
  <c r="H37" i="2"/>
  <c r="G37" i="2"/>
  <c r="F37" i="2"/>
  <c r="E37" i="2"/>
  <c r="D37" i="2"/>
  <c r="C37" i="2"/>
  <c r="H36" i="2"/>
  <c r="G36" i="2"/>
  <c r="F36" i="2"/>
  <c r="E36" i="2"/>
  <c r="D36" i="2"/>
  <c r="C36" i="2"/>
  <c r="H35" i="2"/>
  <c r="G35" i="2"/>
  <c r="F35" i="2"/>
  <c r="E35" i="2"/>
  <c r="D35" i="2"/>
  <c r="C35" i="2"/>
  <c r="H34" i="2"/>
  <c r="G34" i="2"/>
  <c r="F34" i="2"/>
  <c r="E34" i="2"/>
  <c r="D34" i="2"/>
  <c r="C34" i="2"/>
  <c r="H33" i="2"/>
  <c r="G33" i="2"/>
  <c r="F33" i="2"/>
  <c r="E33" i="2"/>
  <c r="D33" i="2"/>
  <c r="C33" i="2"/>
  <c r="H32" i="2"/>
  <c r="G32" i="2"/>
  <c r="F32" i="2"/>
  <c r="E32" i="2"/>
  <c r="D32" i="2"/>
  <c r="C32" i="2"/>
  <c r="H31" i="2"/>
  <c r="G31" i="2"/>
  <c r="F31" i="2"/>
  <c r="E31" i="2"/>
  <c r="D31" i="2"/>
  <c r="C31" i="2"/>
  <c r="H30" i="2"/>
  <c r="G30" i="2"/>
  <c r="F30" i="2"/>
  <c r="E30" i="2"/>
  <c r="D30" i="2"/>
  <c r="C30" i="2"/>
  <c r="H29" i="2"/>
  <c r="G29" i="2"/>
  <c r="F29" i="2"/>
  <c r="E29" i="2"/>
  <c r="D29" i="2"/>
  <c r="C29" i="2"/>
  <c r="H28" i="2"/>
  <c r="G28" i="2"/>
  <c r="F28" i="2"/>
  <c r="E28" i="2"/>
  <c r="D28" i="2"/>
  <c r="C28" i="2"/>
  <c r="H27" i="2"/>
  <c r="G27" i="2"/>
  <c r="F27" i="2"/>
  <c r="E27" i="2"/>
  <c r="D27" i="2"/>
  <c r="C27" i="2"/>
  <c r="H26" i="2"/>
  <c r="G26" i="2"/>
  <c r="F26" i="2"/>
  <c r="E26" i="2"/>
  <c r="D26" i="2"/>
  <c r="C26" i="2"/>
  <c r="H25" i="2"/>
  <c r="G25" i="2"/>
  <c r="F25" i="2"/>
  <c r="E25" i="2"/>
  <c r="D25" i="2"/>
  <c r="C25" i="2"/>
  <c r="H24" i="2"/>
  <c r="G24" i="2"/>
  <c r="F24" i="2"/>
  <c r="E24" i="2"/>
  <c r="D24" i="2"/>
  <c r="C24" i="2"/>
  <c r="H23" i="2"/>
  <c r="G23" i="2"/>
  <c r="F23" i="2"/>
  <c r="E23" i="2"/>
  <c r="D23" i="2"/>
  <c r="C23" i="2"/>
  <c r="H22" i="2"/>
  <c r="G22" i="2"/>
  <c r="F22" i="2"/>
  <c r="E22" i="2"/>
  <c r="D22" i="2"/>
  <c r="C22" i="2"/>
  <c r="H21" i="2"/>
  <c r="G21" i="2"/>
  <c r="F21" i="2"/>
  <c r="E21" i="2"/>
  <c r="D21" i="2"/>
  <c r="C21" i="2"/>
  <c r="H20" i="2"/>
  <c r="G20" i="2"/>
  <c r="F20" i="2"/>
  <c r="E20" i="2"/>
  <c r="D20" i="2"/>
  <c r="C20" i="2"/>
  <c r="H19" i="2"/>
  <c r="G19" i="2"/>
  <c r="F19" i="2"/>
  <c r="E19" i="2"/>
  <c r="D19" i="2"/>
  <c r="C19" i="2"/>
  <c r="H18" i="2"/>
  <c r="G18" i="2"/>
  <c r="F18" i="2"/>
  <c r="E18" i="2"/>
  <c r="D18" i="2"/>
  <c r="C18" i="2"/>
  <c r="H17" i="2"/>
  <c r="G17" i="2"/>
  <c r="F17" i="2"/>
  <c r="E17" i="2"/>
  <c r="D17" i="2"/>
  <c r="C17" i="2"/>
  <c r="H16" i="2"/>
  <c r="G16" i="2"/>
  <c r="F16" i="2"/>
  <c r="E16" i="2"/>
  <c r="D16" i="2"/>
  <c r="C16" i="2"/>
  <c r="H15" i="2"/>
  <c r="G15" i="2"/>
  <c r="F15" i="2"/>
  <c r="E15" i="2"/>
  <c r="D15" i="2"/>
  <c r="C15" i="2"/>
  <c r="H14" i="2"/>
  <c r="G14" i="2"/>
  <c r="F14" i="2"/>
  <c r="E14" i="2"/>
  <c r="D14" i="2"/>
  <c r="C14" i="2"/>
  <c r="H13" i="2"/>
  <c r="G13" i="2"/>
  <c r="F13" i="2"/>
  <c r="E13" i="2"/>
  <c r="D13" i="2"/>
  <c r="C13" i="2"/>
  <c r="H12" i="2"/>
  <c r="G12" i="2"/>
  <c r="F12" i="2"/>
  <c r="E12" i="2"/>
  <c r="D12" i="2"/>
  <c r="C12" i="2"/>
  <c r="H11" i="2"/>
  <c r="G11" i="2"/>
  <c r="F11" i="2"/>
  <c r="E11" i="2"/>
  <c r="D11" i="2"/>
  <c r="C11" i="2"/>
  <c r="H10" i="2"/>
  <c r="G10" i="2"/>
  <c r="F10" i="2"/>
  <c r="E10" i="2"/>
  <c r="D10" i="2"/>
  <c r="C10" i="2"/>
  <c r="H9" i="2"/>
  <c r="G9" i="2"/>
  <c r="F9" i="2"/>
  <c r="E9" i="2"/>
  <c r="D9" i="2"/>
  <c r="C9" i="2"/>
  <c r="H8" i="2"/>
  <c r="G8" i="2"/>
  <c r="F8" i="2"/>
  <c r="E8" i="2"/>
  <c r="D8" i="2"/>
  <c r="C8" i="2"/>
  <c r="H7" i="2"/>
  <c r="G7" i="2"/>
  <c r="F7" i="2"/>
  <c r="E7" i="2"/>
  <c r="D7" i="2"/>
  <c r="C7" i="2"/>
  <c r="H6" i="2"/>
  <c r="G6" i="2"/>
  <c r="F6" i="2"/>
  <c r="E6" i="2"/>
  <c r="D6" i="2"/>
  <c r="C6" i="2"/>
  <c r="H5" i="2"/>
  <c r="G5" i="2"/>
  <c r="F5" i="2"/>
  <c r="E5" i="2"/>
  <c r="D5" i="2"/>
  <c r="C5" i="2"/>
  <c r="B24" i="1"/>
  <c r="B23" i="1"/>
  <c r="B22" i="1"/>
  <c r="E19" i="1"/>
  <c r="D19" i="1"/>
  <c r="C19" i="1"/>
  <c r="B19" i="1"/>
  <c r="E18" i="1"/>
  <c r="D18" i="1"/>
  <c r="C18" i="1"/>
  <c r="B18" i="1"/>
  <c r="E17" i="1"/>
  <c r="D17" i="1"/>
  <c r="C17" i="1"/>
  <c r="B17" i="1"/>
  <c r="E16" i="1"/>
  <c r="D16" i="1"/>
  <c r="C16" i="1"/>
  <c r="B16" i="1"/>
  <c r="E15" i="1"/>
  <c r="D15" i="1"/>
  <c r="C15" i="1"/>
  <c r="B15" i="1"/>
  <c r="E14" i="1"/>
  <c r="D14" i="1"/>
  <c r="C14" i="1"/>
  <c r="B14" i="1"/>
  <c r="E13" i="1"/>
  <c r="D13" i="1"/>
  <c r="C13" i="1"/>
  <c r="B13" i="1"/>
  <c r="E12" i="1"/>
  <c r="D12" i="1"/>
  <c r="C12" i="1"/>
  <c r="B12" i="1"/>
  <c r="E11" i="1"/>
  <c r="D11" i="1"/>
  <c r="C11" i="1"/>
  <c r="B11" i="1"/>
  <c r="E10" i="1"/>
  <c r="D10" i="1"/>
  <c r="C10" i="1"/>
  <c r="B10" i="1"/>
  <c r="E9" i="1"/>
  <c r="D9" i="1"/>
  <c r="C9" i="1"/>
  <c r="B9" i="1"/>
  <c r="E8" i="1"/>
  <c r="D8" i="1"/>
  <c r="C8" i="1"/>
  <c r="B8" i="1"/>
  <c r="H5" i="1"/>
  <c r="E5" i="1"/>
  <c r="B5" i="1"/>
  <c r="H4" i="1"/>
  <c r="E4" i="1"/>
  <c r="B4" i="1"/>
</calcChain>
</file>

<file path=xl/sharedStrings.xml><?xml version="1.0" encoding="utf-8"?>
<sst xmlns="http://schemas.openxmlformats.org/spreadsheetml/2006/main" count="13964" uniqueCount="2396">
  <si>
    <t>WhatsApp 2026 → WorksRecorded pirmsimporta pārskats</t>
  </si>
  <si>
    <t>Organizācija: 58467603-196e-4661-83ff-fe26e4b0ff0b | Avots saglabāts un nekas nav importēts.</t>
  </si>
  <si>
    <t>Piedāvātie ieraksti</t>
  </si>
  <si>
    <t/>
  </si>
  <si>
    <t>Projekti</t>
  </si>
  <si>
    <t>Kopā m²</t>
  </si>
  <si>
    <t>Jāpārskata</t>
  </si>
  <si>
    <t>Ar multividi</t>
  </si>
  <si>
    <t>Avota ziņas</t>
  </si>
  <si>
    <t>Mēnesis</t>
  </si>
  <si>
    <t>Ieraksti</t>
  </si>
  <si>
    <t>janvāris</t>
  </si>
  <si>
    <t>februāris</t>
  </si>
  <si>
    <t>marts</t>
  </si>
  <si>
    <t>aprīlis</t>
  </si>
  <si>
    <t>maijs</t>
  </si>
  <si>
    <t>jūnijs</t>
  </si>
  <si>
    <t>jūlijs</t>
  </si>
  <si>
    <t>augusts</t>
  </si>
  <si>
    <t>septembris</t>
  </si>
  <si>
    <t>oktobris</t>
  </si>
  <si>
    <t>novembris</t>
  </si>
  <si>
    <t>decembris</t>
  </si>
  <si>
    <t>Pārliecība</t>
  </si>
  <si>
    <t>Augsta</t>
  </si>
  <si>
    <t>Vidēja</t>
  </si>
  <si>
    <t>Zema</t>
  </si>
  <si>
    <t>2026. gada projekti un nosaukumu grupējums</t>
  </si>
  <si>
    <t>Pārbaudiet aliasus un WorksRecorded atbilstību. Projekta nosaukums nav automātiski izveidots sistēmā.</t>
  </si>
  <si>
    <t>Projekts</t>
  </si>
  <si>
    <t>Avota nosaukumi / aliasi</t>
  </si>
  <si>
    <t>Pirmais datums</t>
  </si>
  <si>
    <t>Pēdējais datums</t>
  </si>
  <si>
    <t>Esošs WorksRecorded projekts</t>
  </si>
  <si>
    <t>Darbība pirms importa</t>
  </si>
  <si>
    <t>Uriekstes iela 42B</t>
  </si>
  <si>
    <t>Uiriekstes iela 42B | Uriekstes 42B | Uriekstes iela | Uriekstes iela 42 B | Uriekstes iela 42B</t>
  </si>
  <si>
    <t>Apstiprināt / izveidot</t>
  </si>
  <si>
    <t>Barona iela 119</t>
  </si>
  <si>
    <t>Barona | Barona iela | Barona iela 119 | Barona iela veselības centrs | Barona iela119</t>
  </si>
  <si>
    <t>Dārzciema iela 86</t>
  </si>
  <si>
    <t>Dārzciema iela 86 | Dārzciema ielā 86</t>
  </si>
  <si>
    <t>Spilves 27</t>
  </si>
  <si>
    <t>Spilvas iela 27 | Spilves 27 | Spilves iela | Spilves iela 27 | Spilves ielas koridors</t>
  </si>
  <si>
    <t>Piesaistīt esošajam</t>
  </si>
  <si>
    <t>Jānosaka projekts</t>
  </si>
  <si>
    <t>-24.03 Alūksne, Ziemeru 4 | *17.04*, *18.04*, *20.04*, *21.04* | 59 lime</t>
  </si>
  <si>
    <t>Krustabaznīcas iela</t>
  </si>
  <si>
    <t>Krustabaznīcas 11 | Krustabaznīcas 11 estrich, plēve 130m² 53 maisi cements | Krustabaznīcas 11 TW 190m² | Krustbaznīcas iela | Krustbaznīcas iela 11</t>
  </si>
  <si>
    <t>Bērzaunes iela 15</t>
  </si>
  <si>
    <t>Berzaunes 15 Estrich 70m² | Bērzaunes 15 | Bērzaunes iela | Bērzaunes iela 15</t>
  </si>
  <si>
    <t>Balasta dambis 2</t>
  </si>
  <si>
    <t>Balasta dambis | Balasta dambis 2 | Balasta iela | Balasta iela 2</t>
  </si>
  <si>
    <t>Raiņa iela 2A, Iecava</t>
  </si>
  <si>
    <t>Iecava Raiņa iela | Iecava, Raiņa iela 2A | Raiņa iela 2, Iecava | Raiņa iela 2A, Iecava</t>
  </si>
  <si>
    <t>Kadaga</t>
  </si>
  <si>
    <t>VC4</t>
  </si>
  <si>
    <t>*VC4, B119.* | Expons VC4 | VC4 | VC4, 6.st | VC4, B119 | VC4, B119, pagrabs</t>
  </si>
  <si>
    <t>Čaka iela 123</t>
  </si>
  <si>
    <t>Dzirciema iela 16</t>
  </si>
  <si>
    <t>Dzirciema 16, RSU (720m2) | Dzirciema 16, RSU (720m2~) | Dzirciema iela 16</t>
  </si>
  <si>
    <t>Gaiļezera slimnīca</t>
  </si>
  <si>
    <t>Prohorova iela 13</t>
  </si>
  <si>
    <t>Vairāki objekti — jāsadala</t>
  </si>
  <si>
    <t>Objekts</t>
  </si>
  <si>
    <t>"Rozītes", Daugmales pagasts, ķekavas novads</t>
  </si>
  <si>
    <t>Augusta Saulieša iela 14 Cesvaine</t>
  </si>
  <si>
    <t>Jelgava, pasta iela 63</t>
  </si>
  <si>
    <t>Krasta iela 6 Lubāna</t>
  </si>
  <si>
    <t>No 23.03 lidz 27.03</t>
  </si>
  <si>
    <t>Bukultu iela 7k1</t>
  </si>
  <si>
    <t>Čaka 123</t>
  </si>
  <si>
    <t>Dārciema iela</t>
  </si>
  <si>
    <t>Dārzciema iela</t>
  </si>
  <si>
    <t>Jaunolaine meža iela 2</t>
  </si>
  <si>
    <t>Kadaga DEPO</t>
  </si>
  <si>
    <t>*Kadaga DEPO* | Kadaga DEPO</t>
  </si>
  <si>
    <t>Meža iela 2 Jaunolaine</t>
  </si>
  <si>
    <t>Meža iela2, Jaunolaine</t>
  </si>
  <si>
    <t>Preses nama kvartāls</t>
  </si>
  <si>
    <t>Prohorova iela 13, Jelgava</t>
  </si>
  <si>
    <t>Sarkanmuižas dambis1, Ventspils</t>
  </si>
  <si>
    <t>Stabu iela 6-11A</t>
  </si>
  <si>
    <t>Šmerļa iela 3</t>
  </si>
  <si>
    <t>Urieksetes iela 42B</t>
  </si>
  <si>
    <t>"Rozītes", Daugmales pagasts, Ķekavas novads</t>
  </si>
  <si>
    <t>*Jelgava, Prohorova 13*</t>
  </si>
  <si>
    <t>Cukura iela 7, Liepāja</t>
  </si>
  <si>
    <t>Čaka iela</t>
  </si>
  <si>
    <t>Čaka iela 133, Riga</t>
  </si>
  <si>
    <t>Hipokrātu iela</t>
  </si>
  <si>
    <t>Jūrmalas gatve 51</t>
  </si>
  <si>
    <t>Krasta iela 6, Lubāna</t>
  </si>
  <si>
    <t>Kristers visas telpas atzīmēja</t>
  </si>
  <si>
    <t>Līgo iela 7, Sigūlda</t>
  </si>
  <si>
    <t>Lubāna, Krasta iela 6</t>
  </si>
  <si>
    <t>Mārupe Gaujas iela 5</t>
  </si>
  <si>
    <t>Prohorova iela Jelgava</t>
  </si>
  <si>
    <t>Sarkanmuižas dambis 1. Ventspils</t>
  </si>
  <si>
    <t>Sigulda ziedu iela 3</t>
  </si>
  <si>
    <t>Torņu iela 1</t>
  </si>
  <si>
    <t>Vaidavas iela 15</t>
  </si>
  <si>
    <t>Viļakas iela Rēzekne</t>
  </si>
  <si>
    <t>- Jelgavas 68</t>
  </si>
  <si>
    <t>A. Čaka iela 123</t>
  </si>
  <si>
    <t>Alūksnes nov, Liepnas Patvēruma meklētāju Centrs</t>
  </si>
  <si>
    <t>Alūksnes nov, Liepnas Patvērumu meklētāju centrs</t>
  </si>
  <si>
    <t>Alūksnes novads, Liepnas Patvēruma meklētāju centrs</t>
  </si>
  <si>
    <t>Amatu iela 6</t>
  </si>
  <si>
    <t>Anglikāņu 3, Vec</t>
  </si>
  <si>
    <t>Anniņmuižas bulvāris</t>
  </si>
  <si>
    <t>Anniņmuižas Bulvāris 30A</t>
  </si>
  <si>
    <t>Anniņmuižas bulvāris 30a Estrich 167m²</t>
  </si>
  <si>
    <t>Aspazijas bulvāris 3</t>
  </si>
  <si>
    <t>Aspāzijas būlvāris 3, Rīga Opera</t>
  </si>
  <si>
    <t>Baldone</t>
  </si>
  <si>
    <t>Baltezers</t>
  </si>
  <si>
    <t>Baznīcas iela 3, Skaistkalne</t>
  </si>
  <si>
    <t>Cēsis birzes iela 3</t>
  </si>
  <si>
    <t>Čaka iela 27</t>
  </si>
  <si>
    <t>Darza iela 28,Ragana</t>
  </si>
  <si>
    <t>Dārzciema iela 16</t>
  </si>
  <si>
    <t>Dārzciema ielā</t>
  </si>
  <si>
    <t>Dārziņi 29 līnija 2</t>
  </si>
  <si>
    <t>Expon</t>
  </si>
  <si>
    <t>Gaidas iela 3 Jūrmala</t>
  </si>
  <si>
    <t>Garciems</t>
  </si>
  <si>
    <t>Grunduļu 9, Divezeri</t>
  </si>
  <si>
    <t>Gsidu 3, Jurmala</t>
  </si>
  <si>
    <t>Igaunija</t>
  </si>
  <si>
    <t>Indrānu iela 12</t>
  </si>
  <si>
    <t>Jasmīnu iela 8. Sigūlda</t>
  </si>
  <si>
    <t>Jānūži, Gulbenes novads</t>
  </si>
  <si>
    <t>Jelgava, Brīvības bulvāris 6</t>
  </si>
  <si>
    <t>Jelgavas iela 68</t>
  </si>
  <si>
    <t>Kocēni, Valmiera</t>
  </si>
  <si>
    <t>Kokneses prospekts 20</t>
  </si>
  <si>
    <t>Korts Siguldā uzklāts WD130 seal</t>
  </si>
  <si>
    <t>Latgales iela 187</t>
  </si>
  <si>
    <t>Lidotāju iela 1A, Daugavpils</t>
  </si>
  <si>
    <t>Liepāja cukura iela</t>
  </si>
  <si>
    <t>Liepāja cukura iela 7</t>
  </si>
  <si>
    <t>Lietuva</t>
  </si>
  <si>
    <t>Limbaži sporta iela</t>
  </si>
  <si>
    <t>Lībekas iela 3 mežaparks</t>
  </si>
  <si>
    <t>Līvas iela Ozolnieki</t>
  </si>
  <si>
    <t>Lūgums obligāti katru dienu aizpildīt paveikto darbu lapas</t>
  </si>
  <si>
    <t>Malkalnu iela 26,Dzidriņas</t>
  </si>
  <si>
    <t>Matīsa iela 63</t>
  </si>
  <si>
    <t>Matrožu iela 12 Jūrmala</t>
  </si>
  <si>
    <t>Mazas, nevienmērīgas plaisas kur īsākas 5-15cm, garākas sākot no +/- 10-20cm</t>
  </si>
  <si>
    <t>Mazā Ģilde</t>
  </si>
  <si>
    <t>Mālkalnu iela 26 Dzidriņas</t>
  </si>
  <si>
    <t>Meža iela 14 Odukalns, Ķekavas novads</t>
  </si>
  <si>
    <t>Miera iela 54</t>
  </si>
  <si>
    <t>Niedru iela 9 Jūrmala</t>
  </si>
  <si>
    <t>No23.03 lidz 26.03</t>
  </si>
  <si>
    <t>Oskara kalpaka iela 2a,Sigūlda</t>
  </si>
  <si>
    <t>Pasta iela 63</t>
  </si>
  <si>
    <t>Pasta iela 63 Jelgava</t>
  </si>
  <si>
    <t>Poruka iela16, Ogre</t>
  </si>
  <si>
    <t>Preiļi raiņa bulvāris 13</t>
  </si>
  <si>
    <t>Prohorova iela 13 Jelgava</t>
  </si>
  <si>
    <t>Prohorova iela 13. Jelgava</t>
  </si>
  <si>
    <t>Rudzu iela 32, Carnikava</t>
  </si>
  <si>
    <t>Sarkanmuižas dambis 1,Ventspils</t>
  </si>
  <si>
    <t>Sarkano</t>
  </si>
  <si>
    <t>Sigulda, Dārznieku 5</t>
  </si>
  <si>
    <t>Skujenes iela 9</t>
  </si>
  <si>
    <t>Skujenes iela 9-10 dz riga .11 maisi cements.08.07.26.Juris</t>
  </si>
  <si>
    <t>Sporta iela 8-33, Limbaži</t>
  </si>
  <si>
    <t>Ulmaņa gatve 88</t>
  </si>
  <si>
    <t>un 10.03</t>
  </si>
  <si>
    <t>Vaidavas iela15</t>
  </si>
  <si>
    <t>Ventspils, Sarkanmuižas Dambis 1</t>
  </si>
  <si>
    <t>Vēžu iela 4, Roja</t>
  </si>
  <si>
    <t>Roja Vēžu iela 4</t>
  </si>
  <si>
    <t>2026. gada piedāvātie vietņu dienasgrāmatas ieraksti</t>
  </si>
  <si>
    <t>Avots: WhatsApp eksports. Automātiska pirmsimporta sagatave — 489 rindas; nekas nav augšupielādēts WorksRecorded.</t>
  </si>
  <si>
    <t>Ieraksta ID</t>
  </si>
  <si>
    <t>Darba datums</t>
  </si>
  <si>
    <t>Ziņas datums</t>
  </si>
  <si>
    <t>Laiks</t>
  </si>
  <si>
    <t>Projekts — normalizēts</t>
  </si>
  <si>
    <t>Projekts — avotā</t>
  </si>
  <si>
    <t>Darba veids</t>
  </si>
  <si>
    <t>Apjoms m²</t>
  </si>
  <si>
    <t>Biezums no, mm</t>
  </si>
  <si>
    <t>Biezums līdz, mm</t>
  </si>
  <si>
    <t>Stāvs / zona</t>
  </si>
  <si>
    <t>Cements, maisi</t>
  </si>
  <si>
    <t>Līme, vien.</t>
  </si>
  <si>
    <t>Plēve, ruļļi</t>
  </si>
  <si>
    <t>Granulas, vien.</t>
  </si>
  <si>
    <t>Materiāli / detaļas</t>
  </si>
  <si>
    <t>Autors</t>
  </si>
  <si>
    <t>Multivides faili</t>
  </si>
  <si>
    <t>Avota ziņa</t>
  </si>
  <si>
    <t>Pārskatīšanas statuss</t>
  </si>
  <si>
    <t>Pārskatīšanas iemesls</t>
  </si>
  <si>
    <t>Avota ziņas Nr.</t>
  </si>
  <si>
    <t>Importa darbība</t>
  </si>
  <si>
    <t>WR-2026-0001</t>
  </si>
  <si>
    <t>18:08:59</t>
  </si>
  <si>
    <t>Thermowhite</t>
  </si>
  <si>
    <t>Ronalds Gatavotājs TW Pumpists</t>
  </si>
  <si>
    <t>Barona iela 119
235 m2
49 līmes 
05.01.26.</t>
  </si>
  <si>
    <t>Gatavs pārbaudei</t>
  </si>
  <si>
    <t>Iekļaut</t>
  </si>
  <si>
    <t>WR-2026-0002</t>
  </si>
  <si>
    <t>17:13:45</t>
  </si>
  <si>
    <t>Dāvis Estrich Limeni Jaunā Brigāde</t>
  </si>
  <si>
    <t>Dzirciema iela 16, Rīga 
300m2 Thermo
69maisi līme
05.01.2026</t>
  </si>
  <si>
    <t>WR-2026-0003</t>
  </si>
  <si>
    <t>18:20:05</t>
  </si>
  <si>
    <t>Barona iela 119
293 m2
69 līmes
06.01.26</t>
  </si>
  <si>
    <t>WR-2026-0004</t>
  </si>
  <si>
    <t>15:48:27</t>
  </si>
  <si>
    <t>Šuvju aizpildīšana</t>
  </si>
  <si>
    <t>PENOSIL 8GB + SILKA 4GB</t>
  </si>
  <si>
    <t>Edijs Vinvalks</t>
  </si>
  <si>
    <t>Kadaga DEPO
- Visa platība aizpildītas šuves starp pamatni un sienām + kāpnes
PENOSIL 8GB + SILKA 4GB
06.01.2026</t>
  </si>
  <si>
    <t>Pārbaudīt</t>
  </si>
  <si>
    <t>Nav norādīts m² apjoms</t>
  </si>
  <si>
    <t>Pārskatīt</t>
  </si>
  <si>
    <t>WR-2026-0005</t>
  </si>
  <si>
    <t>16:53:44</t>
  </si>
  <si>
    <t>TW 113m² 34 līmes un granulas</t>
  </si>
  <si>
    <t>Artis Expon Briško</t>
  </si>
  <si>
    <t>Roja Vēžu iela 4
TW 113m² 34 līmes un granulas</t>
  </si>
  <si>
    <t>WR-2026-0006</t>
  </si>
  <si>
    <t>11:43:13</t>
  </si>
  <si>
    <t>Barona</t>
  </si>
  <si>
    <t>Barona 
224m2
69 līmes
07.01.26</t>
  </si>
  <si>
    <t>WR-2026-0007</t>
  </si>
  <si>
    <t>16:02:12</t>
  </si>
  <si>
    <t>Estrich</t>
  </si>
  <si>
    <t>Dzirciema iela 16, Rīga
240m2 estrich + plēve
60 maisi cements
7.1.26 &lt;This message was edited&gt;</t>
  </si>
  <si>
    <t>Ziņa ir rediģēta</t>
  </si>
  <si>
    <t>WR-2026-0008</t>
  </si>
  <si>
    <t>20:56:41</t>
  </si>
  <si>
    <t>Kadaga 
360 m2
73 līmes 
08.01.26</t>
  </si>
  <si>
    <t>WR-2026-0009</t>
  </si>
  <si>
    <t>20:04:00</t>
  </si>
  <si>
    <t>Iecava Raiņa iela</t>
  </si>
  <si>
    <t>Iecava Raiņa iela 
400m2
134 līmēs 
09.01.26.</t>
  </si>
  <si>
    <t>WR-2026-0010</t>
  </si>
  <si>
    <t>19:03:45</t>
  </si>
  <si>
    <t>Barona iela</t>
  </si>
  <si>
    <t>Barona iela
212 m2 
70 līmes
12.01.26</t>
  </si>
  <si>
    <t>WR-2026-0011</t>
  </si>
  <si>
    <t>19:48:02</t>
  </si>
  <si>
    <t>Barona iela 
390 m2
109 līmes
13.01.26</t>
  </si>
  <si>
    <t>WR-2026-0012</t>
  </si>
  <si>
    <t>19:03:24</t>
  </si>
  <si>
    <t>Raiņa iela 2A, Iecava
206m2 estrich + plēve 4x ruļļi + cements 90 maisi
13.01.26</t>
  </si>
  <si>
    <t>WR-2026-0013</t>
  </si>
  <si>
    <t>17:50:14</t>
  </si>
  <si>
    <t>Bērzaunes iela</t>
  </si>
  <si>
    <t>Bērzaunes iela 
256m2
40 līmes 
14.01.26</t>
  </si>
  <si>
    <t>WR-2026-0014</t>
  </si>
  <si>
    <t>17:52:15</t>
  </si>
  <si>
    <t>Expons VC4</t>
  </si>
  <si>
    <t>Jānosaka darba veids</t>
  </si>
  <si>
    <t>5st</t>
  </si>
  <si>
    <t>Limeni!</t>
  </si>
  <si>
    <t>Expons VC4 5st. 120m2 100mm (16:15)</t>
  </si>
  <si>
    <t>Darba veids nav skaidrs</t>
  </si>
  <si>
    <t>WR-2026-0015</t>
  </si>
  <si>
    <t>17:36:55</t>
  </si>
  <si>
    <t>Barona iela 119
100m2 estrich
35maisi cements
15.01.26</t>
  </si>
  <si>
    <t>WR-2026-0016</t>
  </si>
  <si>
    <t>16:23:08</t>
  </si>
  <si>
    <t>Bērzaunes iela 
117 m2
29 līmes
15.01.26</t>
  </si>
  <si>
    <t>WR-2026-0017</t>
  </si>
  <si>
    <t>14:01:15</t>
  </si>
  <si>
    <t>Plēves ieklāšana</t>
  </si>
  <si>
    <t>6st</t>
  </si>
  <si>
    <t>VC4 - 6st. 400m2 plēve (8 ruļļi)</t>
  </si>
  <si>
    <t>WR-2026-0018</t>
  </si>
  <si>
    <t>20:00:17</t>
  </si>
  <si>
    <t>Kadaga 
377m2
97 līmes 
16.01.26.</t>
  </si>
  <si>
    <t>WR-2026-0019</t>
  </si>
  <si>
    <t>07:21:25</t>
  </si>
  <si>
    <t>Kadaga 
347 m2
87 līmes 
19.01.26</t>
  </si>
  <si>
    <t>WR-2026-0020</t>
  </si>
  <si>
    <t>08:02:45</t>
  </si>
  <si>
    <t>Kadaga
274 m2
66 līmes
20.01.26.</t>
  </si>
  <si>
    <t>WR-2026-0021</t>
  </si>
  <si>
    <t>18:26:30</t>
  </si>
  <si>
    <t>00000307-PHOTO-2026-01-22-18-26-30.jpg</t>
  </si>
  <si>
    <t>Barona iela 119
6.st.
155m2 estrich
65maisi cements
22.01.26 &lt;attached: 00000307-PHOTO-2026-01-22-18-26-30.jpg&gt;</t>
  </si>
  <si>
    <t>WR-2026-0022</t>
  </si>
  <si>
    <t>15:46:46</t>
  </si>
  <si>
    <t>Bērzaunes 15</t>
  </si>
  <si>
    <t>Bērzaunes 15
Estrich 90m²</t>
  </si>
  <si>
    <t>WR-2026-0023</t>
  </si>
  <si>
    <t>20:44:14</t>
  </si>
  <si>
    <t>00000310-PHOTO-2026-01-23-20-44-14.jpg</t>
  </si>
  <si>
    <t>Barona iela 119
6.st.
160m2 estrich
70 maisi cements 
23.01.26 &lt;attached: 00000310-PHOTO-2026-01-23-20-44-14.jpg&gt;</t>
  </si>
  <si>
    <t>WR-2026-0024</t>
  </si>
  <si>
    <t>20:44:15</t>
  </si>
  <si>
    <t>00000311-PHOTO-2026-01-23-20-44-15.jpg</t>
  </si>
  <si>
    <t>Barona iela 119
6.st.
160m2 estrich
70 maisi cements 
23.01.26 &lt;attached: 00000311-PHOTO-2026-01-23-20-44-15.jpg&gt;</t>
  </si>
  <si>
    <t>Iespējams dublikāts avota ziņai Nr. 310</t>
  </si>
  <si>
    <t>WR-2026-0025</t>
  </si>
  <si>
    <t>16:04:47</t>
  </si>
  <si>
    <t>Bērzaunes 15
Estrich 102m²</t>
  </si>
  <si>
    <t>WR-2026-0026</t>
  </si>
  <si>
    <t>18:37:23</t>
  </si>
  <si>
    <t>Iecava Raiņa iela
400 
170 līmes 
23.01.26</t>
  </si>
  <si>
    <t>WR-2026-0027</t>
  </si>
  <si>
    <t>21:25:36</t>
  </si>
  <si>
    <t>Granulas 8eur/gab.</t>
  </si>
  <si>
    <t>00000312-PHOTO-2026-01-24-21-25-36.jpg</t>
  </si>
  <si>
    <t>Barona iela 119
5.st
107m2 Estrich
51maisi cements
24.01.2026 &lt;attached: 00000312-PHOTO-2026-01-24-21-25-36.jpg&gt;</t>
  </si>
  <si>
    <t>WR-2026-0028</t>
  </si>
  <si>
    <t>15:07:26</t>
  </si>
  <si>
    <t>Bērzaunes 15
Estrich 113m²</t>
  </si>
  <si>
    <t>WR-2026-0029</t>
  </si>
  <si>
    <t>21:09:34</t>
  </si>
  <si>
    <t>Kadaga 
279 m2
49 līmes 
26.01.26</t>
  </si>
  <si>
    <t>WR-2026-0030</t>
  </si>
  <si>
    <t>20:03:29</t>
  </si>
  <si>
    <t>Berzaunes 15 Estrich 70m²</t>
  </si>
  <si>
    <t>27.01. Berzaunes 15 Estrich 70m²
28.01. Dārza 10b
Estrich 70m²</t>
  </si>
  <si>
    <t>WR-2026-0031</t>
  </si>
  <si>
    <t>WR-2026-0032</t>
  </si>
  <si>
    <t>19:46:31</t>
  </si>
  <si>
    <t>Jūrmalas gatve 51 
28 līmes
28.01.26</t>
  </si>
  <si>
    <t>WR-2026-0033</t>
  </si>
  <si>
    <t>14:53:13</t>
  </si>
  <si>
    <t>Iecava, Raiņa iela 2A</t>
  </si>
  <si>
    <t>Iecava, Raiņa iela 2A
290m2 estrich + plēve
85maisi cements
27.01. - 28.01.</t>
  </si>
  <si>
    <t>WR-2026-0034</t>
  </si>
  <si>
    <t>20:35:45</t>
  </si>
  <si>
    <t>Kadaga 
331 m2
77 līmes 
29.01.26</t>
  </si>
  <si>
    <t>WR-2026-0035</t>
  </si>
  <si>
    <t>13:52:48</t>
  </si>
  <si>
    <t>Iecava, Raiņa iela 2A
110m2 estrich + plēve
30 maisi cements 
29.01</t>
  </si>
  <si>
    <t>WR-2026-0036</t>
  </si>
  <si>
    <t>17:44:25</t>
  </si>
  <si>
    <t>Kadaga 
264 m2
68 līmes.
30.01.26
Objekts pabeigts.</t>
  </si>
  <si>
    <t>WR-2026-0037</t>
  </si>
  <si>
    <t>18:31:34</t>
  </si>
  <si>
    <t>Barona iela 
305 m2
94 līmes 
31.01.26.</t>
  </si>
  <si>
    <t>WR-2026-0038</t>
  </si>
  <si>
    <t>07:54:51</t>
  </si>
  <si>
    <t>Barona iela
203 m2 
71 līme 
02.02.26.</t>
  </si>
  <si>
    <t>WR-2026-0039</t>
  </si>
  <si>
    <t>18:31:19</t>
  </si>
  <si>
    <t>00000325-PHOTO-2026-02-03-18-35-59.jpg; 00000326-PHOTO-2026-02-03-18-36-00.jpg</t>
  </si>
  <si>
    <t>Barona iela 
343 m2 
76 līmes
03.02.26</t>
  </si>
  <si>
    <t>Multivide piesaistīta pēc laika tuvuma; Multivide piesaistīta pēc laika tuvuma</t>
  </si>
  <si>
    <t>WR-2026-0040</t>
  </si>
  <si>
    <t>20:48:11</t>
  </si>
  <si>
    <t>Dārciema iela 
17 līmes 
90 m2
03.02.26</t>
  </si>
  <si>
    <t>Ziņas un norādītais datums atšķiras par 29 dienām</t>
  </si>
  <si>
    <t>WR-2026-0041</t>
  </si>
  <si>
    <t>18:37:11</t>
  </si>
  <si>
    <t>Dārzciema iela 16
213m2 Thermo / 11cm slānis
120maisi līme
03.02.26</t>
  </si>
  <si>
    <t>WR-2026-0042</t>
  </si>
  <si>
    <t>21:36:32</t>
  </si>
  <si>
    <t>00000329-PHOTO-2026-02-04-21-36-32.jpg; 00000330-PHOTO-2026-02-04-21-36-32.jpg; 00000331-PHOTO-2026-02-04-21-36-33.jpg</t>
  </si>
  <si>
    <t>4. Un 3. Stāvs 
Dārzciema iela 86
249m2 Thermo
85maisi līme
04.02.26 &lt;attached: 00000329-PHOTO-2026-02-04-21-36-32.jpg&gt;</t>
  </si>
  <si>
    <t>WR-2026-0043</t>
  </si>
  <si>
    <t>21:36:33</t>
  </si>
  <si>
    <t>00000332-PHOTO-2026-02-04-21-36-33.jpg</t>
  </si>
  <si>
    <t>4. Un 3. Stāvs 
Dārzciema iela 86
249m2 Thermo
85maisi līme
04.02.26 &lt;attached: 00000332-PHOTO-2026-02-04-21-36-33.jpg&gt;</t>
  </si>
  <si>
    <t>Iespējams dublikāts avota ziņai Nr. 329</t>
  </si>
  <si>
    <t>WR-2026-0044</t>
  </si>
  <si>
    <t>22:40:21</t>
  </si>
  <si>
    <t>Iecava Raiņa iela 
495 m2
177 līmes 
04.02.26.</t>
  </si>
  <si>
    <t>WR-2026-0045</t>
  </si>
  <si>
    <t>07:50:09</t>
  </si>
  <si>
    <t>00000335-PHOTO-2026-02-06-07-50-09.jpg</t>
  </si>
  <si>
    <t>Barona iela 119
Pagrabs
72m2
Cements34
05.02.2026 &lt;attached: 00000335-PHOTO-2026-02-06-07-50-09.jpg&gt;</t>
  </si>
  <si>
    <t>WR-2026-0046</t>
  </si>
  <si>
    <t>18:32:53</t>
  </si>
  <si>
    <t>Dārzciema ielā
33 līm
59m2
+ Aizpūtām bedres</t>
  </si>
  <si>
    <t>WR-2026-0047</t>
  </si>
  <si>
    <t>16:32:55</t>
  </si>
  <si>
    <t>Barona iela119</t>
  </si>
  <si>
    <t>00000337-PHOTO-2026-02-06-16-32-55.jpg</t>
  </si>
  <si>
    <t>Barona iela119
Pagrabs
80m2
Cements35
06.02.2026 &lt;attached: 00000337-PHOTO-2026-02-06-16-32-55.jpg&gt;</t>
  </si>
  <si>
    <t>WR-2026-0048</t>
  </si>
  <si>
    <t>18:01:37</t>
  </si>
  <si>
    <t>Barona iela 119
217m2 estrich
6.stavs
105maisi cements
06.02.26</t>
  </si>
  <si>
    <t>WR-2026-0049</t>
  </si>
  <si>
    <t>18:46:48</t>
  </si>
  <si>
    <t>Dārciema iela
411 m2 
110 limes
06.02.26.</t>
  </si>
  <si>
    <t>WR-2026-0050</t>
  </si>
  <si>
    <t>15:20:25</t>
  </si>
  <si>
    <t>Krustabaznīcas 11 TW 190m²</t>
  </si>
  <si>
    <t>5.02 Krustabaznīcas 11 TW 190m²
6.02 Krustabaznīcas 11
TW 170m²</t>
  </si>
  <si>
    <t>WR-2026-0051</t>
  </si>
  <si>
    <t>WR-2026-0052</t>
  </si>
  <si>
    <t>20:01:27</t>
  </si>
  <si>
    <t>00000340-PHOTO-2026-02-07-20-01-27.jpg</t>
  </si>
  <si>
    <t>Barona iela 119
150m2 estrich + plēve
6.stāvs
10 cm slānis 
75maisi cements
07.02.26 &lt;attached: 00000340-PHOTO-2026-02-07-20-01-27.jpg&gt;</t>
  </si>
  <si>
    <t>WR-2026-0053</t>
  </si>
  <si>
    <t>21:45:26</t>
  </si>
  <si>
    <t>00000342-PHOTO-2026-02-07-21-45-26.jpg; 00000343-PHOTO-2026-02-07-21-45-26.jpg</t>
  </si>
  <si>
    <t>Barona iela 119
Pagrabs
195m2
Cements 78
07.02.2026 &lt;attached: 00000342-PHOTO-2026-02-07-21-45-26.jpg&gt;</t>
  </si>
  <si>
    <t>Multivide piesaistīta pēc laika tuvuma</t>
  </si>
  <si>
    <t>WR-2026-0054</t>
  </si>
  <si>
    <t>19:43:58</t>
  </si>
  <si>
    <t>Putuplasta ieklāšana + Estrich</t>
  </si>
  <si>
    <t>Estrich 105m2 + putuplastu likšana 30m2 2 kārtās</t>
  </si>
  <si>
    <t>00000344-PHOTO-2026-02-08-19-43-58.jpg</t>
  </si>
  <si>
    <t>Barona iela 119
Pagrabs
Estrich 105m2 + putuplastu likšana 30m2 2 kārtās
Cements42
08.02.2026 &lt;attached: 00000344-PHOTO-2026-02-08-19-43-58.jpg&gt;</t>
  </si>
  <si>
    <t>WR-2026-0055</t>
  </si>
  <si>
    <t>WR-2026-0056</t>
  </si>
  <si>
    <t>18:54:15</t>
  </si>
  <si>
    <t>Dārzciema ielā 86</t>
  </si>
  <si>
    <t>Dārzciema ielā 86 
345 m2
56 līmes 
09.02.26</t>
  </si>
  <si>
    <t>WR-2026-0057</t>
  </si>
  <si>
    <t>21:10:36</t>
  </si>
  <si>
    <t>Dārzciema iela 
384 m2
71 līme 
10.02.26</t>
  </si>
  <si>
    <t>WR-2026-0058</t>
  </si>
  <si>
    <t>20:09:39</t>
  </si>
  <si>
    <t>00000346-PHOTO-2026-02-10-20-09-39.jpg</t>
  </si>
  <si>
    <t>Dārzciema iela 86
172m2 estrich
40maisi cements
10.02.26 &lt;attached: 00000346-PHOTO-2026-02-10-20-09-39.jpg&gt;</t>
  </si>
  <si>
    <t>WR-2026-0059</t>
  </si>
  <si>
    <t>20:09:40</t>
  </si>
  <si>
    <t>00000347-PHOTO-2026-02-10-20-09-40.jpg</t>
  </si>
  <si>
    <t>Dārzciema iela 86
172m2 estrich
40maisi cements
10.02.26 &lt;attached: 00000347-PHOTO-2026-02-10-20-09-40.jpg&gt;</t>
  </si>
  <si>
    <t>Iespējams dublikāts avota ziņai Nr. 346</t>
  </si>
  <si>
    <t>WR-2026-0060</t>
  </si>
  <si>
    <t>22:23:56</t>
  </si>
  <si>
    <t>Pasta iela 63 Jelgava
175m2
Līme 135
10.02.26</t>
  </si>
  <si>
    <t>WR-2026-0061</t>
  </si>
  <si>
    <t>21:48:14</t>
  </si>
  <si>
    <t>00000352-PHOTO-2026-02-11-21-48-14.jpg</t>
  </si>
  <si>
    <t>Barona iela 119
6.Stāvs
Estrich 110m2
Cements 57
10cm slānis
11.02.2026 &lt;attached: 00000352-PHOTO-2026-02-11-21-48-14.jpg&gt;</t>
  </si>
  <si>
    <t>WR-2026-0062</t>
  </si>
  <si>
    <t>22:04:58</t>
  </si>
  <si>
    <t>Dārzciema iela 
345 m2
61 līmē 
11.02.26</t>
  </si>
  <si>
    <t>WR-2026-0063</t>
  </si>
  <si>
    <t>18:42:05</t>
  </si>
  <si>
    <t>00000350-PHOTO-2026-02-11-18-42-05.jpg</t>
  </si>
  <si>
    <t>Dārzciema iela 86
232m2 estrich
55maisi cements
11.02.26 &lt;attached: 00000350-PHOTO-2026-02-11-18-42-05.jpg&gt;</t>
  </si>
  <si>
    <t>WR-2026-0064</t>
  </si>
  <si>
    <t>18:42:06</t>
  </si>
  <si>
    <t>00000351-PHOTO-2026-02-11-18-42-06.jpg</t>
  </si>
  <si>
    <t>Dārzciema iela 86
232m2 estrich
55maisi cements
11.02.26 &lt;attached: 00000351-PHOTO-2026-02-11-18-42-06.jpg&gt;</t>
  </si>
  <si>
    <t>Iespējams dublikāts avota ziņai Nr. 350</t>
  </si>
  <si>
    <t>WR-2026-0065</t>
  </si>
  <si>
    <t>18:20:22</t>
  </si>
  <si>
    <t>00000358-PHOTO-2026-02-12-18-20-22.jpg</t>
  </si>
  <si>
    <t>Barona iela 119
6.stāvs, pabeidzām! 
60m2
10cm slānis
Cements 31maiss
12.02.2026 &lt;attached: 00000358-PHOTO-2026-02-12-18-20-22.jpg&gt;</t>
  </si>
  <si>
    <t>WR-2026-0066</t>
  </si>
  <si>
    <t>18:51:00</t>
  </si>
  <si>
    <t>2 st</t>
  </si>
  <si>
    <t>00000363-PHOTO-2026-02-12-18-51-45.jpg</t>
  </si>
  <si>
    <t>Barona iela 
215 m2
60 līmes 
2 stāvs
12.02.26</t>
  </si>
  <si>
    <t>WR-2026-0067</t>
  </si>
  <si>
    <t>19:32:07</t>
  </si>
  <si>
    <t>00000365-PHOTO-2026-02-12-19-32-07.jpg</t>
  </si>
  <si>
    <t>Dārzciema iela 86
135m2 estrich
40maisi cements
2.stāvs &lt;attached: 00000365-PHOTO-2026-02-12-19-32-07.jpg&gt;</t>
  </si>
  <si>
    <t>WR-2026-0068</t>
  </si>
  <si>
    <t>19:32:08</t>
  </si>
  <si>
    <t>00000366-PHOTO-2026-02-12-19-32-08.jpg</t>
  </si>
  <si>
    <t>Dārzciema iela 86
135m2 estrich
40maisi cements
2.stāvs &lt;attached: 00000366-PHOTO-2026-02-12-19-32-08.jpg&gt;</t>
  </si>
  <si>
    <t>Iespējams dublikāts avota ziņai Nr. 365</t>
  </si>
  <si>
    <t>WR-2026-0069</t>
  </si>
  <si>
    <t>18:35:59</t>
  </si>
  <si>
    <t>4 st</t>
  </si>
  <si>
    <t>Kristers Cebulis</t>
  </si>
  <si>
    <t>00000359-PHOTO-2026-02-12-18-35-59.jpg</t>
  </si>
  <si>
    <t>Expon 4 stāvs Dārzciema iela 86 (11.02.26 2 brigādes) (12.02.26 1 brigāde ) 427m2 &lt;attached: 00000359-PHOTO-2026-02-12-18-35-59.jpg&gt;</t>
  </si>
  <si>
    <t>WR-2026-0070</t>
  </si>
  <si>
    <t>18:38:10</t>
  </si>
  <si>
    <t>427m2</t>
  </si>
  <si>
    <t>Projektu nevar droši noteikt; Darba veids nav skaidrs</t>
  </si>
  <si>
    <t>WR-2026-0071</t>
  </si>
  <si>
    <t>21:26:11</t>
  </si>
  <si>
    <t>00000372-PHOTO-2026-02-13-21-26-18.jpg</t>
  </si>
  <si>
    <t>Barona iela 
264 m2
61 līme 
13.02.26</t>
  </si>
  <si>
    <t>Darba veids nav skaidrs; Multivide piesaistīta pēc laika tuvuma</t>
  </si>
  <si>
    <t>WR-2026-0072</t>
  </si>
  <si>
    <t>17:37:54</t>
  </si>
  <si>
    <t>00000368-PHOTO-2026-02-13-17-37-54.jpg</t>
  </si>
  <si>
    <t>Dārzciema iela 86
235m2 estrich
60maisi cements
3.stāvs
13.02.26 &lt;attached: 00000368-PHOTO-2026-02-13-17-37-54.jpg&gt;</t>
  </si>
  <si>
    <t>WR-2026-0073</t>
  </si>
  <si>
    <t>09:39:45</t>
  </si>
  <si>
    <t>Jūrmalas gatve 51, Rīga
Estrich 55m2
Cements 19maisi
13.02.2026</t>
  </si>
  <si>
    <t>WR-2026-0074</t>
  </si>
  <si>
    <t>07:16:32</t>
  </si>
  <si>
    <t>Krustabaznīcas 11</t>
  </si>
  <si>
    <t>00000367-PHOTO-2026-02-13-07-16-32.jpg</t>
  </si>
  <si>
    <t>12.02
Krustabaznīcas 11
78m²
10cm slānis &lt;attached: 00000367-PHOTO-2026-02-13-07-16-32.jpg&gt;</t>
  </si>
  <si>
    <t>WR-2026-0075</t>
  </si>
  <si>
    <t>17:47:47</t>
  </si>
  <si>
    <t>00000369-PHOTO-2026-02-13-17-47-47.jpg</t>
  </si>
  <si>
    <t>Krustabaznīcas 11
Estrich 100m² &lt;attached: 00000369-PHOTO-2026-02-13-17-47-47.jpg&gt;</t>
  </si>
  <si>
    <t>WR-2026-0076</t>
  </si>
  <si>
    <t>20:36:31</t>
  </si>
  <si>
    <t>Raiņa iela 2, Iecava</t>
  </si>
  <si>
    <t>00000370-PHOTO-2026-02-13-20-36-31.jpg</t>
  </si>
  <si>
    <t>Raiņa iela 2, Iecava
 168m2 Estrich +Plēve
49 maisi cements 
13.02.2026 &lt;attached: 00000370-PHOTO-2026-02-13-20-36-31.jpg&gt;</t>
  </si>
  <si>
    <t>WR-2026-0077</t>
  </si>
  <si>
    <t>19:45:41</t>
  </si>
  <si>
    <t>14.02.26
Lietuva
49 līmes</t>
  </si>
  <si>
    <t>WR-2026-0078</t>
  </si>
  <si>
    <t>18:36:33</t>
  </si>
  <si>
    <t>Estrich + Thermowhite</t>
  </si>
  <si>
    <t>00000373-PHOTO-2026-02-14-18-36-33.jpg</t>
  </si>
  <si>
    <t>Raiņa iela 2, Iecava
168m2 Estrich+ Plēve+ TW 15m2 
50 cementa maisi
14.02.2026 &lt;attached: 00000373-PHOTO-2026-02-14-18-36-33.jpg&gt;</t>
  </si>
  <si>
    <t>WR-2026-0079</t>
  </si>
  <si>
    <t>WR-2026-0080</t>
  </si>
  <si>
    <t>17:13:33</t>
  </si>
  <si>
    <t>00000374-PHOTO-2026-02-15-17-13-33.jpg</t>
  </si>
  <si>
    <t>Raiņa iela 2, Iecava
168m2 Estrich + Plēve
49 cementa maisi
15.02.2026 &lt;attached: 00000374-PHOTO-2026-02-15-17-13-33.jpg&gt;</t>
  </si>
  <si>
    <t>WR-2026-0081</t>
  </si>
  <si>
    <t>19:24:49</t>
  </si>
  <si>
    <t>00000376-PHOTO-2026-02-16-19-24-49.jpg</t>
  </si>
  <si>
    <t>Dārzciema iela 86
207m2 estrich
65maisi cements
2.stāvs
16.02.26 &lt;attached: 00000376-PHOTO-2026-02-16-19-24-49.jpg&gt;</t>
  </si>
  <si>
    <t>WR-2026-0082</t>
  </si>
  <si>
    <t>19:24:51</t>
  </si>
  <si>
    <t>00000377-PHOTO-2026-02-16-19-24-51.jpg</t>
  </si>
  <si>
    <t>Dārzciema iela 86
207m2 estrich
65maisi cements
2.stāvs
16.02.26 &lt;attached: 00000377-PHOTO-2026-02-16-19-24-51.jpg&gt;</t>
  </si>
  <si>
    <t>Iespējams dublikāts avota ziņai Nr. 376</t>
  </si>
  <si>
    <t>WR-2026-0083</t>
  </si>
  <si>
    <t>11:37:44</t>
  </si>
  <si>
    <t>Jelgava, pasta iela 63
2.stāvs
TW 175m2
107līme
16.02.2026</t>
  </si>
  <si>
    <t>WR-2026-0084</t>
  </si>
  <si>
    <t>21:15:55</t>
  </si>
  <si>
    <t>Jelgava, pasta iela 63
3.stāvs
Estrich 175m2
Cements 87maisi
17.02.2026</t>
  </si>
  <si>
    <t>WR-2026-0085</t>
  </si>
  <si>
    <t>21:16:04</t>
  </si>
  <si>
    <t>00000383-PHOTO-2026-02-18-21-16-04.jpg</t>
  </si>
  <si>
    <t>Dārzciema iela 86
89m2 estrich 2.stāvs
155m2 estrich 3.stāvs
60maisi cements
18.02.26 &lt;attached: 00000383-PHOTO-2026-02-18-21-16-04.jpg&gt;</t>
  </si>
  <si>
    <t>WR-2026-0086</t>
  </si>
  <si>
    <t>WR-2026-0087</t>
  </si>
  <si>
    <t>21:16:06</t>
  </si>
  <si>
    <t>00000384-PHOTO-2026-02-18-21-16-06.jpg</t>
  </si>
  <si>
    <t>Dārzciema iela 86
89m2 estrich 2.stāvs
155m2 estrich 3.stāvs
60maisi cements
18.02.26 &lt;attached: 00000384-PHOTO-2026-02-18-21-16-06.jpg&gt;</t>
  </si>
  <si>
    <t>Iespējams dublikāts avota ziņai Nr. 383</t>
  </si>
  <si>
    <t>WR-2026-0088</t>
  </si>
  <si>
    <t>WR-2026-0089</t>
  </si>
  <si>
    <t>21:02:50</t>
  </si>
  <si>
    <t>16.02 
83 līmes
330m2
17.02
179 līmes 
200 m2
18.02. 
50 līmes
200 m2</t>
  </si>
  <si>
    <t>Projektu nevar droši noteikt</t>
  </si>
  <si>
    <t>WR-2026-0090</t>
  </si>
  <si>
    <t>WR-2026-0091</t>
  </si>
  <si>
    <t>WR-2026-0092</t>
  </si>
  <si>
    <t>07:41:52</t>
  </si>
  <si>
    <t>00000386-PHOTO-2026-02-19-07-41-52.jpg</t>
  </si>
  <si>
    <t>Krustabaznīcas 11
Estrich 80m²
18.02. &lt;attached: 00000386-PHOTO-2026-02-19-07-41-52.jpg&gt;</t>
  </si>
  <si>
    <t>WR-2026-0093</t>
  </si>
  <si>
    <t>21:19:11</t>
  </si>
  <si>
    <t>Torņu iela 1, Rīga
Estrich 70m2
Cements 35maisi
18.02.2026</t>
  </si>
  <si>
    <t>WR-2026-0094</t>
  </si>
  <si>
    <t>08:11:39</t>
  </si>
  <si>
    <t>00000389-PHOTO-2026-02-20-08-11-39.jpg</t>
  </si>
  <si>
    <t>Dārzciema iela 86
150m2 estrich
45maisi cements
3.stāvs 
19.02.26 &lt;attached: 00000389-PHOTO-2026-02-20-08-11-39.jpg&gt;</t>
  </si>
  <si>
    <t>WR-2026-0095</t>
  </si>
  <si>
    <t>08:11:48</t>
  </si>
  <si>
    <t>00000390-PHOTO-2026-02-20-08-11-48.jpg</t>
  </si>
  <si>
    <t>Dārzciema iela 86
150m2 estrich
45maisi cements
3.stāvs 
19.02.26 &lt;attached: 00000390-PHOTO-2026-02-20-08-11-48.jpg&gt;</t>
  </si>
  <si>
    <t>Iespējams dublikāts avota ziņai Nr. 389</t>
  </si>
  <si>
    <t>WR-2026-0096</t>
  </si>
  <si>
    <t>14:15:18</t>
  </si>
  <si>
    <t>00000391-PHOTO-2026-02-20-14-15-18.jpg</t>
  </si>
  <si>
    <t>19.02.
Estrich 1. stāvs 45m²
TW 2. stāvs 60m² &lt;attached: 00000391-PHOTO-2026-02-20-14-15-18.jpg&gt;</t>
  </si>
  <si>
    <t>WR-2026-0097</t>
  </si>
  <si>
    <t>WR-2026-0098</t>
  </si>
  <si>
    <t>21:45:14</t>
  </si>
  <si>
    <t>00000388-PHOTO-2026-02-19-21-45-14.jpg</t>
  </si>
  <si>
    <t>Krasta iela 6 Lubāna
Estrich 160m2 + plēve
Cements 55 maisi
19.02.2026 &lt;attached: 00000388-PHOTO-2026-02-19-21-45-14.jpg&gt;</t>
  </si>
  <si>
    <t>WR-2026-0099</t>
  </si>
  <si>
    <t>17:19:13</t>
  </si>
  <si>
    <t>00000393-PHOTO-2026-02-20-17-19-13.jpg</t>
  </si>
  <si>
    <t>Dārzciema iela 86
190m2 estrich
2.stāvs
60maisi cements
20.02.26 &lt;attached: 00000393-PHOTO-2026-02-20-17-19-13.jpg&gt;</t>
  </si>
  <si>
    <t>WR-2026-0100</t>
  </si>
  <si>
    <t>17:19:15</t>
  </si>
  <si>
    <t>00000394-PHOTO-2026-02-20-17-19-15.jpg</t>
  </si>
  <si>
    <t>Dārzciema iela 86
190m2 estrich
2.stāvs
60maisi cements
20.02.26 &lt;attached: 00000394-PHOTO-2026-02-20-17-19-15.jpg&gt;</t>
  </si>
  <si>
    <t>Iespējams dublikāts avota ziņai Nr. 393</t>
  </si>
  <si>
    <t>WR-2026-0101</t>
  </si>
  <si>
    <t>14:16:22</t>
  </si>
  <si>
    <t>00000392-PHOTO-2026-02-20-14-16-22.jpg</t>
  </si>
  <si>
    <t>20.02.
Estrich 2. stāvs 60m²
Estrich pagrabs 15m²
TW 2. stāvs 38m² &lt;attached: 00000392-PHOTO-2026-02-20-14-16-22.jpg&gt;</t>
  </si>
  <si>
    <t>WR-2026-0102</t>
  </si>
  <si>
    <t>WR-2026-0103</t>
  </si>
  <si>
    <t>WR-2026-0104</t>
  </si>
  <si>
    <t>20:54:38</t>
  </si>
  <si>
    <t>00000396-PHOTO-2026-02-20-20-54-38.jpg</t>
  </si>
  <si>
    <t>Krasta iela 6 Lubāna
Estrich 310m2+ Plēve
Cementa maisi 104
20.02.2026 &lt;attached: 00000396-PHOTO-2026-02-20-20-54-38.jpg&gt;</t>
  </si>
  <si>
    <t>WR-2026-0105</t>
  </si>
  <si>
    <t>20:26:48</t>
  </si>
  <si>
    <t>19.02.26
300 m2
45 līmes 
20.02.26
223 m2
46 līmes 
Kristers visas telpas atzīmēja.</t>
  </si>
  <si>
    <t>WR-2026-0106</t>
  </si>
  <si>
    <t>WR-2026-0107</t>
  </si>
  <si>
    <t>17:18:28</t>
  </si>
  <si>
    <t>00000397-PHOTO-2026-02-21-17-18-28.jpg</t>
  </si>
  <si>
    <t>21.02
Estrich 108m² 2. stāvs &lt;attached: 00000397-PHOTO-2026-02-21-17-18-28.jpg&gt;</t>
  </si>
  <si>
    <t>WR-2026-0108</t>
  </si>
  <si>
    <t>09:20:51</t>
  </si>
  <si>
    <t>Kadaga
360 m2
76 līmes
21.02.26.</t>
  </si>
  <si>
    <t>Ziņas un norādītais datums atšķiras par 30 dienām</t>
  </si>
  <si>
    <t>WR-2026-0109</t>
  </si>
  <si>
    <t>22:04:53</t>
  </si>
  <si>
    <t>00000398-PHOTO-2026-02-21-22-04-53.jpg</t>
  </si>
  <si>
    <t>Krasta iela 6 Lubāna
Estrich 285m2+plēve
Cementa maisi 92 gb.
21.02.2026 &lt;attached: 00000398-PHOTO-2026-02-21-22-04-53.jpg&gt;</t>
  </si>
  <si>
    <t>WR-2026-0110</t>
  </si>
  <si>
    <t>16:05:07</t>
  </si>
  <si>
    <t>00000401-PHOTO-2026-02-23-16-05-07.jpg</t>
  </si>
  <si>
    <t>Dārzciema iela 86, Rīga
208m2 estrich
2.stāvs
55maisi cements
23.02.26 &lt;attached: 00000401-PHOTO-2026-02-23-16-05-07.jpg&gt;</t>
  </si>
  <si>
    <t>WR-2026-0111</t>
  </si>
  <si>
    <t>16:05:09</t>
  </si>
  <si>
    <t>00000402-PHOTO-2026-02-23-16-05-09.jpg</t>
  </si>
  <si>
    <t>Dārzciema iela 86, Rīga
208m2 estrich
2.stāvs
55maisi cements
23.02.26 &lt;attached: 00000402-PHOTO-2026-02-23-16-05-09.jpg&gt;</t>
  </si>
  <si>
    <t>Iespējams dublikāts avota ziņai Nr. 401</t>
  </si>
  <si>
    <t>WR-2026-0112</t>
  </si>
  <si>
    <t>08:05:06</t>
  </si>
  <si>
    <t>00000405-PHOTO-2026-02-24-08-05-54.jpg</t>
  </si>
  <si>
    <t>Dārzciema iela 86 
376 m2 
79 līmes
23.02.26</t>
  </si>
  <si>
    <t>WR-2026-0113</t>
  </si>
  <si>
    <t>14:25:21</t>
  </si>
  <si>
    <t>00000400-PHOTO-2026-02-23-14-25-21.jpg</t>
  </si>
  <si>
    <t>TW 270m² 2. stāvs &lt;attached: 00000400-PHOTO-2026-02-23-14-25-21.jpg&gt;</t>
  </si>
  <si>
    <t>WR-2026-0114</t>
  </si>
  <si>
    <t>08:02:35</t>
  </si>
  <si>
    <t>Smilts līdzināšana + Putuplasta ieklāšana + Estrich</t>
  </si>
  <si>
    <t>1. Smilts līdzināšana. | 2. Putuplastu ieklāšana</t>
  </si>
  <si>
    <t>00000399-PHOTO-2026-02-23-08-02-35.jpg</t>
  </si>
  <si>
    <t>Krasta iela 6 Lubāna
50m2 
1. Smilts līdzināšana.
2. Putuplastu ieklāšana
3. Estrich betonēšana
Cementa maisi 27 gab. 
22.02 2026 &lt;attached: 00000399-PHOTO-2026-02-23-08-02-35.jpg&gt;</t>
  </si>
  <si>
    <t>WR-2026-0115</t>
  </si>
  <si>
    <t>08:02:52</t>
  </si>
  <si>
    <t>00000403-PHOTO-2026-02-24-08-02-52.jpg</t>
  </si>
  <si>
    <t>Torņu iela 1
Estrich 176m2
Cementa maisi 62 gb.
23.02.2026 &lt;attached: 00000403-PHOTO-2026-02-24-08-02-52.jpg&gt;</t>
  </si>
  <si>
    <t>WR-2026-0116</t>
  </si>
  <si>
    <t>20:52:15</t>
  </si>
  <si>
    <t>Anniņmuižas bulvāris 
263 m 2
115 līmes
24.02.26</t>
  </si>
  <si>
    <t>WR-2026-0117</t>
  </si>
  <si>
    <t>19:07:23</t>
  </si>
  <si>
    <t>Barona iela 119
Estrich 199m2, kāpņu telpas no 5.stāva-2.stāvam
Cementa maisi 79 gab. 
24.02.2026</t>
  </si>
  <si>
    <t>WR-2026-0118</t>
  </si>
  <si>
    <t>17:42:49</t>
  </si>
  <si>
    <t>00000408-PHOTO-2026-02-24-17-42-49.jpg</t>
  </si>
  <si>
    <t>Dārzciema iela 86
190m2 estrich
1.stāvs
70maisi cements
24.02.26 &lt;attached: 00000408-PHOTO-2026-02-24-17-42-49.jpg&gt;</t>
  </si>
  <si>
    <t>WR-2026-0119</t>
  </si>
  <si>
    <t>17:42:51</t>
  </si>
  <si>
    <t>00000409-PHOTO-2026-02-24-17-42-51.jpg</t>
  </si>
  <si>
    <t>Dārzciema iela 86
190m2 estrich
1.stāvs
70maisi cements
24.02.26 &lt;attached: 00000409-PHOTO-2026-02-24-17-42-51.jpg&gt;</t>
  </si>
  <si>
    <t>Iespējams dublikāts avota ziņai Nr. 408</t>
  </si>
  <si>
    <t>WR-2026-0120</t>
  </si>
  <si>
    <t>15:18:25</t>
  </si>
  <si>
    <t>Krustabaznīcas 11 estrich, plēve 130m² 53 maisi cements</t>
  </si>
  <si>
    <t>00000407-PHOTO-2026-02-24-15-18-25.jpg</t>
  </si>
  <si>
    <t>Krustabaznīcas 11 estrich, plēve 130m² 53 maisi cements &lt;attached: 00000407-PHOTO-2026-02-24-15-18-25.jpg&gt;</t>
  </si>
  <si>
    <t>WR-2026-0121</t>
  </si>
  <si>
    <t>20:56:37</t>
  </si>
  <si>
    <t>00000420-PHOTO-2026-02-25-20-57-22.jpg; 00000421-PHOTO-2026-02-25-20-57-23.jpg</t>
  </si>
  <si>
    <t>Barona iela 119
574 m2
141 līme
25.02</t>
  </si>
  <si>
    <t>Darba veids nav skaidrs; Multivide piesaistīta pēc laika tuvuma; Multivide piesaistīta pēc laika tuvuma</t>
  </si>
  <si>
    <t>WR-2026-0122</t>
  </si>
  <si>
    <t>22:49:52</t>
  </si>
  <si>
    <t>00000424-PHOTO-2026-02-25-22-49-52.jpg; 00000425-PHOTO-2026-02-25-22-49-52.jpg</t>
  </si>
  <si>
    <t>Barona iela 119
Estrich 260m2
2.stāvs un 1.stāvs
Cementa maisi 106 gab.
25.02.2026 &lt;attached: 00000424-PHOTO-2026-02-25-22-49-52.jpg&gt;</t>
  </si>
  <si>
    <t>WR-2026-0123</t>
  </si>
  <si>
    <t>18:46:52</t>
  </si>
  <si>
    <t>00000413-PHOTO-2026-02-25-18-46-52.jpg</t>
  </si>
  <si>
    <t>Dārzciema iela 86, Rīga
110m2 estrich
1.stāvs
55maisi cements
25.02.26 &lt;attached: 00000413-PHOTO-2026-02-25-18-46-52.jpg&gt;</t>
  </si>
  <si>
    <t>WR-2026-0124</t>
  </si>
  <si>
    <t>18:46:54</t>
  </si>
  <si>
    <t>00000414-PHOTO-2026-02-25-18-46-54.jpg</t>
  </si>
  <si>
    <t>Dārzciema iela 86, Rīga
110m2 estrich
1.stāvs
55maisi cements
25.02.26 &lt;attached: 00000414-PHOTO-2026-02-25-18-46-54.jpg&gt;</t>
  </si>
  <si>
    <t>Iespējams dublikāts avota ziņai Nr. 413</t>
  </si>
  <si>
    <t>WR-2026-0125</t>
  </si>
  <si>
    <t>20:16:47</t>
  </si>
  <si>
    <t>Gvido /estrich Vilcejs LIMENI</t>
  </si>
  <si>
    <t>00000416-PHOTO-2026-02-25-20-16-47.jpg</t>
  </si>
  <si>
    <t>157m2
49 maisi cementa.
25.02. &lt;attached: 00000416-PHOTO-2026-02-25-20-16-47.jpg&gt;</t>
  </si>
  <si>
    <t>WR-2026-0126</t>
  </si>
  <si>
    <t>17:14:44</t>
  </si>
  <si>
    <t>00000412-PHOTO-2026-02-25-17-14-44.jpg</t>
  </si>
  <si>
    <t>Krustabaznīcas 11
Estrich plēve 95m²
TW 40m² &lt;attached: 00000412-PHOTO-2026-02-25-17-14-44.jpg&gt;</t>
  </si>
  <si>
    <t>WR-2026-0127</t>
  </si>
  <si>
    <t>WR-2026-0128</t>
  </si>
  <si>
    <t>07:29:31</t>
  </si>
  <si>
    <t>Dārzciema iela 86 
371 m2 
56 līmes 
26.02.26</t>
  </si>
  <si>
    <t>WR-2026-0129</t>
  </si>
  <si>
    <t>18:45:45</t>
  </si>
  <si>
    <t>Jelgava, pasta iela 63
2.stāvs
Estrich 175m2
Cementa maisi 82 gab.
26.02.2026</t>
  </si>
  <si>
    <t>WR-2026-0130</t>
  </si>
  <si>
    <t>19:19:34</t>
  </si>
  <si>
    <t>00000441-PHOTO-2026-02-27-19-19-34.jpg</t>
  </si>
  <si>
    <t>Barona iela 119
5.stāvs
Estrich 160m2
Cementa maisi 79gb.
27.02.2026 &lt;attached: 00000441-PHOTO-2026-02-27-19-19-34.jpg&gt;</t>
  </si>
  <si>
    <t>WR-2026-0131</t>
  </si>
  <si>
    <t>16:27:36</t>
  </si>
  <si>
    <t>00000438-PHOTO-2026-02-27-16-27-36.jpg</t>
  </si>
  <si>
    <t>Dārzciema iela 86
360m2 estrich
3.stāvs
110 maisi cements 
26.02. - 27.02. &lt;attached: 00000438-PHOTO-2026-02-27-16-27-36.jpg&gt;</t>
  </si>
  <si>
    <t>WR-2026-0132</t>
  </si>
  <si>
    <t>16:13:09</t>
  </si>
  <si>
    <t>00000435-PHOTO-2026-02-27-16-13-10.jpg</t>
  </si>
  <si>
    <t>217m2
32 līmes
27.02.26</t>
  </si>
  <si>
    <t>Projektu nevar droši noteikt; Multivide piesaistīta pēc laika tuvuma</t>
  </si>
  <si>
    <t>WR-2026-0133</t>
  </si>
  <si>
    <t>12:07:05</t>
  </si>
  <si>
    <t>00000448-PHOTO-2026-03-02-12-07-05.jpg</t>
  </si>
  <si>
    <t>73m2 Estrihs
25 maisi.
27.02.26 &lt;attached: 00000448-PHOTO-2026-03-02-12-07-05.jpg&gt;</t>
  </si>
  <si>
    <t>WR-2026-0134</t>
  </si>
  <si>
    <t>15:42:48</t>
  </si>
  <si>
    <t>00000432-PHOTO-2026-02-27-15-42-48.jpg</t>
  </si>
  <si>
    <t>27.02
Krustabaznīcas 11
TW 200m² 1.stāvs
26.02
Estrich 80m² 2.stāvs &lt;attached: 00000432-PHOTO-2026-02-27-15-42-48.jpg&gt;</t>
  </si>
  <si>
    <t>WR-2026-0135</t>
  </si>
  <si>
    <t>WR-2026-0136</t>
  </si>
  <si>
    <t>17:01:00</t>
  </si>
  <si>
    <t>Barona iela veselības centrs</t>
  </si>
  <si>
    <t>Barona iela veselības centrs 
380 m2
76 līmes
28.02.26</t>
  </si>
  <si>
    <t>WR-2026-0137</t>
  </si>
  <si>
    <t>19:54:24</t>
  </si>
  <si>
    <t>00000445-PHOTO-2026-02-28-19-54-24.jpg; 00000446-PHOTO-2026-02-28-19-54-24.jpg</t>
  </si>
  <si>
    <t>Barona iela 119
1.stāvs,5.stāvs. 
Estrich 274m2
Cementa maisi 99 gab.
28.02.2026 &lt;attached: 00000445-PHOTO-2026-02-28-19-54-24.jpg&gt;</t>
  </si>
  <si>
    <t>WR-2026-0138</t>
  </si>
  <si>
    <t>18:57:32</t>
  </si>
  <si>
    <t>00000447-PHOTO-2026-03-01-18-57-32.jpg</t>
  </si>
  <si>
    <t>Barona iela 119
4.stāvs
Estrich 195m2
Cementa maisi 79
1.03.2026 &lt;attached: 00000447-PHOTO-2026-03-01-18-57-32.jpg&gt;</t>
  </si>
  <si>
    <t>WR-2026-0139</t>
  </si>
  <si>
    <t>20:10:19</t>
  </si>
  <si>
    <t>00000459-PHOTO-2026-03-02-20-10-19.jpg; 00000460-PHOTO-2026-03-02-20-10-19.jpg</t>
  </si>
  <si>
    <t>Barona iela 119
4.stāvs, 1.stāvs
Estrich 127m2
Dzelteno krāsu iezīmēts.
Cementa maisi 52gab.
02.03.2026 &lt;attached: 00000459-PHOTO-2026-03-02-20-10-19.jpg&gt;</t>
  </si>
  <si>
    <t>WR-2026-0140</t>
  </si>
  <si>
    <t>08:14:59</t>
  </si>
  <si>
    <t>3st</t>
  </si>
  <si>
    <t>Barona iela 119
236 m2
54 līmes 
3stāvs
02.03.26</t>
  </si>
  <si>
    <t>WR-2026-0141</t>
  </si>
  <si>
    <t>15:15:37</t>
  </si>
  <si>
    <t>00000449-PHOTO-2026-03-02-15-15-37.jpg</t>
  </si>
  <si>
    <t>Dārzciema iela 86 
202m2 estrich
4.stāvs
60maisi cements
02.03.26 &lt;attached: 00000449-PHOTO-2026-03-02-15-15-37.jpg&gt;</t>
  </si>
  <si>
    <t>WR-2026-0142</t>
  </si>
  <si>
    <t>15:20:39</t>
  </si>
  <si>
    <t>00000450-PHOTO-2026-03-02-15-20-39.jpg</t>
  </si>
  <si>
    <t>Krustabaznīcas 11
Estrich, plēve 141m² 1. stāvs. &lt;attached: 00000450-PHOTO-2026-03-02-15-20-39.jpg&gt;</t>
  </si>
  <si>
    <t>WR-2026-0143</t>
  </si>
  <si>
    <t>19:00:55</t>
  </si>
  <si>
    <t>00000453-PHOTO-2026-03-02-19-00-55.jpg</t>
  </si>
  <si>
    <t>Sarkano.
84m2 
40 maisi cementa.
Kopa ar 3.st &lt;attached: 00000453-PHOTO-2026-03-02-19-00-55.jpg&gt;</t>
  </si>
  <si>
    <t>WR-2026-0144</t>
  </si>
  <si>
    <t>22:07:41</t>
  </si>
  <si>
    <t>00000464-PHOTO-2026-03-03-22-07-41.jpg</t>
  </si>
  <si>
    <t>Barona iela 119
1.stāvs
Estrich 225m2+plēve. 
Ar zilo krāsu iezīmēts.
Cementa maisi 108 gab.
03.03.2026 &lt;attached: 00000464-PHOTO-2026-03-03-22-07-41.jpg&gt;</t>
  </si>
  <si>
    <t>WR-2026-0145</t>
  </si>
  <si>
    <t>16:15:32</t>
  </si>
  <si>
    <t>00000467-PHOTO-2026-03-04-16-15-32.jpg</t>
  </si>
  <si>
    <t>Dārzciema iela 86
160m2 estrich
4.stāvs
50 maisi cements
3.3.26 &lt;attached: 00000467-PHOTO-2026-03-04-16-15-32.jpg&gt;</t>
  </si>
  <si>
    <t>WR-2026-0146</t>
  </si>
  <si>
    <t>16:37:57</t>
  </si>
  <si>
    <t>00000463-PHOTO-2026-03-03-16-37-57.jpg</t>
  </si>
  <si>
    <t>150 m2 
030326 &lt;attached: 00000463-PHOTO-2026-03-03-16-37-57.jpg&gt;</t>
  </si>
  <si>
    <t>WR-2026-0147</t>
  </si>
  <si>
    <t>14:53:40</t>
  </si>
  <si>
    <t>00000462-PHOTO-2026-03-03-14-53-40.jpg</t>
  </si>
  <si>
    <t>Krustabaznīcas 11
Estrich, plēve 68m²
TW 90m² &lt;attached: 00000462-PHOTO-2026-03-03-14-53-40.jpg&gt;</t>
  </si>
  <si>
    <t>WR-2026-0148</t>
  </si>
  <si>
    <t>WR-2026-0149</t>
  </si>
  <si>
    <t>19:17:43</t>
  </si>
  <si>
    <t>00000470-PHOTO-2026-03-04-19-17-43.jpg; 00000471-PHOTO-2026-03-04-19-17-43.jpg</t>
  </si>
  <si>
    <t>Barona iela119
1.stāvs un 3.stāvs
Estrich176m2+plēve
Cementa maisi 75gab.
04.03.2026. &lt;attached: 00000470-PHOTO-2026-03-04-19-17-43.jpg&gt;</t>
  </si>
  <si>
    <t>Nav norādīts m² apjoms; Multivide piesaistīta pēc laika tuvuma</t>
  </si>
  <si>
    <t>WR-2026-0150</t>
  </si>
  <si>
    <t>19:04:05</t>
  </si>
  <si>
    <t>00000481-PHOTO-2026-03-05-19-04-05.jpg</t>
  </si>
  <si>
    <t>Barona iela 119
3.stāvs
Dzelteno krāsu iezīmēts
Estrich 138m2+plēve
Cementa maisi 57gab.
04.03.2026 &lt;attached: 00000481-PHOTO-2026-03-05-19-04-05.jpg&gt;</t>
  </si>
  <si>
    <t>WR-2026-0151</t>
  </si>
  <si>
    <t>20:55:33</t>
  </si>
  <si>
    <t>Barona iela 119
Kāpņu laukumi 
43 līmes 
04.03.26</t>
  </si>
  <si>
    <t>Nav norādīts m² apjoms; Ziņā iespējami vairāki projekta nosaukumi</t>
  </si>
  <si>
    <t>WR-2026-0152</t>
  </si>
  <si>
    <t>20:49:03</t>
  </si>
  <si>
    <t>Dārzciema iela 
310 m2 
66 līmēs 
04.03.26</t>
  </si>
  <si>
    <t>WR-2026-0153</t>
  </si>
  <si>
    <t>16:18:51</t>
  </si>
  <si>
    <t>00000468-PHOTO-2026-03-04-16-18-51.jpg</t>
  </si>
  <si>
    <t>Dārzciema iela 86
210m2 estrich
3.stāvs
70maisi cements
4.3.26 &lt;attached: 00000468-PHOTO-2026-03-04-16-18-51.jpg&gt;</t>
  </si>
  <si>
    <t>WR-2026-0154</t>
  </si>
  <si>
    <t>19:20:26</t>
  </si>
  <si>
    <t>00000472-PHOTO-2026-03-04-19-20-26.jpg</t>
  </si>
  <si>
    <t>153m2 
04.03 26 &lt;attached: 00000472-PHOTO-2026-03-04-19-20-26.jpg&gt;</t>
  </si>
  <si>
    <t>WR-2026-0155</t>
  </si>
  <si>
    <t>15:48:06</t>
  </si>
  <si>
    <t>1) Stabu iela 6-11A, Rīga
47m2 Tw
Līme 23gab.
2)Maskavas iela 252 k3 dzīvoklis 18
40m2 TW 
Līme 17gab.
04.03.2026
04.03.2026</t>
  </si>
  <si>
    <t>Ziņā iespējami vairāki projekta nosaukumi</t>
  </si>
  <si>
    <t>WR-2026-0156</t>
  </si>
  <si>
    <t>WR-2026-0157</t>
  </si>
  <si>
    <t>16:39:39</t>
  </si>
  <si>
    <t>WR-2026-0158</t>
  </si>
  <si>
    <t>16:43:37</t>
  </si>
  <si>
    <t>55m²</t>
  </si>
  <si>
    <t>WR-2026-0159</t>
  </si>
  <si>
    <t>16:46:05</t>
  </si>
  <si>
    <t>93m²</t>
  </si>
  <si>
    <t>WR-2026-0160</t>
  </si>
  <si>
    <t>13:26:28</t>
  </si>
  <si>
    <t>1st</t>
  </si>
  <si>
    <t>Pasta iela 63 
Jelgava 
152 līmes 
1stāvs pabeigts 
06.03.26</t>
  </si>
  <si>
    <t>WR-2026-0161</t>
  </si>
  <si>
    <t>15:43:05</t>
  </si>
  <si>
    <t>Stabu iela 6-11A, Rīga
Estrich 47m2
Cementa maisi 18gab.
Atlikušo granti savācām.
06.03.2026</t>
  </si>
  <si>
    <t>WR-2026-0162</t>
  </si>
  <si>
    <t>09:34:28</t>
  </si>
  <si>
    <t>Anniņmuižas Bulvāris 30A
Estrich 93m2
Cementa maisi 34gab.
07.03.2026</t>
  </si>
  <si>
    <t>WR-2026-0163</t>
  </si>
  <si>
    <t>09:38:11</t>
  </si>
  <si>
    <t>Barona iela 119
Kāpņu laukumi 9gab. un 5 izstabas.+plēve.
Estrich 203m2
Cementa maisi 76gab.
07.03.2026</t>
  </si>
  <si>
    <t>WR-2026-0164</t>
  </si>
  <si>
    <t>15:34:04</t>
  </si>
  <si>
    <t>Dzirciema 16, RSU (720m2~)</t>
  </si>
  <si>
    <t>Estrich + Šuvju aizpildīšana</t>
  </si>
  <si>
    <t>Edijs Vinvalks Limeni</t>
  </si>
  <si>
    <t>00000495-PHOTO-2026-03-07-15-34-04.jpg</t>
  </si>
  <si>
    <t>Dzirciema 16, RSU (720m2~)
*2. stāvs*
- Ar sarkanu krāsu - Estrich šuves sazāģētas (visas) + sasūkšana
- ⁠Ar dzeltenu krāsu - Iestrādātas šuves ar epoxy &lt;attached: 00000495-PHOTO-2026-03-07-15-34-04.jpg&gt;</t>
  </si>
  <si>
    <t>WR-2026-0165</t>
  </si>
  <si>
    <t>13:58:48</t>
  </si>
  <si>
    <t>Estrich + Šuvju aizpildīšana + Slīpēšana / apstrāde</t>
  </si>
  <si>
    <t>00000499-PHOTO-2026-03-08-13-58-48.jpg</t>
  </si>
  <si>
    <t>Dzirciema 16, RSU (720m2~)
*2. stāvs*
- Ar zaļu krāsu - Estrich līmenī saslīpēts (ap kollonām/dažām no šuvēm malas uz augšu)
- ⁠Ar dzeltenu krāsu - Iestrādātas šuves ar epoxy &lt;attached: 00000499-PHOTO-2026-03-08-13-58-48.jpg&gt;</t>
  </si>
  <si>
    <t>WR-2026-0166</t>
  </si>
  <si>
    <t>19:43:22</t>
  </si>
  <si>
    <t>3 un 1 st</t>
  </si>
  <si>
    <t>00000505-PHOTO-2026-03-10-19-43-22.jpg</t>
  </si>
  <si>
    <t>Dārzciema iela 86
382m2 estrich
3 un 1 stāvs
135maisi cements
09.03. - 10.03 &lt;attached: 00000505-PHOTO-2026-03-10-19-43-22.jpg&gt;</t>
  </si>
  <si>
    <t>WR-2026-0167</t>
  </si>
  <si>
    <t>09:08:54</t>
  </si>
  <si>
    <t>00000501-PHOTO-2026-03-10-09-12-44.jpg</t>
  </si>
  <si>
    <t>Uriekstes iela 42B 
89m2 
42 līmes 
09.03.26</t>
  </si>
  <si>
    <t>WR-2026-0168</t>
  </si>
  <si>
    <t>17:08:58</t>
  </si>
  <si>
    <t>Jasmīnu iela 8. Sigūlda
Estrich 73m2
2.stāvs
Cementa maisi 28gab.
10.03.2026</t>
  </si>
  <si>
    <t>WR-2026-0169</t>
  </si>
  <si>
    <t>19:31:53</t>
  </si>
  <si>
    <t>00000504-PHOTO-2026-03-10-19-31-53.jpg</t>
  </si>
  <si>
    <t>320 m2 
09.03un 10.03 &lt;attached: 00000504-PHOTO-2026-03-10-19-31-53.jpg&gt;</t>
  </si>
  <si>
    <t>WR-2026-0170</t>
  </si>
  <si>
    <t>17:08:36</t>
  </si>
  <si>
    <t>1 st</t>
  </si>
  <si>
    <t>00000503-PHOTO-2026-03-10-17-11-28.jpg</t>
  </si>
  <si>
    <t>Uriekstes iela 42B 
1 stāvs
222 m2 
92 līmes 
10.03.26</t>
  </si>
  <si>
    <t>WR-2026-0171</t>
  </si>
  <si>
    <t>17:35:32</t>
  </si>
  <si>
    <t>Baltezers 200m2
Cements 89 maisi.</t>
  </si>
  <si>
    <t>WR-2026-0172</t>
  </si>
  <si>
    <t>00000514-PHOTO-2026-03-11-19-07-23.jpg</t>
  </si>
  <si>
    <t>Dārzciema iela 86
200m2 estrich
1.stavs
80maisi cements
11.03.26 &lt;attached: 00000514-PHOTO-2026-03-11-19-07-23.jpg&gt;</t>
  </si>
  <si>
    <t>WR-2026-0173</t>
  </si>
  <si>
    <t>18:55:06</t>
  </si>
  <si>
    <t>10.-11.03 Bērzaunes 15, TW 300m² 4.stāvs.</t>
  </si>
  <si>
    <t>WR-2026-0174</t>
  </si>
  <si>
    <t>17:11:35</t>
  </si>
  <si>
    <t>Putuplasta ieklāšana</t>
  </si>
  <si>
    <t>Smalko šķembu līdzināšana un putuplasta ieklāšana. 170m2</t>
  </si>
  <si>
    <t>Prohorova iela 13. Jelgava
Smalko šķembu līdzināšana un putuplasta ieklāšana. 170m2
11.03.2026</t>
  </si>
  <si>
    <t>WR-2026-0175</t>
  </si>
  <si>
    <t>16:55:41</t>
  </si>
  <si>
    <t>2st; 1 st</t>
  </si>
  <si>
    <t>00000508-PHOTO-2026-03-11-16-56-54.jpg</t>
  </si>
  <si>
    <t>Uriekstes iela 42B 
144 m2   2stāvs
40līmes
6 līmes pabeidzām 1 stāvu.
11.03.26</t>
  </si>
  <si>
    <t>WR-2026-0176</t>
  </si>
  <si>
    <t>14:14:38</t>
  </si>
  <si>
    <t>Anglikāņu 3, Vecrīga
Estrich 60m²</t>
  </si>
  <si>
    <t>WR-2026-0177</t>
  </si>
  <si>
    <t>14:37:43</t>
  </si>
  <si>
    <t>00000517-PHOTO-2026-03-12-14-37-43.jpg</t>
  </si>
  <si>
    <t>Dārzciema iela 86
170m2 estrich
1.stavs
70maisi cements
12.03.26 &lt;attached: 00000517-PHOTO-2026-03-12-14-37-43.jpg&gt;</t>
  </si>
  <si>
    <t>WR-2026-0178</t>
  </si>
  <si>
    <t>19:33:28</t>
  </si>
  <si>
    <t>59 lime</t>
  </si>
  <si>
    <t>00000524-PHOTO-2026-03-12-19-34-51.jpg</t>
  </si>
  <si>
    <t>280m2 
59 lime</t>
  </si>
  <si>
    <t>Projektu nevar droši noteikt; Darba veids nav skaidrs; Multivide piesaistīta pēc laika tuvuma</t>
  </si>
  <si>
    <t>WR-2026-0179</t>
  </si>
  <si>
    <t>21:11:09</t>
  </si>
  <si>
    <t>2,3 st</t>
  </si>
  <si>
    <t>00000528-PHOTO-2026-03-13-21-11-09.jpg; 00000529-PHOTO-2026-03-13-21-11-10.jpg</t>
  </si>
  <si>
    <t>Prohorova iela 13, Jelgava
2,3 stāvs TW 186m2
Līme 38gab.
12.03.2026 &lt;attached: 00000528-PHOTO-2026-03-13-21-11-09.jpg&gt;</t>
  </si>
  <si>
    <t>WR-2026-0180</t>
  </si>
  <si>
    <t>18:17:06</t>
  </si>
  <si>
    <t>00000521-PHOTO-2026-03-12-18-19-04.jpg</t>
  </si>
  <si>
    <t>Uriekstes iela 42B 
215 m2 
46 līmes 
12.03.26</t>
  </si>
  <si>
    <t>WR-2026-0181</t>
  </si>
  <si>
    <t>18:35:51</t>
  </si>
  <si>
    <t>Dārzciema iela 86
140m2 estrich
1.stavs
60maisi cements</t>
  </si>
  <si>
    <t>WR-2026-0182</t>
  </si>
  <si>
    <t>15:19:57</t>
  </si>
  <si>
    <t>Dzirciema 16, RSU (720m2)</t>
  </si>
  <si>
    <t>00000525-PHOTO-2026-03-13-15-19-57.jpg</t>
  </si>
  <si>
    <t>Dzirciema 16, RSU (720m2)
2. stāvs
- Šuvju slīpēšana ar ABS (sarkanas līnijas)
- Estrich slīpēšana ar ABS (zils)
- ⁠Estrich perimetru slīpēšana ar rokas slīpeni (dzeltens, +/- vietām no 0.5-0.8cm uz 0.2-0.1cm saslīpēts)
- ⁠Stāva nodošana ART8 un būvdarbu vadītājam - pieņemts. ✔️ &lt;attached: 00000525-PHOTO-2026-03-13-15-19-57.jpg&gt;</t>
  </si>
  <si>
    <t>WR-2026-0183</t>
  </si>
  <si>
    <t>21:11:51</t>
  </si>
  <si>
    <t>114 granulas</t>
  </si>
  <si>
    <t>Igaunija 
72 līmes 
114 granulas 
13.03.26.</t>
  </si>
  <si>
    <t>WR-2026-0184</t>
  </si>
  <si>
    <t>21:42:33</t>
  </si>
  <si>
    <t>00000534-PHOTO-2026-03-13-21-42-33.jpg</t>
  </si>
  <si>
    <t>13 03 
100m2
32 maisi cementa &lt;attached: 00000534-PHOTO-2026-03-13-21-42-33.jpg&gt;</t>
  </si>
  <si>
    <t>WR-2026-0185</t>
  </si>
  <si>
    <t>21:21:19</t>
  </si>
  <si>
    <t>00000532-PHOTO-2026-03-13-21-21-19.jpg; 00000533-PHOTO-2026-03-13-21-21-19.jpg</t>
  </si>
  <si>
    <t>Prohorova iela 13, Jelgava
Estrich 145m2
Cementa maisi 66gab.
13.03.2026 &lt;attached: 00000532-PHOTO-2026-03-13-21-21-19.jpg&gt;</t>
  </si>
  <si>
    <t>WR-2026-0186</t>
  </si>
  <si>
    <t>21:42:11</t>
  </si>
  <si>
    <t>Jelgava, pasta iela 63
1.stāvs
Estrich 180m2
Cementa maisi 72 gab.
16.03.2026</t>
  </si>
  <si>
    <t>WR-2026-0187</t>
  </si>
  <si>
    <t>18:37:28</t>
  </si>
  <si>
    <t>128 granulas</t>
  </si>
  <si>
    <t>Latgales iela 187
192 līmes
128 granulas 
289 m2
16.03.26</t>
  </si>
  <si>
    <t>WR-2026-0188</t>
  </si>
  <si>
    <t>16:50:37</t>
  </si>
  <si>
    <t>Bērzaunes iela 15
180m2 estrich + tranšejas + plēve 
4.stavs 2.korpuss
45maisi cements
17.03.26</t>
  </si>
  <si>
    <t>WR-2026-0189</t>
  </si>
  <si>
    <t>21:17:44</t>
  </si>
  <si>
    <t>Dārciema iela
Tranšejas 1 stāvs
5 līmēs 
17.03.26</t>
  </si>
  <si>
    <t>WR-2026-0190</t>
  </si>
  <si>
    <t>20:33:11</t>
  </si>
  <si>
    <t>Uiriekstes iela 42B</t>
  </si>
  <si>
    <t>Uiriekstes iela 42B
300m2 Takerplāksnes+skočošana.
130m2 Armatūras salikšana, sasiešana, plēves skočošana. 
17.03.2026</t>
  </si>
  <si>
    <t>WR-2026-0191</t>
  </si>
  <si>
    <t>WR-2026-0192</t>
  </si>
  <si>
    <t>16:34:08</t>
  </si>
  <si>
    <t>VC4, B119</t>
  </si>
  <si>
    <t>VC4, B119
*2. stāvs*
- Estrich šuvju griešana, epoxy iestrāde (sarkans)
*3. stāvs*
- Estrich šuvju griešana, epoxy iestrāde (sarkans)
*4. stāvs*
- Estrich grīdas slīpēšana 1.5cm nost. Iesākts, bet nepabeigts. (zils)
+ Fieldware aizpildīšana
+ ART8 sarunas uzturēšana &lt;This message was edited&gt;</t>
  </si>
  <si>
    <t>Nav norādīts m² apjoms; Ziņa ir rediģēta</t>
  </si>
  <si>
    <t>WR-2026-0193</t>
  </si>
  <si>
    <t>19:50:40</t>
  </si>
  <si>
    <t>Bērzaunes iela 15
210m2 estrich + tranšejas +plēve
4.stāvs 2. un 4.korpuss
65maisi cements
18.03.26</t>
  </si>
  <si>
    <t>WR-2026-0194</t>
  </si>
  <si>
    <t>21:24:11</t>
  </si>
  <si>
    <t>Liepāja cukura iela 7 
64 līmes
18.03.26</t>
  </si>
  <si>
    <t>WR-2026-0195</t>
  </si>
  <si>
    <t>16:48:44</t>
  </si>
  <si>
    <t>Bērzaunes iela 15
180m2 estrich + tranšejas + plēve
4.stāvs 4.korpuss
50maisi cements
19.03.26</t>
  </si>
  <si>
    <t>WR-2026-0196</t>
  </si>
  <si>
    <t>14:50:15</t>
  </si>
  <si>
    <t>Dārzciema iela 86
200m2 estrich
1.stavs
72maisi cements</t>
  </si>
  <si>
    <t>WR-2026-0197</t>
  </si>
  <si>
    <t>10:20:06</t>
  </si>
  <si>
    <t>Liepāja cukura iela 
119 līmes 
20.03.26
Kopā 810 m2 TW</t>
  </si>
  <si>
    <t>WR-2026-0198</t>
  </si>
  <si>
    <t>21:39:45</t>
  </si>
  <si>
    <t>Mazā Ģilde , Rīga
140m2 TW Jumts
Līme 29gab.
20.03.2026</t>
  </si>
  <si>
    <t>WR-2026-0199</t>
  </si>
  <si>
    <t>14:36:51</t>
  </si>
  <si>
    <t>00000552-PHOTO-2026-03-21-14-36-51.jpg</t>
  </si>
  <si>
    <t>Uiriekstes iela 42B
TW 260m2
2.stāvs 
Līme 62 gab. 
21.03.2026 &lt;attached: 00000552-PHOTO-2026-03-21-14-36-51.jpg&gt;</t>
  </si>
  <si>
    <t>WR-2026-0200</t>
  </si>
  <si>
    <t>22:06:11</t>
  </si>
  <si>
    <t>Uiriekstes iela 42B
2.stāvs
Plēve 360m2 un armatūras ieklāšana 560m2
23.03.2026</t>
  </si>
  <si>
    <t>WR-2026-0201</t>
  </si>
  <si>
    <t>WR-2026-0202</t>
  </si>
  <si>
    <t>14:17:11</t>
  </si>
  <si>
    <t>-24.03 Alūksne, Ziemeru 4</t>
  </si>
  <si>
    <t>1) 150m šuves iestrāde ar Penosil | - 34gb. PENOSIL hermētiķis (19gb ksenukai, 15gb no bāzes)</t>
  </si>
  <si>
    <t>00000554-PHOTO-2026-03-24-14-17-11.jpg</t>
  </si>
  <si>
    <t>23.03-24.03 Alūksne, Ziemeru 4
1) 150m šuves iestrāde ar Penosil
2) Aizšpaktelēt vajadzīgās vietas no Renāra kas ar mums saistīts
- 34gb. PENOSIL hermētiķis (19gb ksenukai, 15gb no bāzes)
- ⁠10gb. Deformācijas šuvu diegs
- ⁠1 maiss Mapei Planitop FINE špaktele
Nodots un Renārs (darbu vad.) apstiprinājis. &lt;attached: 00000554-PHOTO-2026-03-24-14-17-11.jpg&gt;</t>
  </si>
  <si>
    <t>Projektu nevar droši noteikt; Nav norādīts m² apjoms</t>
  </si>
  <si>
    <t>WR-2026-0203</t>
  </si>
  <si>
    <t>07:44:38</t>
  </si>
  <si>
    <t>00000555-PHOTO-2026-03-26-07-44-38.jpg</t>
  </si>
  <si>
    <t>Uiriekstes iela 42B
Estrich 65m2 
1.stāvs
Cements 27.gab
25.03.2026 &lt;attached: 00000555-PHOTO-2026-03-26-07-44-38.jpg&gt;</t>
  </si>
  <si>
    <t>WR-2026-0204</t>
  </si>
  <si>
    <t>17:02:23</t>
  </si>
  <si>
    <t>Barona iela 119
185m2 TW
Līme 38 gab. 
26.03.2026</t>
  </si>
  <si>
    <t>WR-2026-0205</t>
  </si>
  <si>
    <t>21:51:36</t>
  </si>
  <si>
    <t>00000558-PHOTO-2026-03-26-21-51-36.jpg</t>
  </si>
  <si>
    <t>Ar zilo nav ieliets.(45m2)
513m2 3st
23.03-25.03 &lt;attached: 00000558-PHOTO-2026-03-26-21-51-36.jpg&gt;</t>
  </si>
  <si>
    <t>WR-2026-0206</t>
  </si>
  <si>
    <t>WR-2026-0207</t>
  </si>
  <si>
    <t>21:56:57</t>
  </si>
  <si>
    <t>00000559-PHOTO-2026-03-26-21-56-57.jpg</t>
  </si>
  <si>
    <t>150m2 26.03
No23.03 lidz 26.03
225 maisi cementa &lt;attached: 00000559-PHOTO-2026-03-26-21-56-57.jpg&gt;</t>
  </si>
  <si>
    <t>WR-2026-0208</t>
  </si>
  <si>
    <t>16:28:42</t>
  </si>
  <si>
    <t>Šuves-putuplasta, termo</t>
  </si>
  <si>
    <t>00000556-PHOTO-2026-03-26-16-28-42.jpg</t>
  </si>
  <si>
    <t>Uiriekstes iela 42B
110m2 estrich
Šuves-putuplasta, termo
45maisi cements
26.03.26 &lt;attached: 00000556-PHOTO-2026-03-26-16-28-42.jpg&gt;</t>
  </si>
  <si>
    <t>WR-2026-0209</t>
  </si>
  <si>
    <t>19:56:14</t>
  </si>
  <si>
    <t>Indrānu iela 12
Estrich 260m2
Privātmāja 
Cements 102 gab. 
27:03:2026</t>
  </si>
  <si>
    <t>WR-2026-0210</t>
  </si>
  <si>
    <t>14:27:04</t>
  </si>
  <si>
    <t>Krustabaznīcas 11
TW 207m² 3. stāvs
72 līmes</t>
  </si>
  <si>
    <t>WR-2026-0211</t>
  </si>
  <si>
    <t>22:32:15</t>
  </si>
  <si>
    <t>Granulas 11m2 5 .limes &lt;attached: 00000564-PHOTO-2026-03-27-22-32-15.jpg&gt;</t>
  </si>
  <si>
    <t>00000564-PHOTO-2026-03-27-22-32-15.jpg</t>
  </si>
  <si>
    <t>27.03 137m2 42cements
No 23.03 lidz 27.03
Pleve 725m2
Pepe 75m2
Granulas 11m2 5 .limes &lt;attached: 00000564-PHOTO-2026-03-27-22-32-15.jpg&gt;</t>
  </si>
  <si>
    <t>WR-2026-0212</t>
  </si>
  <si>
    <t>WR-2026-0213</t>
  </si>
  <si>
    <t>WR-2026-0214</t>
  </si>
  <si>
    <t>WR-2026-0215</t>
  </si>
  <si>
    <t>13:39:03</t>
  </si>
  <si>
    <t>00000561-PHOTO-2026-03-27-13-39-03.jpg</t>
  </si>
  <si>
    <t>Uiriekstes iela 42B
72m2 estrich
1.stāvs+šuves
40maisi cements
27.03.26 &lt;attached: 00000561-PHOTO-2026-03-27-13-39-03.jpg&gt;</t>
  </si>
  <si>
    <t>WR-2026-0216</t>
  </si>
  <si>
    <t>16:19:11</t>
  </si>
  <si>
    <t>Barona iela 119
185m2 estrich
1.stāvs 
45maisi cements
28.03.26</t>
  </si>
  <si>
    <t>WR-2026-0217</t>
  </si>
  <si>
    <t>16:50:31</t>
  </si>
  <si>
    <t>00000566-PHOTO-2026-03-28-16-50-31.jpg</t>
  </si>
  <si>
    <t>Uriekstes iela 42B
Ar sarkanū krāsu iezīmēts
TW 270m2
2.stāvs
Līme 71gab.
28.03.2026 &lt;attached: 00000566-PHOTO-2026-03-28-16-50-31.jpg&gt;</t>
  </si>
  <si>
    <t>WR-2026-0218</t>
  </si>
  <si>
    <t>15:41:06</t>
  </si>
  <si>
    <t>Krustabaznīcas 11
TW 191m²
71 līme</t>
  </si>
  <si>
    <t>WR-2026-0219</t>
  </si>
  <si>
    <t>20:37:59</t>
  </si>
  <si>
    <t>2st</t>
  </si>
  <si>
    <t>00000576-PHOTO-2026-03-31-20-37-59.jpg; 00000577-PHOTO-2026-03-31-20-38-00.jpg</t>
  </si>
  <si>
    <t>Cukura iela 7, Liepāja
3.2stāvs
Estrich 316m2
Ar zilu krāsu iezīmēts.
Cementa maisi 113 gab.
31.03.2026 &lt;attached: 00000576-PHOTO-2026-03-31-20-37-59.jpg&gt;</t>
  </si>
  <si>
    <t>WR-2026-0220</t>
  </si>
  <si>
    <t>20:39:42</t>
  </si>
  <si>
    <t>+Plēves ieklāšana 416m2</t>
  </si>
  <si>
    <t>WR-2026-0221</t>
  </si>
  <si>
    <t>14:45:55</t>
  </si>
  <si>
    <t>Krustabaznīcas 11
Estrich, plēve 155m² 
3. stāvs</t>
  </si>
  <si>
    <t>WR-2026-0222</t>
  </si>
  <si>
    <t>19:34:41</t>
  </si>
  <si>
    <t>00000574-PHOTO-2026-03-31-19-34-41.jpg</t>
  </si>
  <si>
    <t>Uiriekstes iela 42B
210m2 estrich
2.stavs
80maisi cements
Šuves 50m
31.03.26 &lt;attached: 00000574-PHOTO-2026-03-31-19-34-41.jpg&gt;</t>
  </si>
  <si>
    <t>WR-2026-0223</t>
  </si>
  <si>
    <t>19:57:06</t>
  </si>
  <si>
    <t>00000580-PHOTO-2026-04-01-19-57-06.jpg</t>
  </si>
  <si>
    <t>Cukura iela 7, Liepāja
1.stāvs
Estrich 362m2
Ar zilu krāsu iezīmēts
Cementa maisi 144 gab.
1.04.2026 &lt;attached: 00000580-PHOTO-2026-04-01-19-57-06.jpg&gt;</t>
  </si>
  <si>
    <t>WR-2026-0224</t>
  </si>
  <si>
    <t>18:03:58</t>
  </si>
  <si>
    <t>00000579-PHOTO-2026-04-01-18-03-58.jpg</t>
  </si>
  <si>
    <t>Uiriekstes iela 42B
140m2 estrich
2.stavs
70m šuves
60maisi cements
01.04.2026 &lt;attached: 00000579-PHOTO-2026-04-01-18-03-58.jpg&gt;</t>
  </si>
  <si>
    <t>WR-2026-0225</t>
  </si>
  <si>
    <t>14:16:16</t>
  </si>
  <si>
    <t>Aspazijas bulvāris 3
150m2 estrich
40maisi cements
02.04.2026</t>
  </si>
  <si>
    <t>WR-2026-0226</t>
  </si>
  <si>
    <t>16:00:23</t>
  </si>
  <si>
    <t>Barona iela 119
Pa beidzām saliet astītes Estrichu.
Cementa maisi 21 gab.
2.04.2026</t>
  </si>
  <si>
    <t>WR-2026-0227</t>
  </si>
  <si>
    <t>15:40:20</t>
  </si>
  <si>
    <t>1.04.
Krustabaznīcas 11
Estrich, plēve 60m² (10:00 atslēdza ūdeni)
2.04.
Krustabaznīcas 11
Estrich, plēve 121m²
TW 90m²</t>
  </si>
  <si>
    <t>WR-2026-0228</t>
  </si>
  <si>
    <t>WR-2026-0229</t>
  </si>
  <si>
    <t>WR-2026-0230</t>
  </si>
  <si>
    <t>15:37:21</t>
  </si>
  <si>
    <t>Krustabaznīcas 11
Estrich, plēve 153m²</t>
  </si>
  <si>
    <t>WR-2026-0231</t>
  </si>
  <si>
    <t>22:36:34</t>
  </si>
  <si>
    <t>00000592-PHOTO-2026-04-09-22-36-34.jpg; 00000593-PHOTO-2026-04-09-22-36-35.jpg</t>
  </si>
  <si>
    <t>Prohorova iela 13
Estrich 233m2
Cementa maisi 86 gab
07.04.2026 &lt;attached: 00000592-PHOTO-2026-04-09-22-36-34.jpg&gt;</t>
  </si>
  <si>
    <t>WR-2026-0232</t>
  </si>
  <si>
    <t>22:38:49</t>
  </si>
  <si>
    <t>Līgo iela 7, Sigūlda
TW 100 m2
Līme 44 gab
08.04.2026</t>
  </si>
  <si>
    <t>WR-2026-0233</t>
  </si>
  <si>
    <t>12:58:22</t>
  </si>
  <si>
    <t>1) Standarta šuves no 15cm - +/-20cm
2) Mazas, nevienmērīgas plaisas kur īsākas 5-15cm, garākas sākot no +/- 10-20cm &lt;This message was edited&gt;</t>
  </si>
  <si>
    <t>WR-2026-0234</t>
  </si>
  <si>
    <t>07:19:03</t>
  </si>
  <si>
    <t>Uriekstes iela 42B 
360 m2 
99 līmes 
08.04.26</t>
  </si>
  <si>
    <t>WR-2026-0235</t>
  </si>
  <si>
    <t>12:30:33</t>
  </si>
  <si>
    <t>VC4, 6.st</t>
  </si>
  <si>
    <t>- Kvarca smiltis - 45kg</t>
  </si>
  <si>
    <t>00000585-PHOTO-2026-04-08-12-30-33.jpg</t>
  </si>
  <si>
    <t>VC4, 6.st.
*04.04* - Zilais laukums - sazāģētas visas stāva estrich šuves
*07.04* - Dzeltenais laukums - iestrādātas ar epoxy/skavām (2-4 reizes pāriets vietām)
*08.04* - Sarkanais laukums - iestrādātas ar epoxy/skavām (2-3 reizes pāriets vietām)
- Epokate Rapid ËË - 3 kompl. A+B
- Kvarca smiltis - 45kg
- ⁠+/- 600 skavas &lt;attached: 00000585-PHOTO-2026-04-08-12-30-33.jpg&gt;</t>
  </si>
  <si>
    <t>WR-2026-0236</t>
  </si>
  <si>
    <t>18:11:18</t>
  </si>
  <si>
    <t>00000589-PHOTO-2026-04-09-18-11-18.jpg</t>
  </si>
  <si>
    <t>Uiriekstes iela 42B
247m2 estrich + 65m šuves 
120maisi cements
08.04.26 - 09.04.26
280m2 plēve + armatūras siets
09.04.26 &lt;attached: 00000589-PHOTO-2026-04-09-18-11-18.jpg&gt;</t>
  </si>
  <si>
    <t>WR-2026-0237</t>
  </si>
  <si>
    <t>WR-2026-0238</t>
  </si>
  <si>
    <t>19:09:11</t>
  </si>
  <si>
    <t>Uriekstes iela 42B 
206 m2 
102 līmes 
1 stāvs.
09.04.26</t>
  </si>
  <si>
    <t>WR-2026-0239</t>
  </si>
  <si>
    <t>18:37:43</t>
  </si>
  <si>
    <t>Bukultu iela 7k1 
226 līmes
10.04.26</t>
  </si>
  <si>
    <t>WR-2026-0240</t>
  </si>
  <si>
    <t>20:02:54</t>
  </si>
  <si>
    <t>00000597-PHOTO-2026-04-10-20-02-54.jpg</t>
  </si>
  <si>
    <t>Uiriekstes iela 42B
180m2 estrich
2.stavs
65maisi cements
75m šuves
10.04.26 &lt;attached: 00000597-PHOTO-2026-04-10-20-02-54.jpg&gt;</t>
  </si>
  <si>
    <t>WR-2026-0241</t>
  </si>
  <si>
    <t>20:21:05</t>
  </si>
  <si>
    <t>Jelgavas iela 68, Rīga
Estrich 80m2
Cementa maisi 39 gab.
11.04.2026</t>
  </si>
  <si>
    <t>WR-2026-0242</t>
  </si>
  <si>
    <t>16:02:46</t>
  </si>
  <si>
    <t>15kg kvarca smiltis</t>
  </si>
  <si>
    <t>Lubāna, Krasta iela 6
2. stāvs estrich šuves sazāģēt/skavas/epoxy iestrādāt *AR-07*
10.2kg Rapid Epokate
15kg kvarca smiltis
~180 skavas</t>
  </si>
  <si>
    <t>WR-2026-0243</t>
  </si>
  <si>
    <t>21:19:02</t>
  </si>
  <si>
    <t>Smilts līdzināšana + Putuplasta ieklāšana + Estrich + Gruntēšana</t>
  </si>
  <si>
    <t>200m2 Estrich+smilts līdzināšana + 50mm putuplasts+plēve+ gruntēšana.</t>
  </si>
  <si>
    <t>Oskara kalpaka iela 2a,Sigūlda
200m2 Estrich+smilts līdzināšana + 50mm putuplasts+plēve+ gruntēšana. 
Cementa maisi 138gb.
11.04.2026</t>
  </si>
  <si>
    <t>WR-2026-0244</t>
  </si>
  <si>
    <t>16:06:23</t>
  </si>
  <si>
    <t>00000599-PHOTO-2026-04-11-16-06-23.jpg</t>
  </si>
  <si>
    <t>Uiriekstes iela 42B
140m2 estrich
75m šuves
2.stāvs
77maisi cements
11.04.26 &lt;attached: 00000599-PHOTO-2026-04-11-16-06-23.jpg&gt;</t>
  </si>
  <si>
    <t>WR-2026-0245</t>
  </si>
  <si>
    <t>16:17:20</t>
  </si>
  <si>
    <t>Lubāna, Krasta iela 6 - sadarīts.
1. stāvs estrich šuves sazāģētas + skavas + epoxy iestrāde 
9kg Rapid Epokate</t>
  </si>
  <si>
    <t>WR-2026-0246</t>
  </si>
  <si>
    <t>07:47:41</t>
  </si>
  <si>
    <t>Niedru iela 9 Jūrmala 
85 līmes
13.04.26</t>
  </si>
  <si>
    <t>WR-2026-0247</t>
  </si>
  <si>
    <t>15:23:33</t>
  </si>
  <si>
    <t>Putuplasts 100mm-500m2</t>
  </si>
  <si>
    <t>Prohorova iela 13
Putuplasts 100mm-500m2
+plēve 400m2
13.04.2026</t>
  </si>
  <si>
    <t>WR-2026-0248</t>
  </si>
  <si>
    <t>Putuplasta ieklāšana + Plēves ieklāšana</t>
  </si>
  <si>
    <t>WR-2026-0249</t>
  </si>
  <si>
    <t>17:40:14</t>
  </si>
  <si>
    <t>Uiriekstes iela 42B
93m2 estrich
3.stāvs ventkamera +plēve 
1.stāvs kāpņu laukums + plēve 
+ atsevišķi plēve 50m2 + līmēšana 
50maisi cements 
13.04.26 &lt;This message was edited&gt;</t>
  </si>
  <si>
    <t>WR-2026-0250</t>
  </si>
  <si>
    <t>Thermowhite + Plēves ieklāšana</t>
  </si>
  <si>
    <t>WR-2026-0251</t>
  </si>
  <si>
    <t>13:13:46</t>
  </si>
  <si>
    <t>Līgo iela 7, Sigūlda
Estrich 100m2
Cementa maisi 34 gab.
14.04.2026</t>
  </si>
  <si>
    <t>WR-2026-0252</t>
  </si>
  <si>
    <t>08:23:56</t>
  </si>
  <si>
    <t>Viļakas iela Rēzekne 
194 līmes
14.04.26</t>
  </si>
  <si>
    <t>WR-2026-0253</t>
  </si>
  <si>
    <t>17:51:56</t>
  </si>
  <si>
    <t>Viļakas iela Rēzekne
197 līmes 
15.04.26</t>
  </si>
  <si>
    <t>WR-2026-0254</t>
  </si>
  <si>
    <t>12:01:26</t>
  </si>
  <si>
    <t>Augusta Saulieša iela 14 Cesvaine
Estrich 300m2
Cementa maisi 127gb
16.04.2026</t>
  </si>
  <si>
    <t>WR-2026-0255</t>
  </si>
  <si>
    <t>15:17:45</t>
  </si>
  <si>
    <t>Matīsa iela 63
354m2 estrich
136maisi cements
10cm slānis
15.04-16.04.26</t>
  </si>
  <si>
    <t>WR-2026-0256</t>
  </si>
  <si>
    <t>18:15:28</t>
  </si>
  <si>
    <t>Uriekstes iela 42B 
91 līme
1 stāvs
16.04.26</t>
  </si>
  <si>
    <t>Darba veids nav skaidrs; Nav norādīts m² apjoms</t>
  </si>
  <si>
    <t>WR-2026-0257</t>
  </si>
  <si>
    <t>12:02:47</t>
  </si>
  <si>
    <t>Augusta Saulieša iela 14 Cesvaine
Estrich 80m2
Cementa maisi 32 gab
17.04.2026</t>
  </si>
  <si>
    <t>WR-2026-0258</t>
  </si>
  <si>
    <t>13:14:36</t>
  </si>
  <si>
    <t>00000615-PHOTO-2026-04-17-13-14-45.jpg</t>
  </si>
  <si>
    <t>Uiriekstes iela 42B
90m2 estrich
Šuves 30m
2.stāvs</t>
  </si>
  <si>
    <t>WR-2026-0259</t>
  </si>
  <si>
    <t>19:52:37</t>
  </si>
  <si>
    <t>00000618-PHOTO-2026-04-17-19-53-23.jpg</t>
  </si>
  <si>
    <t>Uriekstes iela 42B 
117 līm 
250 m2
17.04.26</t>
  </si>
  <si>
    <t>WR-2026-0260</t>
  </si>
  <si>
    <t>21:08:09</t>
  </si>
  <si>
    <t>6 st</t>
  </si>
  <si>
    <t>Čaka iela 123
26 līmes 
6 stāvs
20.04.26</t>
  </si>
  <si>
    <t>WR-2026-0261</t>
  </si>
  <si>
    <t>20:31:06</t>
  </si>
  <si>
    <t>00000620-PHOTO-2026-04-20-20-31-06.jpg</t>
  </si>
  <si>
    <t>Prohorova iela 13 Jelgava
1.stāvs
Estrich 250m2
Cementa maisi  96 gab.
20.04.2026 &lt;attached: 00000620-PHOTO-2026-04-20-20-31-06.jpg&gt;</t>
  </si>
  <si>
    <t>WR-2026-0262</t>
  </si>
  <si>
    <t>19:34:16</t>
  </si>
  <si>
    <t>00000619-PHOTO-2026-04-20-19-34-16.jpg</t>
  </si>
  <si>
    <t>Uiriekstes iela 42B
140m2 estrich
110m šuves
60 maisi cements
20.04.26 &lt;attached: 00000619-PHOTO-2026-04-20-19-34-16.jpg&gt;</t>
  </si>
  <si>
    <t>WR-2026-0263</t>
  </si>
  <si>
    <t>16:04:43</t>
  </si>
  <si>
    <t>Čaka iela 123 
40 līmes
6 stāvs
21.04.26</t>
  </si>
  <si>
    <t>WR-2026-0264</t>
  </si>
  <si>
    <t>18:50:16</t>
  </si>
  <si>
    <t>00000625-PHOTO-2026-04-21-18-50-16.jpg; 00000626-PHOTO-2026-04-21-18-50-16.jpg</t>
  </si>
  <si>
    <t>Prohorova iela 13
1 un 2. stāvs
Estrich 263m2 
Cementa maisi 104 gab
21.04.2026 &lt;attached: 00000625-PHOTO-2026-04-21-18-50-16.jpg&gt;</t>
  </si>
  <si>
    <t>WR-2026-0265</t>
  </si>
  <si>
    <t>16:46:03</t>
  </si>
  <si>
    <t>2 st; 1 st</t>
  </si>
  <si>
    <t>Uiriekstes iela 42B
160m2 estrich
2 stāvs &amp; 1 stāvs
75maisi cements
70metri šuves
21.04.26</t>
  </si>
  <si>
    <t>WR-2026-0266</t>
  </si>
  <si>
    <t>16:28:18</t>
  </si>
  <si>
    <t>Garciems 
72 līmes
22.04.26</t>
  </si>
  <si>
    <t>WR-2026-0267</t>
  </si>
  <si>
    <t>09:12:14</t>
  </si>
  <si>
    <t>*17.04*, *18.04*, *20.04*, *21.04*</t>
  </si>
  <si>
    <t>- 60kg+ kvarca smiltis</t>
  </si>
  <si>
    <t>*17.04*, *18.04*, *20.04*, *21.04* - Dārzciema 86
- 150+ epoxy šuves
- 10+ piebetonētas estrich vietas
- 5+ vietas slīpēšana ar dimanta ripu estrich betonu (betona pārpalikumi, kalni, nevienmērīgas vietas)
- slieksnis un līmenis uztaisīts ar pašizlīdzinošo + citas vietas pielīdzinātas
- fieldwire aizpildīšana un sarunu uzturēšana ar NEWCOM
- 5gb Rapid Epokate (A+B kompl) 50kg
- 60kg+ kvarca smiltis
- 2 maisi Mira 6700
- ⁠3 maisi Sakret betons ar smalko frakciju
- ⁠1/3 maiss Mapei fine smalkā špaktele
- RAMIRENT Putekļsucējs 21.04/22.04</t>
  </si>
  <si>
    <t>WR-2026-0268</t>
  </si>
  <si>
    <t>20:18:45</t>
  </si>
  <si>
    <t>00000629-PHOTO-2026-04-22-20-18-45.jpg</t>
  </si>
  <si>
    <t>Uiriekstes iela 42B
110m2 estrich
50m šuves
1.stāvs
50maisi cements
22.04.26 &lt;attached: 00000629-PHOTO-2026-04-22-20-18-45.jpg&gt;</t>
  </si>
  <si>
    <t>WR-2026-0269</t>
  </si>
  <si>
    <t>21:11:53</t>
  </si>
  <si>
    <t>Uiriekstes iela 42B
1.stāvs 260m2 
Plēves ieklāšana skočošana+armatūra
Darbu veica:Sergejs, Ilmārs, Kristers. 
Čaka iela 123, Rīga
6.stāvs 260m2 
Pepes ieklāšana
Darbu veica : Toms.
22.04.2026</t>
  </si>
  <si>
    <t>WR-2026-0270</t>
  </si>
  <si>
    <t>WR-2026-0271</t>
  </si>
  <si>
    <t>21:18:18</t>
  </si>
  <si>
    <t>00000633-PHOTO-2026-04-23-21-18-18.jpg</t>
  </si>
  <si>
    <t>Prohorova iela 13
1.stāvs
Estrich 203m2
Cementa maisi 88 gab.
23.04.2026 &lt;attached: 00000633-PHOTO-2026-04-23-21-18-18.jpg&gt;</t>
  </si>
  <si>
    <t>WR-2026-0272</t>
  </si>
  <si>
    <t>20:26:22</t>
  </si>
  <si>
    <t>Augusta Saulieša iela 14 Cesvaine
Estrich 380m2
Cementa maisi 176 gab
24.04.2026</t>
  </si>
  <si>
    <t>WR-2026-0273</t>
  </si>
  <si>
    <t>17:28:29</t>
  </si>
  <si>
    <t>Bērzaunes 15
Estrich ar planekrītu 140m²</t>
  </si>
  <si>
    <t>WR-2026-0274</t>
  </si>
  <si>
    <t>16:10:19</t>
  </si>
  <si>
    <t>*Kadaga DEPO*</t>
  </si>
  <si>
    <t>20kg kvarca smiltis</t>
  </si>
  <si>
    <t>00000634-PHOTO-2026-04-24-16-10-19.jpg</t>
  </si>
  <si>
    <t>1) *Kadaga DEPO* - salabotas šķidrā betona izdrupušās vietas
2) Savākts putekļs. no Makitas servisa centra
3) *Dārzciema 86* bildē - 2.st., epoxy šuves jaunajā korpusā pabeigtas un piešpaktalētas vietas ar betonu.
7.5kg epoxy
20kg kvarca smiltis
1/2 Sakret maiss betons
1/3 Mapei fine maisa špaktele &lt;attached: 00000634-PHOTO-2026-04-24-16-10-19.jpg&gt;</t>
  </si>
  <si>
    <t>WR-2026-0275</t>
  </si>
  <si>
    <t>17:00:56</t>
  </si>
  <si>
    <t>00000637-PHOTO-2026-04-24-17-00-56.jpg</t>
  </si>
  <si>
    <t>Uiriekstes iela 42B
140m2 estrich
45m šuves
1.stāvs
65 maisi cements
24.04.26 &lt;attached: 00000637-PHOTO-2026-04-24-17-00-56.jpg&gt;</t>
  </si>
  <si>
    <t>WR-2026-0276</t>
  </si>
  <si>
    <t>16:24:14</t>
  </si>
  <si>
    <t>*VC4, B119.*</t>
  </si>
  <si>
    <t>25kg kvarca smiltis &lt;This message was edited&gt;</t>
  </si>
  <si>
    <t>*VC4, B119.*
- 4.stāvs - epoxy šuves (jauno estrich sazāģēt/apvilkto iestrādāt)
- ⁠2.stāvs - epoxy šuves (sazāģēt/iestrādāt) 
12.5kg epoxy
25kg kvarca smiltis &lt;This message was edited&gt;</t>
  </si>
  <si>
    <t>WR-2026-0277</t>
  </si>
  <si>
    <t>15:46:20</t>
  </si>
  <si>
    <t>00000645-PHOTO-2026-04-26-15-46-20.jpg</t>
  </si>
  <si>
    <t>Baznīcas iela 3, Skaistkalne
Estrich 56m2
Cementa maisi 25 gab.
26.04.2026 &lt;attached: 00000645-PHOTO-2026-04-26-15-46-20.jpg&gt;</t>
  </si>
  <si>
    <t>WR-2026-0278</t>
  </si>
  <si>
    <t>15:39:33</t>
  </si>
  <si>
    <t>00000644-PHOTO-2026-04-26-15-39-33.jpg</t>
  </si>
  <si>
    <t>*VC4, B119.*
- 5. stāvs - sasūktas ap plaisām/sazāģētas un iestrādātas ar epoxy (zils)
- ⁠4.stāvs - vecās šuves pāriet +/-
10kg epoxy
20kg kvarca smiltis
-Makita dimanta griešanas ripa &lt;attached: 00000644-PHOTO-2026-04-26-15-39-33.jpg&gt;</t>
  </si>
  <si>
    <t>WR-2026-0279</t>
  </si>
  <si>
    <t>14:00:28</t>
  </si>
  <si>
    <t>Bērzaunes 15
Estrich ar planekrītu 160m²</t>
  </si>
  <si>
    <t>WR-2026-0280</t>
  </si>
  <si>
    <t>00000647-PHOTO-2026-04-27-17-08-36.jpg</t>
  </si>
  <si>
    <t>Kocēni, Valmiera
Estrich 142m2
Cementa maisi 58 gab.
27.04.2026 &lt;attached: 00000647-PHOTO-2026-04-27-17-08-36.jpg&gt;</t>
  </si>
  <si>
    <t>WR-2026-0281</t>
  </si>
  <si>
    <t>14:54:50</t>
  </si>
  <si>
    <t>Bērzaunes 15
Estrich ar planekrītu 125m²</t>
  </si>
  <si>
    <t>WR-2026-0282</t>
  </si>
  <si>
    <t>17:10:47</t>
  </si>
  <si>
    <t>3, 2st</t>
  </si>
  <si>
    <t>00000651-PHOTO-2026-04-28-17-10-47.jpg; 00000652-PHOTO-2026-04-28-17-10-47.jpg</t>
  </si>
  <si>
    <t>Bukultu iela 7k1
Estrich 296m2
3, 2stāvs
Cementa maisi 106 gab
28.04.2026 &lt;attached: 00000651-PHOTO-2026-04-28-17-10-47.jpg&gt;</t>
  </si>
  <si>
    <t>WR-2026-0283</t>
  </si>
  <si>
    <t>14:46:50</t>
  </si>
  <si>
    <t>00000648-PHOTO-2026-04-28-14-46-50.jpg</t>
  </si>
  <si>
    <t>Uriekstes iela 42B
210m2 estrich
20m šuves
105 maisi cements
28.04.26 &lt;attached: 00000648-PHOTO-2026-04-28-14-46-50.jpg&gt;</t>
  </si>
  <si>
    <t>WR-2026-0284</t>
  </si>
  <si>
    <t>18:02:12</t>
  </si>
  <si>
    <t>2,1st</t>
  </si>
  <si>
    <t>00000654-PHOTO-2026-04-29-18-02-12.jpg; 00000655-PHOTO-2026-04-29-18-02-12.jpg</t>
  </si>
  <si>
    <t>Bukultu iela 7k1
Estrich 344m2
2,1stāvs.
Cementa maisi 112 gab
29.04.2026 &lt;attached: 00000654-PHOTO-2026-04-29-18-02-12.jpg&gt;</t>
  </si>
  <si>
    <t>WR-2026-0285</t>
  </si>
  <si>
    <t>06:44:36</t>
  </si>
  <si>
    <t>Uiriekstes iela 42B
120m2 estrich (2 kāpņu laukumi + 1x telpa + sagatavošana ar plēvi un skočošana + logu vietas)
Šuves
60maisi cements
29.04.26 &lt;This message was edited&gt;</t>
  </si>
  <si>
    <t>WR-2026-0286</t>
  </si>
  <si>
    <t>07:49:57</t>
  </si>
  <si>
    <t>29.04 Bērzaunes 15
86m² 2. Korpuss pabeigts.
Pārvākšanās uz 3. Korpusu, dzīvokļu atbrīvošana, slaucīšana.</t>
  </si>
  <si>
    <t>WR-2026-0287</t>
  </si>
  <si>
    <t>15:13:35</t>
  </si>
  <si>
    <t>Iespējams dublikāts avota ziņai Nr. 638</t>
  </si>
  <si>
    <t>WR-2026-0288</t>
  </si>
  <si>
    <t>19:55:38</t>
  </si>
  <si>
    <t>00000659-PHOTO-2026-04-30-19-55-38.jpg</t>
  </si>
  <si>
    <t>Čaka 123, Rīga
6.Stāvs
Estrich 260m2
Cementa maisi 84 gab
30.04.2026 &lt;attached: 00000659-PHOTO-2026-04-30-19-55-38.jpg&gt;</t>
  </si>
  <si>
    <t>WR-2026-0289</t>
  </si>
  <si>
    <t>19:49:01</t>
  </si>
  <si>
    <t>00000572-PHOTO-2026-03-30-19-49-01.jpg</t>
  </si>
  <si>
    <t>Dārzciema iela 86
Estrich 305m2
Cements 121 gab.
30.04. 2026 &lt;attached: 00000572-PHOTO-2026-03-30-19-49-01.jpg&gt;</t>
  </si>
  <si>
    <t>Ziņas un norādītais datums atšķiras par 31 dienām</t>
  </si>
  <si>
    <t>WR-2026-0290</t>
  </si>
  <si>
    <t>15:12:48</t>
  </si>
  <si>
    <t>1,2 st</t>
  </si>
  <si>
    <t>Uiriekstes iela 42B
1,2 stāvs
TW 163m2
Līme 63 gab
1.05.2026 &lt;This message was edited&gt;</t>
  </si>
  <si>
    <t>WR-2026-0291</t>
  </si>
  <si>
    <t>12:38:51</t>
  </si>
  <si>
    <t>Dārzciema iela 86
Gar logiem Estrich  53m
3,4.stāvs
Cementa maisi 5 gab
2.05.2026 &lt;This message was edited&gt;</t>
  </si>
  <si>
    <t>WR-2026-0292</t>
  </si>
  <si>
    <t>18:35:11</t>
  </si>
  <si>
    <t>Uriekstes iela 42B
TW 70m2
85maisi līme
05.05.2026</t>
  </si>
  <si>
    <t>WR-2026-0293</t>
  </si>
  <si>
    <t>08:26:48</t>
  </si>
  <si>
    <t>Estrich + Slīpēšana / apstrāde</t>
  </si>
  <si>
    <t>06.05.2026 - Jelgavas 68
Saslīpēt estrich vajadzīgā dzīvoklī, pašizlīdzinošo savilkt ar līmeni
2x mira 6700 25kg, 1x sakret CN94</t>
  </si>
  <si>
    <t>WR-2026-0294</t>
  </si>
  <si>
    <t>14:21:55</t>
  </si>
  <si>
    <t>WR-2026-0295</t>
  </si>
  <si>
    <t>15:14:36</t>
  </si>
  <si>
    <t>00000665-PHOTO-2026-05-06-15-14-36.jpg</t>
  </si>
  <si>
    <t>Uiriekstes iela 42B
140m2 estrich + kāpņu laukums 1x
40m šuves
15m2 gatavošana plēve + skočs
75 maisi cements
06.05.2026 &lt;attached: 00000665-PHOTO-2026-05-06-15-14-36.jpg&gt;</t>
  </si>
  <si>
    <t>WR-2026-0296</t>
  </si>
  <si>
    <t>Plēves ieklāšana + Šuvju aizpildīšana</t>
  </si>
  <si>
    <t>WR-2026-0297</t>
  </si>
  <si>
    <t>18:45:02</t>
  </si>
  <si>
    <t>Augusta Saulieša iela 14 Cesvaine
Estrich 330m2
Cementa maisi 105 gab. 
7.05.2026</t>
  </si>
  <si>
    <t>WR-2026-0298</t>
  </si>
  <si>
    <t>14:55:14</t>
  </si>
  <si>
    <t>Bērzaunes 15
Estrich ar planekrītu 152m²</t>
  </si>
  <si>
    <t>WR-2026-0299</t>
  </si>
  <si>
    <t>15:47:12</t>
  </si>
  <si>
    <t>00000668-PHOTO-2026-05-07-15-47-12.jpg</t>
  </si>
  <si>
    <t>VC4, B119
5.stāvs
- Ar sarkanu apvilktu - estrich 17x pēdas  nospiedumu kalni apslīpēti
- Ar zilu apvilktu - Epoxy šuves (sazāģētas/saliktas skavas/iestrādātas ar epoxy)
+ fieldwire
8kg Rapid Epokate A+B &lt;attached: 00000668-PHOTO-2026-05-07-15-47-12.jpg&gt;</t>
  </si>
  <si>
    <t>WR-2026-0300</t>
  </si>
  <si>
    <t>14:54:14</t>
  </si>
  <si>
    <t>Amatu iela 6,Rīga
TW
Līme 13gab.</t>
  </si>
  <si>
    <t>WR-2026-0301</t>
  </si>
  <si>
    <t>14:50:31</t>
  </si>
  <si>
    <t>Bērzaunes 15
Estrich ar planekrītu 92m². Divatā.</t>
  </si>
  <si>
    <t>WR-2026-0302</t>
  </si>
  <si>
    <t>17:19:03</t>
  </si>
  <si>
    <t>Cēsis birzes iela 3 
18 līmes
08.05.26.</t>
  </si>
  <si>
    <t>WR-2026-0303</t>
  </si>
  <si>
    <t>16:21:06</t>
  </si>
  <si>
    <t>Aspāzijas būlvāris 3, Rīga Opera
Estrich 50m2
1.stāvs, kordoris.
Cementa maisi 23 gab.
9.05.2026</t>
  </si>
  <si>
    <t>WR-2026-0304</t>
  </si>
  <si>
    <t>14:47:48</t>
  </si>
  <si>
    <t>Bērzaunes 15
Estrich ar planekrītu 105m². Divatā.</t>
  </si>
  <si>
    <t>WR-2026-0305</t>
  </si>
  <si>
    <t>18:36:23</t>
  </si>
  <si>
    <t>Čaka iela 123
328 m2
50 līmes 
11.05.26</t>
  </si>
  <si>
    <t>WR-2026-0306</t>
  </si>
  <si>
    <t>12:01:42</t>
  </si>
  <si>
    <t>00000676-PHOTO-2026-05-11-12-01-42.jpg; 00000677-PHOTO-2026-05-11-12-01-43.jpg</t>
  </si>
  <si>
    <t>Korts Siguldā uzklāts WD130 seal. 200m2 &lt;attached: 00000676-PHOTO-2026-05-11-12-01-42.jpg&gt;</t>
  </si>
  <si>
    <t>WR-2026-0307</t>
  </si>
  <si>
    <t>08:23:23</t>
  </si>
  <si>
    <t>00000681-PHOTO-2026-05-12-08-23-23.jpg</t>
  </si>
  <si>
    <t>Meža iela 2 Jaunolaine
Estrich 260m2 
1.Stāvs
Cementa maisi 119gab
11.05.2026 &lt;attached: 00000681-PHOTO-2026-05-12-08-23-23.jpg&gt;</t>
  </si>
  <si>
    <t>WR-2026-0308</t>
  </si>
  <si>
    <t>21:17:12</t>
  </si>
  <si>
    <t>Uiriekstes iela 42B
192m2 estrich
75maisi cements
11.05.26</t>
  </si>
  <si>
    <t>WR-2026-0309</t>
  </si>
  <si>
    <t>17:26:24</t>
  </si>
  <si>
    <t>Bērzaunes 15
Estrich ar planekrītu 120m²</t>
  </si>
  <si>
    <t>WR-2026-0310</t>
  </si>
  <si>
    <t>20:21:38</t>
  </si>
  <si>
    <t>Čaka iela 123
23 līmes
12.05.26</t>
  </si>
  <si>
    <t>WR-2026-0311</t>
  </si>
  <si>
    <t>20:31:09</t>
  </si>
  <si>
    <t>00000684-PHOTO-2026-05-12-20-31-09.jpg</t>
  </si>
  <si>
    <t>Meža iela 2 Jaunolaine
Estrich 270m2
1.stāvs 
Cementa maisi 128 gab
12.05.2026 &lt;attached: 00000684-PHOTO-2026-05-12-20-31-09.jpg&gt;</t>
  </si>
  <si>
    <t>WR-2026-0312</t>
  </si>
  <si>
    <t>08:32:30</t>
  </si>
  <si>
    <t>00000687-PHOTO-2026-05-14-08-32-30.jpg</t>
  </si>
  <si>
    <t>Meža iela 2 Jaunolaine
Estrich 330m2
1.Stāvs
 Cementa maisi 146 gab
13.05.2026 &lt;attached: 00000687-PHOTO-2026-05-14-08-32-30.jpg&gt;</t>
  </si>
  <si>
    <t>WR-2026-0313</t>
  </si>
  <si>
    <t>07:57:24</t>
  </si>
  <si>
    <t>Sigulda, Dārznieku 5
Estrich 100m²
13.05.</t>
  </si>
  <si>
    <t>WR-2026-0314</t>
  </si>
  <si>
    <t>08:26:53</t>
  </si>
  <si>
    <t>Uriekstes iela 42B
140m2 estrich
Šuves
65maisi cements
13.05.26</t>
  </si>
  <si>
    <t>WR-2026-0315</t>
  </si>
  <si>
    <t>20:31:05</t>
  </si>
  <si>
    <t>1) Objekts. 
Sauleskrasta 10, Garciems
Estrich 72m2
Cementa maisi 25 gab
2) Objekts.
Birzes iela 3, Cēsis
2.stāvs
Estrich 50m2 
4m2 planikrīt iestrāde
Cementa maisi 15 gab
14.05.2026</t>
  </si>
  <si>
    <t>Ziņa satur vairākus objektus un jāsadala manuāli</t>
  </si>
  <si>
    <t>WR-2026-0316</t>
  </si>
  <si>
    <t>WR-2026-0317</t>
  </si>
  <si>
    <t>WR-2026-0318</t>
  </si>
  <si>
    <t>08:06:53</t>
  </si>
  <si>
    <t>Uiriekstes iela 42B
146m2 estrich
1.stāva telpas vairākās vietās
15.05.26</t>
  </si>
  <si>
    <t>WR-2026-0319</t>
  </si>
  <si>
    <t>16:39:27</t>
  </si>
  <si>
    <t>Bērzaunes 15
Estrich ar planekrītu 126m²</t>
  </si>
  <si>
    <t>WR-2026-0320</t>
  </si>
  <si>
    <t>20:55:09</t>
  </si>
  <si>
    <t>00000691-PHOTO-2026-05-18-20-55-09.jpg</t>
  </si>
  <si>
    <t>Čaka 123, Rīga
5.Stāvs
Estrich 280m2
Cementa maisi 88 gab
18.05.2026 &lt;attached: 00000691-PHOTO-2026-05-18-20-55-09.jpg&gt;</t>
  </si>
  <si>
    <t>WR-2026-0321</t>
  </si>
  <si>
    <t>19:12:36</t>
  </si>
  <si>
    <t>Bērzaunes 15
Estrich ar planekrītu 80m²</t>
  </si>
  <si>
    <t>WR-2026-0322</t>
  </si>
  <si>
    <t>07:38:47</t>
  </si>
  <si>
    <t>- ⁠Kvarca smiltis 45kg &lt;This message was edited&gt;</t>
  </si>
  <si>
    <t>*13*.,*14*.,*15*.,*16.* 05.2026 
Grunduļu 9, Divezeri
3-cikli+papilddarbi
- fine mapei špaktele 1/4
- ⁠50x/100x/200x (3gb katrs izlietots)
- ⁠mapei lucida 10kg
*17*., *18*. 05.2026
VC4, B119 1/4
Kuldīga, Lapegļu 1A
- Epokade Rapid 18kg
- ⁠Kvarca smiltis 45kg &lt;This message was edited&gt;</t>
  </si>
  <si>
    <t>Darba veids nav skaidrs; Nav norādīts m² apjoms; Ziņa ir rediģēta</t>
  </si>
  <si>
    <t>WR-2026-0323</t>
  </si>
  <si>
    <t>19:13:36</t>
  </si>
  <si>
    <t>Krustbaznīcas iela 11</t>
  </si>
  <si>
    <t>Krustbaznīcas iela 11
120 m2
25 līmes 
19.05.26</t>
  </si>
  <si>
    <t>WR-2026-0324</t>
  </si>
  <si>
    <t>19:04:43</t>
  </si>
  <si>
    <t>Uiriekstes iela 42B
100m2 estrich
2.stāvs vannas istabas, šahtas + 1 stāvs 2x telpas.
Šuves 15m
65maisi cements 
18.05-19.05</t>
  </si>
  <si>
    <t>WR-2026-0325</t>
  </si>
  <si>
    <t>10:16:20</t>
  </si>
  <si>
    <t>Uriekstes 42B</t>
  </si>
  <si>
    <t>1st; 3st; 1st</t>
  </si>
  <si>
    <t>~35kg kvarca smiltis</t>
  </si>
  <si>
    <t>19.05.2026
Kuldīga, Lapegļu 1A epoxy šuves
Uriekstes 42B, 1st+3st epoxy šuves
VC4 B119, 1st 1/4 epoxy šuves
15kg Rapid Epokate (A+B)
~35kg kvarca smiltis
metāla skavas &lt;This message was edited&gt;</t>
  </si>
  <si>
    <t>Nav norādīts m² apjoms; Ziņā iespējami vairāki projekta nosaukumi; Ziņa ir rediģēta</t>
  </si>
  <si>
    <t>WR-2026-0326</t>
  </si>
  <si>
    <t>19:53:47</t>
  </si>
  <si>
    <t>1) Objekts
Čaka iela 123
6.stāvs kordoris
Estrich 20m2
Cementa maisi 7gab
2)Objekts
Dārzciema iela 131,Rīga
Estrich 65m2
Cementa maisi 20 gab
19.05.2026</t>
  </si>
  <si>
    <t>Ziņa satur vairākus objektus un jāsadala manuāli; Ziņā iespējami vairāki projekta nosaukumi</t>
  </si>
  <si>
    <t>WR-2026-0327</t>
  </si>
  <si>
    <t>WR-2026-0328</t>
  </si>
  <si>
    <t>16:16:56</t>
  </si>
  <si>
    <t>20.05.2026
Kadaga DEPO - šķidrā betona virskārtas izlūzumu remontēšana/piešpaktelēšana
Alūksne, Ziemeru 4 - āra pandusa 200 metru šuvju tīrīšana un vecā izraušana, "diegu" ielikšana visā garumā
- šuvju blivēšanas aukla 200 metri, 6mm platums
- ⁠Mapefinish HD A+B komponentes &lt;This message was edited&gt;</t>
  </si>
  <si>
    <t>WR-2026-0329</t>
  </si>
  <si>
    <t>17:08:02</t>
  </si>
  <si>
    <t>Kokneses prospekts 20
Estrich 30m²</t>
  </si>
  <si>
    <t>WR-2026-0330</t>
  </si>
  <si>
    <t>20:07:53</t>
  </si>
  <si>
    <t>Uriekstes iela</t>
  </si>
  <si>
    <t>Uriekstes iela 
47 līmes 
20.05.26</t>
  </si>
  <si>
    <t>WR-2026-0331</t>
  </si>
  <si>
    <t>18:02:00</t>
  </si>
  <si>
    <t>00000703-PHOTO-2026-05-21-18-02-00.jpg</t>
  </si>
  <si>
    <t>Čaka iela 123, Rīga
4.Stāvs
Estrich 280m2
Cements 92 gab
21.05.2026 &lt;attached: 00000703-PHOTO-2026-05-21-18-02-00.jpg&gt;</t>
  </si>
  <si>
    <t>WR-2026-0332</t>
  </si>
  <si>
    <t>17:54:54</t>
  </si>
  <si>
    <t>Krustabaznīcas 11
Estrich 80m²</t>
  </si>
  <si>
    <t>WR-2026-0333</t>
  </si>
  <si>
    <t>07:51:26</t>
  </si>
  <si>
    <t>Uriekstes iela 
50 līmes 
21.05.26</t>
  </si>
  <si>
    <t>WR-2026-0334</t>
  </si>
  <si>
    <t>18:42:49</t>
  </si>
  <si>
    <t>00000706-PHOTO-2026-05-22-18-42-49.jpg</t>
  </si>
  <si>
    <t>Čaka iela 123,Rīga
3.Stāvs
Estrich 120m2
Cements 44 gab
22.05.2026 &lt;attached: 00000706-PHOTO-2026-05-22-18-42-49.jpg&gt;</t>
  </si>
  <si>
    <t>WR-2026-0335</t>
  </si>
  <si>
    <t>Krustabaznīcas 11
TW 81m² jumts
Estrich 38m² pagrabs</t>
  </si>
  <si>
    <t>WR-2026-0336</t>
  </si>
  <si>
    <t>WR-2026-0337</t>
  </si>
  <si>
    <t>19:12:14</t>
  </si>
  <si>
    <t>Uriekstes iela
50 līmes
1 stāvs
22.05.26</t>
  </si>
  <si>
    <t>WR-2026-0338</t>
  </si>
  <si>
    <t>11:27:13</t>
  </si>
  <si>
    <t>Slīpēšana / apstrāde + Gruntēšana</t>
  </si>
  <si>
    <t>- grīdas labošana (kasīt nost "pūkas"/virskārtu, sagatavot virsmu, sasūcināt un sagruntēt ar poliuterāna grunti pirmo, gan otro kārtu. | - beton contractor grunts uzklāšana vienā kārtā | 15kg Wakol Poliuretāna grunts</t>
  </si>
  <si>
    <t>22.05.2026
*Jelgava, Prohorova 13*, 100m2-
- grīdas labošana (kasīt nost "pūkas"/virskārtu, sagatavot virsmu, sasūcināt un sagruntēt ar poliuterāna grunti pirmo, gan otro kārtu.
23.05.2026
*Jelgava, Prohorova 13,* 100m2-
- beton contractor grunts uzklāšana vienā kārtā
*VC4, B119*
- 1. stāvs, gaisa kastes slīpēšana/labošanas iesākšana 6m
- ⁠4./1./3. stāva epoxy iestrāde izejot cauri nepieciešamās vietās
5kg Rapid Epokate
15kg Wakol Poliuretāna grunts
12.5kg Wakol beton Contractor &lt;This message was edited&gt;</t>
  </si>
  <si>
    <t>WR-2026-0339</t>
  </si>
  <si>
    <t>WR-2026-0340</t>
  </si>
  <si>
    <t>21:38:26</t>
  </si>
  <si>
    <t>00000714-PHOTO-2026-05-25-21-38-26.jpg</t>
  </si>
  <si>
    <t>Uriekstes iela 42B
D ēka Estrich 40m2
Cementa maisi 18gab
23.05.2026 &lt;attached: 00000714-PHOTO-2026-05-25-21-38-26.jpg&gt;</t>
  </si>
  <si>
    <t>WR-2026-0341</t>
  </si>
  <si>
    <t>19:11:59</t>
  </si>
  <si>
    <t>Smilts līdzināšana</t>
  </si>
  <si>
    <t>smilts lidzinašana &lt;attached: 00000709-PHOTO-2026-05-25-19-11-59.jpg&gt;</t>
  </si>
  <si>
    <t>00000709-PHOTO-2026-05-25-19-11-59.jpg</t>
  </si>
  <si>
    <t>208.38m2 
smilts lidzinašana &lt;attached: 00000709-PHOTO-2026-05-25-19-11-59.jpg&gt;</t>
  </si>
  <si>
    <t>WR-2026-0342</t>
  </si>
  <si>
    <t>putuplasts &lt;attached: 00000710-PHOTO-2026-05-25-19-11-59.jpg&gt;</t>
  </si>
  <si>
    <t>00000710-PHOTO-2026-05-25-19-11-59.jpg</t>
  </si>
  <si>
    <t>272,9m2
putuplasts &lt;attached: 00000710-PHOTO-2026-05-25-19-11-59.jpg&gt;</t>
  </si>
  <si>
    <t>WR-2026-0343</t>
  </si>
  <si>
    <t>19:12:11</t>
  </si>
  <si>
    <t>Smilts līdzināšana 208m2 | Putuplastu ieklāšana273m2</t>
  </si>
  <si>
    <t>Krasta iela 6, Lubāna
1.stāvs
Smilts līdzināšana 208m2
Putuplastu ieklāšana273m2
25.05.2026</t>
  </si>
  <si>
    <t>WR-2026-0344</t>
  </si>
  <si>
    <t>20:10:59</t>
  </si>
  <si>
    <t>Krustbaznīcas iela 11 
18 līmes
Jumta stāvs.</t>
  </si>
  <si>
    <t>WR-2026-0345</t>
  </si>
  <si>
    <t>21:04:32</t>
  </si>
  <si>
    <t>Krustabaznīcas 11
Estrich 81m²</t>
  </si>
  <si>
    <t>WR-2026-0346</t>
  </si>
  <si>
    <t>18:41:17</t>
  </si>
  <si>
    <t>3 st</t>
  </si>
  <si>
    <t>Čaka iela
31 līme
3 stāvs 
26.05.26</t>
  </si>
  <si>
    <t>WR-2026-0347</t>
  </si>
  <si>
    <t>22:56:35</t>
  </si>
  <si>
    <t>00000730-PHOTO-2026-06-01-22-56-35.jpg</t>
  </si>
  <si>
    <t>Krasta iela 6, Lubāna
1.stāvs
Estrich 100m2
Cementa maisi 35gab
26.05.2026 &lt;attached: 00000730-PHOTO-2026-06-01-22-56-35.jpg&gt;</t>
  </si>
  <si>
    <t>WR-2026-0348</t>
  </si>
  <si>
    <t>18:19:45</t>
  </si>
  <si>
    <t>Krustabaznīcas 11
Estrich 95m²</t>
  </si>
  <si>
    <t>WR-2026-0349</t>
  </si>
  <si>
    <t>13:39:41</t>
  </si>
  <si>
    <t>Čaka 123
Pepes ieklāšana 160m². 3. Stāvs</t>
  </si>
  <si>
    <t>WR-2026-0350</t>
  </si>
  <si>
    <t>16:35:31</t>
  </si>
  <si>
    <t>Jaunolaine meža iela 2
347m2
109 līmes 
27.05.26</t>
  </si>
  <si>
    <t>WR-2026-0351</t>
  </si>
  <si>
    <t>20:25:57</t>
  </si>
  <si>
    <t>Jaunolaine meža iela 2 
350 m2
113 līmes.
28.05.26</t>
  </si>
  <si>
    <t>WR-2026-0352</t>
  </si>
  <si>
    <t>21:55:20</t>
  </si>
  <si>
    <t>Jaunolaine meža iela 2 
217 m2
110 līmes.
Objekts pabeigts.TW
29.05.26</t>
  </si>
  <si>
    <t>WR-2026-0353</t>
  </si>
  <si>
    <t>16:47:22</t>
  </si>
  <si>
    <t>00000724-PHOTO-2026-05-30-16-47-22.jpg</t>
  </si>
  <si>
    <t>Bērzaunes iela 15, Rīga
TW 176m2
6.stāvs
Līme 37gab
30.05.2026 &lt;attached: 00000724-PHOTO-2026-05-30-16-47-22.jpg&gt;</t>
  </si>
  <si>
    <t>WR-2026-0354</t>
  </si>
  <si>
    <t>19:28:15</t>
  </si>
  <si>
    <t>Meža iela 14 Odukalns, Ķekavas novads
Privātmāja, Estrich 208m2.
Cementa maisi 105 gab
31.05.2026</t>
  </si>
  <si>
    <t>WR-2026-0355</t>
  </si>
  <si>
    <t>21:13:57</t>
  </si>
  <si>
    <t>Čaka iela 123
290 m2 
54 līmes
01.06.26</t>
  </si>
  <si>
    <t>WR-2026-0356</t>
  </si>
  <si>
    <t>17:24:56</t>
  </si>
  <si>
    <t>VC4, B119, pagrabs</t>
  </si>
  <si>
    <t>Slīpēšana / apstrāde</t>
  </si>
  <si>
    <t>*01.06.2026*
VC4, B119, pagrabs
- frēzēt/noslīpēt 4-5cm nost grīdu pagraba vienā no telpām. (8m2)</t>
  </si>
  <si>
    <t>WR-2026-0357</t>
  </si>
  <si>
    <t>17:26:34</t>
  </si>
  <si>
    <t>+VC4 B119, 300L 15+ miskastes maisus ar betonu/smiltīm izvākt un sagatavoties epoxy darbiem. &lt;attached: 00000732-PHOTO-2026-06-02-17-26-34.jpg&gt;</t>
  </si>
  <si>
    <t>00000732-PHOTO-2026-06-02-17-26-34.jpg</t>
  </si>
  <si>
    <t>*02.06.2026*
A. Čaka iela 123
-  2. stāvs, 290m2 ieklāt pepi
+VC4 B119, 300L 15+ miskastes maisus ar betonu/smiltīm izvākt un sagatavoties epoxy darbiem. &lt;attached: 00000732-PHOTO-2026-06-02-17-26-34.jpg&gt;</t>
  </si>
  <si>
    <t>WR-2026-0358</t>
  </si>
  <si>
    <t>19:44:21</t>
  </si>
  <si>
    <t>Spilves iela 27</t>
  </si>
  <si>
    <t>Spilves iela 27 
183 līmes
02.06.26
1 stāvs</t>
  </si>
  <si>
    <t>WR-2026-0359</t>
  </si>
  <si>
    <t>19:30:43</t>
  </si>
  <si>
    <t>00000739-PHOTO-2026-06-03-19-30-43.jpg</t>
  </si>
  <si>
    <t>Meža iela2, Jaunolaine
Estrich 370m2
2.stāvs
Cementa maisi 133 gab
2.06.26-3.06.26 &lt;attached: 00000739-PHOTO-2026-06-03-19-30-43.jpg&gt;</t>
  </si>
  <si>
    <t>WR-2026-0360</t>
  </si>
  <si>
    <t>19:21:28</t>
  </si>
  <si>
    <t>Spilves iela 27 
180 līmes
1 stāvs.
03.06.26</t>
  </si>
  <si>
    <t>WR-2026-0361</t>
  </si>
  <si>
    <t>12:50:15</t>
  </si>
  <si>
    <t>1 st; 2 st</t>
  </si>
  <si>
    <t>Spilves iela 27 
1 stāvs 65 līmes
2 stāvs 52 līmes 
04.06.26</t>
  </si>
  <si>
    <t>WR-2026-0362</t>
  </si>
  <si>
    <t>22:06:15</t>
  </si>
  <si>
    <t>00000743-PHOTO-2026-06-06-22-06-15.jpg</t>
  </si>
  <si>
    <t>Meža iela2, Jaunolaine
Estrich 380m2
2.stāvs
Cementa maisi 139 gab
4.06.26-5.06.26 &lt;attached: 00000743-PHOTO-2026-06-06-22-06-15.jpg&gt;</t>
  </si>
  <si>
    <t>WR-2026-0363</t>
  </si>
  <si>
    <t>17:27:32</t>
  </si>
  <si>
    <t>Spilves iela 27 
2 stāvs 366 m2
86 līmes 
Telpas pabeigtas 
05.06.26.</t>
  </si>
  <si>
    <t>WR-2026-0364</t>
  </si>
  <si>
    <t>22:17:44</t>
  </si>
  <si>
    <t>Alūksnes novads, Liepnas Patvēruma meklētāju centrs
2-3.stāvs
TW 310m2
Līme 83 bumbas 81 gab
6.06.2026</t>
  </si>
  <si>
    <t>WR-2026-0365</t>
  </si>
  <si>
    <t>07:14:15</t>
  </si>
  <si>
    <t>Uriekstes iela 
38 līmes 
08.06.26</t>
  </si>
  <si>
    <t>WR-2026-0366</t>
  </si>
  <si>
    <t>18:15:12</t>
  </si>
  <si>
    <t>00000746-PHOTO-2026-06-09-18-15-12.jpg</t>
  </si>
  <si>
    <t>Meža iela2, Jaunolaine
Estrich 248m2
2.stāvs
Cementa maisi 112gab
9.06.2026 &lt;attached: 00000746-PHOTO-2026-06-09-18-15-12.jpg&gt;</t>
  </si>
  <si>
    <t>WR-2026-0367</t>
  </si>
  <si>
    <t>07:33:34</t>
  </si>
  <si>
    <t>Spilves iela</t>
  </si>
  <si>
    <t>Spilves iela 
300
82 līmes
09.06.26</t>
  </si>
  <si>
    <t>WR-2026-0368</t>
  </si>
  <si>
    <t>11:56:33</t>
  </si>
  <si>
    <t>Spilves iela 27 
200 m2
56 līmes
10.06.26</t>
  </si>
  <si>
    <t>WR-2026-0369</t>
  </si>
  <si>
    <t>22:45:38</t>
  </si>
  <si>
    <t>Alūksnes nov, Liepnas Patvēruma meklētāju Centrs. 
Estrich 334m2
2,3 stāvs
3x Braucām pakaļ uz Alūksni Mājai dārzam pakaļ cementam. 
Cementa maisi 121 gab
11.06.2026</t>
  </si>
  <si>
    <t>WR-2026-0370</t>
  </si>
  <si>
    <t>19:48:46</t>
  </si>
  <si>
    <t>Spilves iela 27 
40 līmes 
Koridors 2,3 stāvs
11.06.26</t>
  </si>
  <si>
    <t>WR-2026-0371</t>
  </si>
  <si>
    <t>09:52:14</t>
  </si>
  <si>
    <t>Gundars TW Staravoitovs</t>
  </si>
  <si>
    <t>326 m2</t>
  </si>
  <si>
    <t>WR-2026-0372</t>
  </si>
  <si>
    <t>16:01:28</t>
  </si>
  <si>
    <t>Limbaži sporta iela
21 līme
12.06.26</t>
  </si>
  <si>
    <t>WR-2026-0373</t>
  </si>
  <si>
    <t>21:14:21</t>
  </si>
  <si>
    <t>Urieksetes iela 42B
2.stāvs logu ailes 12gab. Cementa maisi 4gab.
Mājas otrs gals 2.stāvs Estrich 36m2 
Cementa maisi 11gab.
B ēka TW 15m2
Līme 8 bumbas 8gab.
B ēka Estrich 80m2
Plēves ieklāšana, skočošana
Cementa maisi 34gab.
12.06.2026</t>
  </si>
  <si>
    <t>WR-2026-0374</t>
  </si>
  <si>
    <t>WR-2026-0375</t>
  </si>
  <si>
    <t>WR-2026-0376</t>
  </si>
  <si>
    <t>13:58:33</t>
  </si>
  <si>
    <t>Uriekstes iela 42 B</t>
  </si>
  <si>
    <t>Uriekstes iela 42 B
B ēka Estrich 15m2
Plēves ieklāšana, skočošana, armatūras ieklāšana, sasiešana, betonēšana. 
Cementa maisi 8 gab.
14.06.2026 &lt;This message was edited&gt;</t>
  </si>
  <si>
    <t>WR-2026-0377</t>
  </si>
  <si>
    <t>08:01:54</t>
  </si>
  <si>
    <t>Prohorova iela Jelgava 
280 m2
99 lim
15.06.26</t>
  </si>
  <si>
    <t>WR-2026-0378</t>
  </si>
  <si>
    <t>21:05:37</t>
  </si>
  <si>
    <t>Prohorova iela Jelgava 
235 m2
93 līmes
16.06.26</t>
  </si>
  <si>
    <t>WR-2026-0379</t>
  </si>
  <si>
    <t>12:41:05</t>
  </si>
  <si>
    <t>Sporta iela 8-33, Limbaži
Estrich 54 m2
Dzīvoklis 4.stāvs
Cementa maisi 16gab.
16.06.2026</t>
  </si>
  <si>
    <t>WR-2026-0380</t>
  </si>
  <si>
    <t>18:11:40</t>
  </si>
  <si>
    <t>Uriekstes iela 42B
A ēka TW 20m2 un priekštelpa  TW 10m2
Līme 15 gab
17.06.2026</t>
  </si>
  <si>
    <t>WR-2026-0381</t>
  </si>
  <si>
    <t>WR-2026-0382</t>
  </si>
  <si>
    <t>17:21:21</t>
  </si>
  <si>
    <t>Preiļi raiņa bulvāris 13  
138 līmes
480 m2
18.06.26</t>
  </si>
  <si>
    <t>WR-2026-0383</t>
  </si>
  <si>
    <t>16:30:58</t>
  </si>
  <si>
    <t>Krustbaznīcas iela</t>
  </si>
  <si>
    <t>Krustbaznīcas iela 
59 līmes
214m2
19.06.26</t>
  </si>
  <si>
    <t>WR-2026-0384</t>
  </si>
  <si>
    <t>16:32:23</t>
  </si>
  <si>
    <t>Spilves iela 27 
57 līmes
Pirmais stāvs koridors 
20.06.26</t>
  </si>
  <si>
    <t>WR-2026-0385</t>
  </si>
  <si>
    <t>17:12:58</t>
  </si>
  <si>
    <t>00000823-PHOTO-2026-07-21-17-12-58.jpg</t>
  </si>
  <si>
    <t>Prohorova iela 13, Jelgava
2.Stāvs Estrich 515m2
Cements 248 gab.
20,21.06.2026 &lt;attached: 00000823-PHOTO-2026-07-21-17-12-58.jpg&gt;</t>
  </si>
  <si>
    <t>WR-2026-0386</t>
  </si>
  <si>
    <t>15:41:55</t>
  </si>
  <si>
    <t>Rudzu iela 32, Carnikava
Estrich115m2
Plākņu pamati
Cementa maisi 51gab
22.06.2026</t>
  </si>
  <si>
    <t>WR-2026-0387</t>
  </si>
  <si>
    <t>20:34:42</t>
  </si>
  <si>
    <t>Spilves iela 27 
300 m3
91 līme
25.06.26
4 stāvs</t>
  </si>
  <si>
    <t>WR-2026-0388</t>
  </si>
  <si>
    <t>10:26:04</t>
  </si>
  <si>
    <t>4 st; 5 st</t>
  </si>
  <si>
    <t>Spilves iela 27 
330 m2
93 līmes
26.06.26
4 stāvs 
5 stāvs divi dzīvokļi</t>
  </si>
  <si>
    <t>WR-2026-0389</t>
  </si>
  <si>
    <t>23:10:09</t>
  </si>
  <si>
    <t>1)Estrich 15m2+putuplasts xps FL 300/ 100mm+plēve.</t>
  </si>
  <si>
    <t>00000767-PHOTO-2026-06-26-23-10-09.jpg</t>
  </si>
  <si>
    <t>Uriekstes iela 42B
1)Estrich 15m2+putuplasts xps FL 300/ 100mm+plēve. 
Cementa maisi 7gab. 
2)Estrich 45m2+17m šuves. 
Cementa maisi 20gab
3) 2.Stāvs TW 2x Logu ailes.
Līme 1gab.
26.06.2026 &lt;attached: 00000767-PHOTO-2026-06-26-23-10-09.jpg&gt;</t>
  </si>
  <si>
    <t>WR-2026-0390</t>
  </si>
  <si>
    <t>WR-2026-0391</t>
  </si>
  <si>
    <t>19:12:49</t>
  </si>
  <si>
    <t>7 st</t>
  </si>
  <si>
    <t>Čaka iela 27 
170 līmes
7 stāvs
29.06.26</t>
  </si>
  <si>
    <t>WR-2026-0392</t>
  </si>
  <si>
    <t>11:00:58</t>
  </si>
  <si>
    <t>Čaka iela 
120 līmes
7 stāvs 
30.06.26</t>
  </si>
  <si>
    <t>WR-2026-0393</t>
  </si>
  <si>
    <t>15:07:27</t>
  </si>
  <si>
    <t>A ēka smilts līdzināšana 100m2 | Putuplasta ieklāšana 360m2 (150mm biezums)</t>
  </si>
  <si>
    <t>Uriekstes iela 42B
A ēka smilts līdzināšana 100m2
Putuplasta ieklāšana 360m2 (150mm biezums)
B ēka 5m2 Estrich demontāža.
30.06-1.07.2026</t>
  </si>
  <si>
    <t>WR-2026-0394</t>
  </si>
  <si>
    <t>Smilts līdzināšana + Putuplasta ieklāšana</t>
  </si>
  <si>
    <t>WR-2026-0395</t>
  </si>
  <si>
    <t>WR-2026-0396</t>
  </si>
  <si>
    <t>14:29:01</t>
  </si>
  <si>
    <t>Mālkalnu iela 26 Dzidriņas
53 līmes 
02.07.26</t>
  </si>
  <si>
    <t>WR-2026-0397</t>
  </si>
  <si>
    <t>08:23:05</t>
  </si>
  <si>
    <t>00000776-PHOTO-2026-07-03-08-23-05.jpg</t>
  </si>
  <si>
    <t>Sarkanmuižas dambis 1,Ventspils
TW 280m2
Līme86 bumbas 86
2.07.2026 &lt;attached: 00000776-PHOTO-2026-07-03-08-23-05.jpg&gt;</t>
  </si>
  <si>
    <t>WR-2026-0398</t>
  </si>
  <si>
    <t>16:12:24</t>
  </si>
  <si>
    <t>Skujenes iela 9
Rīga
16 līmes 
3.07.26</t>
  </si>
  <si>
    <t>WR-2026-0399</t>
  </si>
  <si>
    <t>23:04:44</t>
  </si>
  <si>
    <t>00000795-PHOTO-2026-07-06-23-04-44.jpg; 00000796-PHOTO-2026-07-06-23-04-44.jpg</t>
  </si>
  <si>
    <t>Sarkanmuižas dambis 1. Ventspils
1.Stāvs
Estrich 218m2+plēve
Cementa maisi 58 gab.
2.Stāvs
TW 80m2 
Līme 19gab
06.07.2026 &lt;attached: 00000795-PHOTO-2026-07-06-23-04-44.jpg&gt;</t>
  </si>
  <si>
    <t>WR-2026-0400</t>
  </si>
  <si>
    <t>WR-2026-0401</t>
  </si>
  <si>
    <t>18:06:18</t>
  </si>
  <si>
    <t>Sigulda ziedu iela 3 
78 līmes
06.07.26</t>
  </si>
  <si>
    <t>WR-2026-0402</t>
  </si>
  <si>
    <t>08:24:56</t>
  </si>
  <si>
    <t>00000800-PHOTO-2026-07-08-08-24-56.jpg; 00000801-PHOTO-2026-07-08-08-24-56.jpg; 00000802-PHOTO-2026-07-08-08-24-57.jpg</t>
  </si>
  <si>
    <t>Sarkanmuižas dambis1, Ventspils
Estrich 341m2
Cementa maisi 83gab.
1.Stāvs
Planicrite-54m2
Pepe-52m2
2.Stāvs
Planicrits85m2
7.07.2026 &lt;attached: 00000800-PHOTO-2026-07-08-08-24-56.jpg&gt;</t>
  </si>
  <si>
    <t>WR-2026-0403</t>
  </si>
  <si>
    <t>WR-2026-0404</t>
  </si>
  <si>
    <t>WR-2026-0405</t>
  </si>
  <si>
    <t>15:54:53</t>
  </si>
  <si>
    <t>Sigulda ziedu iela 3 
40 līmes
07.07.26</t>
  </si>
  <si>
    <t>WR-2026-0406</t>
  </si>
  <si>
    <t>15:34:46</t>
  </si>
  <si>
    <t>Dārziņi 29 līnija 2 
112 līmes 
08.07.26</t>
  </si>
  <si>
    <t>WR-2026-0407</t>
  </si>
  <si>
    <t>16:06:39</t>
  </si>
  <si>
    <t>Juris / Vilcējs LĪMENĪ</t>
  </si>
  <si>
    <t>Skujenes iela 9-10 dz riga .11 maisi cements.08.07.26.Juris  40m2 . &lt;This message was edited&gt;</t>
  </si>
  <si>
    <t>WR-2026-0408</t>
  </si>
  <si>
    <t>19:22:41</t>
  </si>
  <si>
    <t>Juris esthriks 110m2 .izlietots 40 maisi  cements palika 5 maisi</t>
  </si>
  <si>
    <t>WR-2026-0409</t>
  </si>
  <si>
    <t>18:39:43</t>
  </si>
  <si>
    <t>5 st</t>
  </si>
  <si>
    <t>Spilves iela 
377 m2
108 līmes
5 stāvs
09.07.26</t>
  </si>
  <si>
    <t>WR-2026-0410</t>
  </si>
  <si>
    <t>16:54:15</t>
  </si>
  <si>
    <t>1 st; 5 st</t>
  </si>
  <si>
    <t>Spilves iela 27 
1 stāvs 
5 stāvs
Koridors 48 līmes 
10.07.26</t>
  </si>
  <si>
    <t>WR-2026-0411</t>
  </si>
  <si>
    <t>14:25:22</t>
  </si>
  <si>
    <t>Līvas iela Ozolnieki 
101 līme 
13.07.26.</t>
  </si>
  <si>
    <t>WR-2026-0412</t>
  </si>
  <si>
    <t>17:53:05</t>
  </si>
  <si>
    <t>Malkalnu iela 26,Dzidriņas Rīga
Privātmāja Estrich 192m2
Cementa maisi 74 gab.
14.07.2026</t>
  </si>
  <si>
    <t>WR-2026-0413</t>
  </si>
  <si>
    <t>21:22:57</t>
  </si>
  <si>
    <t>4st; 6 st</t>
  </si>
  <si>
    <t>Spilves iela 
70 līmes
Koridors 4stāvs
6 stāvs 3 dzīvokļi
14.07.26</t>
  </si>
  <si>
    <t>WR-2026-0414</t>
  </si>
  <si>
    <t>21:23:46</t>
  </si>
  <si>
    <t>Spilves iela 
6 stāvs 2 dzīvokļi
29 līmes
15.07.26</t>
  </si>
  <si>
    <t>WR-2026-0415</t>
  </si>
  <si>
    <t>18:08:28</t>
  </si>
  <si>
    <t>Alūksnes nov, Liepnas Patvērumu meklētāju centrs.
TW 204m2
Līme 71gab, bumbas 73gab
Estrich339m2
Cementa maisi 133gab.
15-16.07.2026</t>
  </si>
  <si>
    <t>WR-2026-0416</t>
  </si>
  <si>
    <t>21:42:45</t>
  </si>
  <si>
    <t>Balasta iela 2</t>
  </si>
  <si>
    <t>2 st; 3 st</t>
  </si>
  <si>
    <t>Balasta iela 2
171 līme
2 stāvs 
3 stāvs 
16.07.26.</t>
  </si>
  <si>
    <t>WR-2026-0417</t>
  </si>
  <si>
    <t>14:38:34</t>
  </si>
  <si>
    <t>Balasta iela 2 
83 līmēs 
4 stāvs
17.07.26</t>
  </si>
  <si>
    <t>WR-2026-0418</t>
  </si>
  <si>
    <t>17:22:02</t>
  </si>
  <si>
    <t>Spilves iela 
57 līmes 
185 m2
Ričijam 13 līmes.
20.07.26</t>
  </si>
  <si>
    <t>WR-2026-0419</t>
  </si>
  <si>
    <t>20:24:30</t>
  </si>
  <si>
    <t>1 st; 7 st</t>
  </si>
  <si>
    <t>Spilves iela 
1 stāvs 83 līmes 
7 stāvs 183 m2 44 līmes 
21.07.26</t>
  </si>
  <si>
    <t>WR-2026-0420</t>
  </si>
  <si>
    <t>21:35:19</t>
  </si>
  <si>
    <t>11 st</t>
  </si>
  <si>
    <t>Balasta iela 2 
93 līmes 
11 stāvs
22.07.26</t>
  </si>
  <si>
    <t>WR-2026-0421</t>
  </si>
  <si>
    <t>21:40:35</t>
  </si>
  <si>
    <t>Baldone.
Privātmāja.
Estrich 127m2
Cementa maisi 46gab
22.07.2026</t>
  </si>
  <si>
    <t>WR-2026-0422</t>
  </si>
  <si>
    <t>21:52:34</t>
  </si>
  <si>
    <t>Balasta iela</t>
  </si>
  <si>
    <t>10 st; 9 st</t>
  </si>
  <si>
    <t>Balasta iela 
180 līmes 
10 stāvs
9 stāvs
23.07.26</t>
  </si>
  <si>
    <t>WR-2026-0423</t>
  </si>
  <si>
    <t>07:59:05</t>
  </si>
  <si>
    <t>Darza iela 28,Ragana
Privātmāja. 
Estrich 50m2
Cementa maisi 22gab.
23.07.2026</t>
  </si>
  <si>
    <t>WR-2026-0424</t>
  </si>
  <si>
    <t>08:48:34</t>
  </si>
  <si>
    <t>Balasta iela 
8,9. Stāvs
 176 līmes 
24.07.26.</t>
  </si>
  <si>
    <t>WR-2026-0425</t>
  </si>
  <si>
    <t>08:04:16</t>
  </si>
  <si>
    <t>Preses nama kvartāls, Rīga
11,10.stāvs. 
Estrich154m2
14 tualetes.
Cementa maisi 58gab
24,25.07.2026</t>
  </si>
  <si>
    <t>WR-2026-0426</t>
  </si>
  <si>
    <t>18:49:42</t>
  </si>
  <si>
    <t>Spilves iela 
7 stāvs
142 m2
41 līme 
27.07.26</t>
  </si>
  <si>
    <t>WR-2026-0427</t>
  </si>
  <si>
    <t>17:12:14</t>
  </si>
  <si>
    <t>Gaiļezera slimnīca, Rīga
Pagrabs. 
Lielais slānis 10-13cm 55m2 
Normālais slānis 139m2
Kopā:194m2
Cementa maisi 84gab
28.07.2026</t>
  </si>
  <si>
    <t>WR-2026-0428</t>
  </si>
  <si>
    <t>WR-2026-0429</t>
  </si>
  <si>
    <t>WR-2026-0430</t>
  </si>
  <si>
    <t>18:54:35</t>
  </si>
  <si>
    <t>Spilves iela 
Māja nr 1
1 stāvs 
169 līmēs 
28.07.26</t>
  </si>
  <si>
    <t>WR-2026-0431</t>
  </si>
  <si>
    <t>19:18:48</t>
  </si>
  <si>
    <t>"Rozītes", Daugmales pagasts, Ķekavas novads
2.stāvs
Estrich 315m2
Cementa maisi133gab
29.07.2026</t>
  </si>
  <si>
    <t>WR-2026-0432</t>
  </si>
  <si>
    <t>09:38:06</t>
  </si>
  <si>
    <t>Spilves iela 
380 m2
100 līmes
29.07.26
5 stāvs</t>
  </si>
  <si>
    <t>WR-2026-0433</t>
  </si>
  <si>
    <t>20:26:20</t>
  </si>
  <si>
    <t>5 st; 1 st</t>
  </si>
  <si>
    <t>Spilves iela 
5 stāvs 122 m2               33līmes
1 stāvs 159 līmes
29.07.26</t>
  </si>
  <si>
    <t>WR-2026-0434</t>
  </si>
  <si>
    <t>17:10:52</t>
  </si>
  <si>
    <t>Mārupe Gaujas iela 5 
3 dzīvokļi,katrs savā mājā.
27 līmes 
31.07.26.</t>
  </si>
  <si>
    <t>WR-2026-0435</t>
  </si>
  <si>
    <t>14:18:15</t>
  </si>
  <si>
    <t>Preses nama kvartāls, Rīga
12.stāvs
Estrich 30m2
Slānis 10,11cm
Cementa maisi 16gab
31.07.2026</t>
  </si>
  <si>
    <t>WR-2026-0436</t>
  </si>
  <si>
    <t>"Rozītes", Daugmales pagasts, Ķekavas novads
2.stāvs Estrich 285m2
Cementa maisi 127gab
3.08.2026</t>
  </si>
  <si>
    <t>WR-2026-0437</t>
  </si>
  <si>
    <t>14:14:40</t>
  </si>
  <si>
    <t>Mārupe Gaujas iela 5 
1 dzīvoklis 10 līmes
03.08.26.</t>
  </si>
  <si>
    <t>WR-2026-0438</t>
  </si>
  <si>
    <t>20:27:34</t>
  </si>
  <si>
    <t>Spilves iela 27 
426 m2
100 līmes 
2 stāvs 
04.08.26</t>
  </si>
  <si>
    <t>WR-2026-0439</t>
  </si>
  <si>
    <t>22:35:35</t>
  </si>
  <si>
    <t>Spilves iela 
1 dzīvoklis, koridors 
60 līmes 
04.08.26</t>
  </si>
  <si>
    <t>WR-2026-0440</t>
  </si>
  <si>
    <t>20:36:22</t>
  </si>
  <si>
    <t>00000856-PHOTO-2026-08-06-20-36-22.jpg</t>
  </si>
  <si>
    <t>235m2 Ilzenes 32 &lt;attached: 00000856-PHOTO-2026-08-06-20-36-22.jpg&gt;</t>
  </si>
  <si>
    <t>WR-2026-0441</t>
  </si>
  <si>
    <t>19:50:09</t>
  </si>
  <si>
    <t>Jānūži, Gulbenes novads
Privātmāja.
Estrich35m3
Cementa maisi 13gab.
Liepna Patvērumu meklētāju centrs. 
1.stāvs
Estrich397m2+plēve
Liels slānis 10-11cm
Cements maisi 225gab
TW 17m2 
Līme 6gab
5.08.-6.08.2026 &lt;This message was edited&gt;</t>
  </si>
  <si>
    <t>WR-2026-0442</t>
  </si>
  <si>
    <t>14:07:51</t>
  </si>
  <si>
    <t>1670 metri iestrādāti ar PENOSIL | - PENOSIL 184gb.</t>
  </si>
  <si>
    <t>00000854-PHOTO-2026-08-06-14-07-51.jpg</t>
  </si>
  <si>
    <t>04.07 - 06.07
Lidotāju iela 1A, Daugavpils
1670 metri iestrādāti ar PENOSIL
- PENOSIL 184gb.
- ⁠Diegs 10/15mm
- ⁠8gb. Pistoles stobri
- ⁠7gb x 5L Logu šķidrums
- ⁠4gb pūšamie logu tīrāmie
- ⁠12 lāpstiņas mazās
- ⁠15 uzgaļi
- ⁠Nazīši/asmeņi
- ⁠14gb miskastes maisi &lt;attached: 00000854-PHOTO-2026-08-06-14-07-51.jpg&gt;</t>
  </si>
  <si>
    <t>WR-2026-0443</t>
  </si>
  <si>
    <t>14:27:34</t>
  </si>
  <si>
    <t>Gaidas iela 3 Jūrmala 
39 līmes
07.08.26</t>
  </si>
  <si>
    <t>WR-2026-0444</t>
  </si>
  <si>
    <t>20:16:20</t>
  </si>
  <si>
    <t>Matrožu iela 12 Jūrmala 
77 līmes 
07.08.26.</t>
  </si>
  <si>
    <t>WR-2026-0445</t>
  </si>
  <si>
    <t>18:45:50</t>
  </si>
  <si>
    <t>- ⁠25kg kvarca smiltis</t>
  </si>
  <si>
    <t>Ventspils, Sarkanmuižas Dambis 1
300m2+ Estrich šuves + kasjaku labošana (zirnekļa šuves pa visu telpu)
- 13.5kg Rapid Epokate
- ⁠25kg kvarca smiltis
- ⁠2 ripas betona griešanai</t>
  </si>
  <si>
    <t>WR-2026-0446</t>
  </si>
  <si>
    <t>06:56:52</t>
  </si>
  <si>
    <t>00000860-PHOTO-2026-08-10-06-56-52.jpg</t>
  </si>
  <si>
    <t>08-09.08.26 Ulmaņa gatve 88 
Estrich 905m2 &lt;attached: 00000860-PHOTO-2026-08-10-06-56-52.jpg&gt;</t>
  </si>
  <si>
    <t>WR-2026-0447</t>
  </si>
  <si>
    <t>15:18:42</t>
  </si>
  <si>
    <t>Gaiļezera slimnīca, Rīga
Pagrabs.
Estrich 300m2
Cementa maisi 69gab
10.08.2026</t>
  </si>
  <si>
    <t>WR-2026-0448</t>
  </si>
  <si>
    <t>15:31:59</t>
  </si>
  <si>
    <t>Lībekas iela 3 mežaparks
75 līmes
10.08.26</t>
  </si>
  <si>
    <t>WR-2026-0449</t>
  </si>
  <si>
    <t>17:53:04</t>
  </si>
  <si>
    <t>Spilves iela 27 
1 stāvs 
190 līmēs 
11.08.26</t>
  </si>
  <si>
    <t>WR-2026-0450</t>
  </si>
  <si>
    <t>18:20:03</t>
  </si>
  <si>
    <t>Spilves iela 27 
380 m2
95 līmes 
12.08.26
3 stāvs</t>
  </si>
  <si>
    <t>WR-2026-0451</t>
  </si>
  <si>
    <t>20:02:52</t>
  </si>
  <si>
    <t>Spilvas iela 27</t>
  </si>
  <si>
    <t>Spilvas iela 27
7,5,4,3,2,1.stāvs
Estrich 481m2
Lielais slānis10cm  45m2
Cememta maisi 187gab.
11,12,13.08.2026</t>
  </si>
  <si>
    <t>WR-2026-0452</t>
  </si>
  <si>
    <t>WR-2026-0453</t>
  </si>
  <si>
    <t>15:24:59</t>
  </si>
  <si>
    <t>Balasta dambis</t>
  </si>
  <si>
    <t>Balasta dambis 
6 stāvs 
90 līmes
14.08.26</t>
  </si>
  <si>
    <t>WR-2026-0454</t>
  </si>
  <si>
    <t>08:02:49</t>
  </si>
  <si>
    <t>Thermowhite + Slīpēšana / apstrāde</t>
  </si>
  <si>
    <t>Jelgava, Brīvības bulvāris 6
Jumts slīpumā
TW 35m2
 Bumbas 22 līmes 33gab
14.08.2026</t>
  </si>
  <si>
    <t>WR-2026-0455</t>
  </si>
  <si>
    <t>07:58:45</t>
  </si>
  <si>
    <t>8,7st</t>
  </si>
  <si>
    <t>Preses nama kvartāls, Rīga
8,7stāvs
Estrich 154m2
Cementa maisi 62gab
14.08.2026</t>
  </si>
  <si>
    <t>WR-2026-0456</t>
  </si>
  <si>
    <t>16:10:08</t>
  </si>
  <si>
    <t>"Rozītes", Daugmales pagasts, ķekavas novads
1.stāvs Estrich 285m2
Cementa maisi 124 gab
17.08.2026</t>
  </si>
  <si>
    <t>WR-2026-0457</t>
  </si>
  <si>
    <t>16:51:39</t>
  </si>
  <si>
    <t>7  st</t>
  </si>
  <si>
    <t>Balasta dambis 
7  stāvs 
89 līmes 
17.08.26.</t>
  </si>
  <si>
    <t>WR-2026-0458</t>
  </si>
  <si>
    <t>17:21:34</t>
  </si>
  <si>
    <t>Spilvas iela 27
3.Stāvs.
Estrich 210m2
Cementa maisi 81gab
18.08.2026</t>
  </si>
  <si>
    <t>WR-2026-0459</t>
  </si>
  <si>
    <t>07:26:51</t>
  </si>
  <si>
    <t>Spilves iela 27 
341 m2 
105 līmes 
4 stāvs 
18.08.26</t>
  </si>
  <si>
    <t>WR-2026-0460</t>
  </si>
  <si>
    <t>21:04:05</t>
  </si>
  <si>
    <t>00000875-PHOTO-2026-08-19-21-04-05.jpg; 00000876-VIDEO-2026-08-19-21-04-07.mov</t>
  </si>
  <si>
    <t>Valdemāra 73 Terrazzo ~25m2 slīpēšana. &lt;attached: 00000875-PHOTO-2026-08-19-21-04-05.jpg&gt;</t>
  </si>
  <si>
    <t>WR-2026-0461</t>
  </si>
  <si>
    <t>16:51:36</t>
  </si>
  <si>
    <t>Spilvas iela 27
3.stāvs, 4 dzīvokļi
Estrich 205m2+plēve
Cementa maisi 76gab
19.08.2026 &lt;This message was edited&gt;</t>
  </si>
  <si>
    <t>WR-2026-0462</t>
  </si>
  <si>
    <t>22:00:11</t>
  </si>
  <si>
    <t>Spilves iela 27 
300 m2 6 stavs
Koridors 4 stāvs 
Līme 102
19.08.26</t>
  </si>
  <si>
    <t>WR-2026-0463</t>
  </si>
  <si>
    <t>15:45:26</t>
  </si>
  <si>
    <t>00000879-PHOTO-2026-08-20-15-45-26.jpg; 00000880-PHOTO-2026-08-20-15-45-26.jpg; 00000881-VIDEO-2026-08-20-15-45-27.mov</t>
  </si>
  <si>
    <t>Gsidu 3, Jurmala 135m2 100mm
60 maisi cem. (10:00-15:30) &lt;attached: 00000879-PHOTO-2026-08-20-15-45-26.jpg&gt;</t>
  </si>
  <si>
    <t>WR-2026-0464</t>
  </si>
  <si>
    <t>12:41:02</t>
  </si>
  <si>
    <t>Gaiļezera slimnīca, Rīga
Pagrabs
Estrich 198m2
Cementa maisi 44gab
21.08.2026</t>
  </si>
  <si>
    <t>WR-2026-0465</t>
  </si>
  <si>
    <t>09:40:30</t>
  </si>
  <si>
    <t>Vaidavas iela 15 
65 līmes
21.08.26</t>
  </si>
  <si>
    <t>WR-2026-0466</t>
  </si>
  <si>
    <t>11:44:54</t>
  </si>
  <si>
    <t>Poruka iela16, Ogre
Privātmāja
Estrich 80m2
Cementa maisi 25gab
22.08.2026</t>
  </si>
  <si>
    <t>WR-2026-0467</t>
  </si>
  <si>
    <t>18:09:25</t>
  </si>
  <si>
    <t>"Rozītes", Daugmales pagasts, ķekavas novads.
1.stāvs Estrich 200m2
Cementa maisi 87gab
24.08.2026</t>
  </si>
  <si>
    <t>WR-2026-0468</t>
  </si>
  <si>
    <t>17:23:22</t>
  </si>
  <si>
    <t>Balasta dambis 
6 stāvs
90 līmes 
24.08.26</t>
  </si>
  <si>
    <t>WR-2026-0469</t>
  </si>
  <si>
    <t>17:18:13</t>
  </si>
  <si>
    <t>00000889-PHOTO-2026-08-25-17-18-13.jpg</t>
  </si>
  <si>
    <t>"Rozītes", Daugmales pagasts, ķekavas novads.
1.stāvs Estrich 180m2 +liels slānis. 
Cementa maisi 105gab
25.08.2026 &lt;attached: 00000889-PHOTO-2026-08-25-17-18-13.jpg&gt;</t>
  </si>
  <si>
    <t>WR-2026-0470</t>
  </si>
  <si>
    <t>19:15:50</t>
  </si>
  <si>
    <t>Balasta dambis 
188 līmēs 
2,3.stavs
25.08.26</t>
  </si>
  <si>
    <t>WR-2026-0471</t>
  </si>
  <si>
    <t>16:37:36</t>
  </si>
  <si>
    <t>00000891-PHOTO-2026-08-26-16-37-36.jpg</t>
  </si>
  <si>
    <t>Spilvas iela 27, Rīga
6.stāvs, 3 dzīvokļi
Estrich 210m2+plēve
Cementa maisi 82gab
26.08. 2026 &lt;attached: 00000891-PHOTO-2026-08-26-16-37-36.jpg&gt;</t>
  </si>
  <si>
    <t>WR-2026-0472</t>
  </si>
  <si>
    <t>17:05:56</t>
  </si>
  <si>
    <t>Spilves iela 27 
1 stāvs koridors
57 līmes
26.08.26</t>
  </si>
  <si>
    <t>WR-2026-0473</t>
  </si>
  <si>
    <t>17:03:06</t>
  </si>
  <si>
    <t>Vaidavas iela 15 
Līme 49
26.08.26</t>
  </si>
  <si>
    <t>WR-2026-0474</t>
  </si>
  <si>
    <t>19:11:04</t>
  </si>
  <si>
    <t>Miera iela 54 
81 līme 
27.08.26</t>
  </si>
  <si>
    <t>WR-2026-0475</t>
  </si>
  <si>
    <t>18:18:23</t>
  </si>
  <si>
    <t>Vaidavas iela15, Rīga
2terases 82+72m2 7.stāvs Estrich.+plēve
Cementa maisi 49gab
27.08.2026</t>
  </si>
  <si>
    <t>WR-2026-0476</t>
  </si>
  <si>
    <t>18:01:26</t>
  </si>
  <si>
    <t>8,7 st</t>
  </si>
  <si>
    <t>Balasta dambis 
Koridors 
11,10,9,8,7 stāvs
104 līmes 
29.08.26</t>
  </si>
  <si>
    <t>WR-2026-0477</t>
  </si>
  <si>
    <t>18:09:35</t>
  </si>
  <si>
    <t>Čaka iela 133, Riga
Dzīvoklis 2.stāvs
TW 93m2
Līme 29gab
29.08.2026</t>
  </si>
  <si>
    <t>WR-2026-0478</t>
  </si>
  <si>
    <t>20:31:26</t>
  </si>
  <si>
    <t>Hipokrātu iela 205m2 estrich 45maisi cem.</t>
  </si>
  <si>
    <t>WR-2026-0479</t>
  </si>
  <si>
    <t>20:30:17</t>
  </si>
  <si>
    <t>Spilves ielas koridors</t>
  </si>
  <si>
    <t>Spilves ielas koridors 50m2 TB</t>
  </si>
  <si>
    <t>WR-2026-0480</t>
  </si>
  <si>
    <t>17:18:30</t>
  </si>
  <si>
    <t>00000906-PHOTO-2026-08-30-17-18-30.jpg</t>
  </si>
  <si>
    <t>"Rozītes", Daugmales pagasts, ķekavas novads.
Ar zaļu krāsu. 
1.stāvs Estrich 244m2 +liels slānis. 10-11cm
Cementa maisi 134gab
30.08.2026 &lt;attached: 00000906-PHOTO-2026-08-30-17-18-30.jpg&gt;</t>
  </si>
  <si>
    <t>WR-2026-0481</t>
  </si>
  <si>
    <t>14:34:09</t>
  </si>
  <si>
    <t>Čaka iela 133, Riga
Dzīvoklis 2.stāvs
Estrich 93m2
Cementa maisi 34gab
31.08.2026</t>
  </si>
  <si>
    <t>WR-2026-0482</t>
  </si>
  <si>
    <t>17:00:13</t>
  </si>
  <si>
    <t>Ralfs / Vilcejs RICIJA BRIGĀDE</t>
  </si>
  <si>
    <t>Hipokrātu iela 205m2 45maisi 
30mm-60mm
29.08</t>
  </si>
  <si>
    <t>WR-2026-0483</t>
  </si>
  <si>
    <t>16:52:00</t>
  </si>
  <si>
    <t>* ⛽ degvielas patēriņu</t>
  </si>
  <si>
    <t>Lūgums obligāti katru dienu aizpildīt paveikto darbu lapas.
Papildus līdzšinējai informācijai, lūdzu, norādām arī:
* 📍 objekta/adreses vietu
* 📐 m²
* 📏 vidējo biezumu
* ⛽ degvielas patēriņu
* 🧱 cementa patēriņu
Jo precīzāk aizpildīsim, jo precīzāku statistiku iegūsim par reālo izmaksu.Gundaram vieglàk cīnīties par labākiem objektiem ( nevtādiem kā Uriekstes ielu ).Es personiski pārbaudīšu šī uzdevuma izpildi, nesarežģījam dzīvi!
20 000 m² ir liels apjoms — mums jāzina ne tikai, cik esam izdarījuši, bet arī cik reāli maksā katrs izdarītais m².
Paldies par disciplīnu!</t>
  </si>
  <si>
    <t>WR-2026-0484</t>
  </si>
  <si>
    <t>16:52:03</t>
  </si>
  <si>
    <t>Spilves 27
Estrich, plēve 147m². 6. stāvs pabeigts.</t>
  </si>
  <si>
    <t>WR-2026-0485</t>
  </si>
  <si>
    <t>21:25:32</t>
  </si>
  <si>
    <t>Spilves iela 27 
300 m2 
93 līmes 
31.08.26</t>
  </si>
  <si>
    <t>WR-2026-0486</t>
  </si>
  <si>
    <t>16:55:36</t>
  </si>
  <si>
    <t>Smilts līdzināšana 20-40mm</t>
  </si>
  <si>
    <t>Šmerļa iela 3
Smilts līdzināšana 20-40mm 
180m2 
31.08.</t>
  </si>
  <si>
    <t>WR-2026-0487</t>
  </si>
  <si>
    <t>15:49:52</t>
  </si>
  <si>
    <t>11 un 10 st</t>
  </si>
  <si>
    <t>Balasta dambis 2 
11 un 10 stāvs estrich 
70-80mm
70m2
28 maisi &lt;This message was edited&gt;</t>
  </si>
  <si>
    <t>WR-2026-0488</t>
  </si>
  <si>
    <t>17:19:53</t>
  </si>
  <si>
    <t>Ar dzeltano smilts. | Smilts līdzināšana 75m2 | Ar sarkano putuplasts. | Putuplasta ieklāšana 180m2</t>
  </si>
  <si>
    <t>00000930-PHOTO-2026-09-01-17-19-53.jpg</t>
  </si>
  <si>
    <t>Šmerļa iela 3
Ar dzeltano smilts. 
Smilts līdzināšana 75m2
Biezums 20-40mm
Ar sarkano putuplasts. 
Putuplasta ieklāšana 180m2 
1.09.2026 &lt;attached: 00000930-PHOTO-2026-09-01-17-19-53.jpg&gt;</t>
  </si>
  <si>
    <t>WR-2026-0489</t>
  </si>
  <si>
    <t>Ieraksti, kuri jāpārbauda pirms importa</t>
  </si>
  <si>
    <t>Šeit ir tikai zemākas pārliecības, rediģētas, neskaidra datuma/projekta vai ar laika tuvumu piesaistītas multivides rindas.</t>
  </si>
  <si>
    <t>Iemesls</t>
  </si>
  <si>
    <t>Multivide</t>
  </si>
  <si>
    <t>Visas 2026. gada WhatsApp ziņas</t>
  </si>
  <si>
    <t>Saglabātas 659 ziņas auditam. Klasifikācija ir automātiska un rediģējama.</t>
  </si>
  <si>
    <t>Ziņas Nr.</t>
  </si>
  <si>
    <t>Klasifikācija</t>
  </si>
  <si>
    <t>Iespējamais projekts</t>
  </si>
  <si>
    <t>Rediģēta</t>
  </si>
  <si>
    <t>Pilns avota teksts</t>
  </si>
  <si>
    <t>20:08:08</t>
  </si>
  <si>
    <t>Instrukcija / administrācija</t>
  </si>
  <si>
    <t>Nē</t>
  </si>
  <si>
    <t>Sveiciens visiem jaunajā gadā! Rītdienas darba dienu pārceļam uz 10.01 vai 17.01, lai visiem ražīgs jaunais gads! 🥳</t>
  </si>
  <si>
    <t>Iespējams dienas ieraksts</t>
  </si>
  <si>
    <t>Jā</t>
  </si>
  <si>
    <t>19:04:15</t>
  </si>
  <si>
    <t>Datuma turpinājums</t>
  </si>
  <si>
    <t>12.01.26</t>
  </si>
  <si>
    <t>11:13:21</t>
  </si>
  <si>
    <t>Dzēsta ziņa</t>
  </si>
  <si>
    <t>This message was deleted</t>
  </si>
  <si>
    <t>This message was deleted.</t>
  </si>
  <si>
    <t>11:13:32</t>
  </si>
  <si>
    <t>16:12:11</t>
  </si>
  <si>
    <t>Labdien! atgādinu par šo. Ņemot vērā situāciju Barona ielā, domāju ka Estrich brigādēm vajadzētu strādāt arī 6dien</t>
  </si>
  <si>
    <t>08:05:49</t>
  </si>
  <si>
    <t>Multivide jāpārskata</t>
  </si>
  <si>
    <t>00000297-PHOTO-2026-01-20-08-05-49.jpg</t>
  </si>
  <si>
    <t>Labrīt. &lt;attached: 00000297-PHOTO-2026-01-20-08-05-49.jpg&gt;</t>
  </si>
  <si>
    <t>09:40:58</t>
  </si>
  <si>
    <t>00000299-PHOTO-2026-01-21-09-40-58.jpg</t>
  </si>
  <si>
    <t>Paldies par lieliski sniegto informāciju. Šādi ieraksti ir ļoti labi. 💪
bet tagad iesim vienu solīti uz priekšu. Lielajos projektos nepieciešams OBLIGĀTI klāt plānu ar apvilktu zonu kurā veikti darbi. 
tas nepieciešams jo mums katru dienu jāraksta BIS (būvdarbu žurnāls) un no šīm izpildshēmām arī rēķinās jŪsu atalgojumu. (m2 tā pat mēram, tikai lai salīdzinātu vai plāni atbilst dabā izdarītajam) &lt;attached: 00000299-PHOTO-2026-01-21-09-40-58.jpg&gt;</t>
  </si>
  <si>
    <t>09:41:17</t>
  </si>
  <si>
    <t>00000300-PHOTO-2026-01-21-09-41-17.jpg</t>
  </si>
  <si>
    <t>uz bildes var nerakstīt datumu, un m2, galvenais apvilkt zonu kas izdarīta un tektā tad raksta: 
16.01.2026 
Barona iela 
67m2
20 līmes &lt;attached: 00000300-PHOTO-2026-01-21-09-41-17.jpg&gt;</t>
  </si>
  <si>
    <t>09:41:53</t>
  </si>
  <si>
    <t>Konkurenti jau tā dara, tā kā tas nav tikai mūsu izdomājums</t>
  </si>
  <si>
    <t>09:55:29</t>
  </si>
  <si>
    <t>00000302-PHOTO-2026-01-21-09-55-29.jpg</t>
  </si>
  <si>
    <t>te kā lielajos objektos mums līgumā rakstīts, Mēs tikai tāpēc to prasam. Tikai kopīgi varam to izpildīt un saņemt naudu par paveikto. &lt;attached: 00000302-PHOTO-2026-01-21-09-55-29.jpg&gt;</t>
  </si>
  <si>
    <t>10:20:34</t>
  </si>
  <si>
    <t>Plānus nosūtīs Kristers pirms darbu uzsākšanas, norā'dis arī plānoto dienas apjomu kas jāsasniedz</t>
  </si>
  <si>
    <t>09:34:18</t>
  </si>
  <si>
    <t>Raivis /TW Vilcejs</t>
  </si>
  <si>
    <t>Cita sarakste</t>
  </si>
  <si>
    <t>Gundars TW Staravoitovs added Raivis /TW Vilcejs</t>
  </si>
  <si>
    <t>10:50:33</t>
  </si>
  <si>
    <t>Gundars TW Staravoitovs added Edijs Vinvalks Limeni</t>
  </si>
  <si>
    <t>Multivide piesaistīta ierakstam</t>
  </si>
  <si>
    <t>00000325-PHOTO-2026-02-03-18-35-59.jpg</t>
  </si>
  <si>
    <t>&lt;attached: 00000325-PHOTO-2026-02-03-18-35-59.jpg&gt;</t>
  </si>
  <si>
    <t>18:36:00</t>
  </si>
  <si>
    <t>00000326-PHOTO-2026-02-03-18-36-00.jpg</t>
  </si>
  <si>
    <t>&lt;attached: 00000326-PHOTO-2026-02-03-18-36-00.jpg&gt;</t>
  </si>
  <si>
    <t>00000329-PHOTO-2026-02-04-21-36-32.jpg</t>
  </si>
  <si>
    <t>00000330-PHOTO-2026-02-04-21-36-32.jpg</t>
  </si>
  <si>
    <t>&lt;attached: 00000330-PHOTO-2026-02-04-21-36-32.jpg&gt;</t>
  </si>
  <si>
    <t>00000331-PHOTO-2026-02-04-21-36-33.jpg</t>
  </si>
  <si>
    <t>&lt;attached: 00000331-PHOTO-2026-02-04-21-36-33.jpg&gt;</t>
  </si>
  <si>
    <t>00000342-PHOTO-2026-02-07-21-45-26.jpg</t>
  </si>
  <si>
    <t>00000343-PHOTO-2026-02-07-21-45-26.jpg</t>
  </si>
  <si>
    <t>&lt;attached: 00000343-PHOTO-2026-02-07-21-45-26.jpg&gt;</t>
  </si>
  <si>
    <t>22:05:42</t>
  </si>
  <si>
    <t>Lūdzu iezīmē plānā kas tika izdarīts, tas svarīgi man.🙏</t>
  </si>
  <si>
    <t>09:06:40</t>
  </si>
  <si>
    <t>Gundars TW Staravoitovs added Kristers Cebulis</t>
  </si>
  <si>
    <t>09:16:14</t>
  </si>
  <si>
    <t>00000356-PHOTO-2026-02-12-09-16-14.jpg</t>
  </si>
  <si>
    <t>Rolis TW 2dien un 3dien iepūstās zonas Dārzciema ielā 86 , 2 stāvs &lt;attached: 00000356-PHOTO-2026-02-12-09-16-14.jpg&gt;</t>
  </si>
  <si>
    <t>09:17:12</t>
  </si>
  <si>
    <t>00000357-PHOTO-2026-02-12-09-17-12.jpg</t>
  </si>
  <si>
    <t>Rolis TW , 1dien (09.02.26) iepūstās zonas , Dārzciema iela 86  3 stāvs . &lt;attached: 00000357-PHOTO-2026-02-12-09-17-12.jpg&gt;</t>
  </si>
  <si>
    <t>18:37:37</t>
  </si>
  <si>
    <t>cik m2?</t>
  </si>
  <si>
    <t>18:51:45</t>
  </si>
  <si>
    <t>&lt;attached: 00000363-PHOTO-2026-02-12-18-51-45.jpg&gt;</t>
  </si>
  <si>
    <t>18:52:38</t>
  </si>
  <si>
    <t>12.02.26</t>
  </si>
  <si>
    <t>21:26:18</t>
  </si>
  <si>
    <t>&lt;attached: 00000372-PHOTO-2026-02-13-21-26-18.jpg&gt;</t>
  </si>
  <si>
    <t>21:03:01</t>
  </si>
  <si>
    <t>Lubāna</t>
  </si>
  <si>
    <t>21:03:12</t>
  </si>
  <si>
    <t>Objekts pabeigts</t>
  </si>
  <si>
    <t>08:05:54</t>
  </si>
  <si>
    <t>&lt;attached: 00000405-PHOTO-2026-02-24-08-05-54.jpg&gt;</t>
  </si>
  <si>
    <t>08:06:37</t>
  </si>
  <si>
    <t>4 stāvs</t>
  </si>
  <si>
    <t>15:17:20</t>
  </si>
  <si>
    <t>Gundars TW Staravoitovs added Gvido /estrich Vilcejs LIMENI</t>
  </si>
  <si>
    <t>20:17:33</t>
  </si>
  <si>
    <t>Bērzaunes iela 15 , rīga</t>
  </si>
  <si>
    <t>20:57:22</t>
  </si>
  <si>
    <t>00000420-PHOTO-2026-02-25-20-57-22.jpg</t>
  </si>
  <si>
    <t>&lt;attached: 00000420-PHOTO-2026-02-25-20-57-22.jpg&gt;</t>
  </si>
  <si>
    <t>20:57:23</t>
  </si>
  <si>
    <t>00000421-PHOTO-2026-02-25-20-57-23.jpg</t>
  </si>
  <si>
    <t>&lt;attached: 00000421-PHOTO-2026-02-25-20-57-23.jpg&gt;</t>
  </si>
  <si>
    <t>20:57:53</t>
  </si>
  <si>
    <t>4,5 stāvs</t>
  </si>
  <si>
    <t>22:49:51</t>
  </si>
  <si>
    <t>00000424-PHOTO-2026-02-25-22-49-52.jpg</t>
  </si>
  <si>
    <t>00000425-PHOTO-2026-02-25-22-49-52.jpg</t>
  </si>
  <si>
    <t>&lt;attached: 00000425-PHOTO-2026-02-25-22-49-52.jpg&gt;</t>
  </si>
  <si>
    <t>14:09:29</t>
  </si>
  <si>
    <t>00000426-PHOTO-2026-02-26-14-09-29.jpg</t>
  </si>
  <si>
    <t>Barona iela 119
1. stāvs +kāpņu telpa. 
TW130m2
Līme28maisi
26.02.2026 &lt;attached: 00000426-PHOTO-2026-02-26-14-09-29.jpg&gt;</t>
  </si>
  <si>
    <t>07:28:43</t>
  </si>
  <si>
    <t>00000428-PHOTO-2026-02-27-07-28-43.jpg</t>
  </si>
  <si>
    <t>&lt;attached: 00000428-PHOTO-2026-02-27-07-28-43.jpg&gt;</t>
  </si>
  <si>
    <t>07:28:44</t>
  </si>
  <si>
    <t>00000429-PHOTO-2026-02-27-07-28-44.jpg</t>
  </si>
  <si>
    <t>&lt;attached: 00000429-PHOTO-2026-02-27-07-28-44.jpg&gt;</t>
  </si>
  <si>
    <t>07:30:37</t>
  </si>
  <si>
    <t>2 stāvs</t>
  </si>
  <si>
    <t>00000433-PHOTO-2026-02-27-16-13-09.jpg</t>
  </si>
  <si>
    <t>&lt;attached: 00000433-PHOTO-2026-02-27-16-13-09.jpg&gt;</t>
  </si>
  <si>
    <t>16:13:10</t>
  </si>
  <si>
    <t>&lt;attached: 00000435-PHOTO-2026-02-27-16-13-10.jpg&gt;</t>
  </si>
  <si>
    <t>16:13:27</t>
  </si>
  <si>
    <t>16:13:39</t>
  </si>
  <si>
    <t>3 stāvs</t>
  </si>
  <si>
    <t>16:36:46</t>
  </si>
  <si>
    <t>Kāds bija slānis?</t>
  </si>
  <si>
    <t>16:37:50</t>
  </si>
  <si>
    <t>~ 6cm</t>
  </si>
  <si>
    <t>00000442-PHOTO-2026-02-28-17-01-00.jpg</t>
  </si>
  <si>
    <t>&lt;attached: 00000442-PHOTO-2026-02-28-17-01-00.jpg&gt;</t>
  </si>
  <si>
    <t>19:54:23</t>
  </si>
  <si>
    <t>00000445-PHOTO-2026-02-28-19-54-24.jpg</t>
  </si>
  <si>
    <t>00000446-PHOTO-2026-02-28-19-54-24.jpg</t>
  </si>
  <si>
    <t>&lt;attached: 00000446-PHOTO-2026-02-28-19-54-24.jpg&gt;</t>
  </si>
  <si>
    <t>18:58:02</t>
  </si>
  <si>
    <t>00000451-PHOTO-2026-03-02-18-58-02.jpg</t>
  </si>
  <si>
    <t>&lt;attached: 00000451-PHOTO-2026-03-02-18-58-02.jpg&gt;</t>
  </si>
  <si>
    <t>3.st</t>
  </si>
  <si>
    <t>20:08:40</t>
  </si>
  <si>
    <t>20:08:41</t>
  </si>
  <si>
    <t>00000459-PHOTO-2026-03-02-20-10-19.jpg</t>
  </si>
  <si>
    <t>00000460-PHOTO-2026-03-02-20-10-19.jpg</t>
  </si>
  <si>
    <t>&lt;attached: 00000460-PHOTO-2026-03-02-20-10-19.jpg&gt;</t>
  </si>
  <si>
    <t>14:26:11</t>
  </si>
  <si>
    <t>00000465-PHOTO-2026-03-04-14-26-11.jpg</t>
  </si>
  <si>
    <t>Iecava, Raiņa iela 2
- Iziets cauri 18 dzīvokļiem, saslīpēts nepieciešamajās vietās.
Apstiprināts. &lt;attached: 00000465-PHOTO-2026-03-04-14-26-11.jpg&gt;</t>
  </si>
  <si>
    <t>14:26:13</t>
  </si>
  <si>
    <t>00000466-PHOTO-2026-03-04-14-26-13.jpg</t>
  </si>
  <si>
    <t>Iecava, Raiņa iela 2
- Iziets cauri 18 dzīvokļiem, saslīpēts nepieciešamajās vietās.
Apstiprināts. &lt;attached: 00000466-PHOTO-2026-03-04-14-26-13.jpg&gt;</t>
  </si>
  <si>
    <t>19:17:42</t>
  </si>
  <si>
    <t>00000470-PHOTO-2026-03-04-19-17-43.jpg</t>
  </si>
  <si>
    <t>00000471-PHOTO-2026-03-04-19-17-43.jpg</t>
  </si>
  <si>
    <t>&lt;attached: 00000471-PHOTO-2026-03-04-19-17-43.jpg&gt;</t>
  </si>
  <si>
    <t>19:22:35</t>
  </si>
  <si>
    <t>59 maisi</t>
  </si>
  <si>
    <t>20:49:34</t>
  </si>
  <si>
    <t>3 ,4 stāvs pabeigts</t>
  </si>
  <si>
    <t>16:35:22</t>
  </si>
  <si>
    <t>00000478-PHOTO-2026-03-05-16-35-22.jpg</t>
  </si>
  <si>
    <t>&lt;attached: 00000478-PHOTO-2026-03-05-16-35-22.jpg&gt;</t>
  </si>
  <si>
    <t>16:35:23</t>
  </si>
  <si>
    <t>00000479-PHOTO-2026-03-05-16-35-23.jpg</t>
  </si>
  <si>
    <t>&lt;attached: 00000479-PHOTO-2026-03-05-16-35-23.jpg&gt;</t>
  </si>
  <si>
    <t>16:35:29</t>
  </si>
  <si>
    <t>VC4:
*3. stāvs*
- Dzeltens iekrāsots - Estrich šuves sazāģētas + aiztaisītas ciet ar epoxy.
- ⁠Ap stāvu nogrieztas estrich izolācijas lentas
*4. stāvs*
- Sarkans iekrāsots - Estrich šuves sazāģētas</t>
  </si>
  <si>
    <t>15:58:18</t>
  </si>
  <si>
    <t>15:58:19</t>
  </si>
  <si>
    <t>00000486-PHOTO-2026-03-06-15-58-19.jpg</t>
  </si>
  <si>
    <t>&lt;attached: 00000486-PHOTO-2026-03-06-15-58-19.jpg&gt;</t>
  </si>
  <si>
    <t>00000487-PHOTO-2026-03-06-15-58-19.jpg</t>
  </si>
  <si>
    <t>&lt;attached: 00000487-PHOTO-2026-03-06-15-58-19.jpg&gt;</t>
  </si>
  <si>
    <t>15:58:46</t>
  </si>
  <si>
    <t>VC4
*4. stāvs*
- Dzeltens iekrāsots - Estrich šuves aiztaisītas ciet ar epoxy
- ⁠Sarkans iekrāsots - Estrich šuves sazāģetas
- ⁠Fieldwire aizpildīšana &lt;This message was edited&gt;</t>
  </si>
  <si>
    <t>16:42:01</t>
  </si>
  <si>
    <t>Cik m2 vakar uztaisījāt?</t>
  </si>
  <si>
    <t>16:43:24</t>
  </si>
  <si>
    <t>pepe,taker plaksnes</t>
  </si>
  <si>
    <t>00000491-PHOTO-2026-03-06-16-43-24.jpg</t>
  </si>
  <si>
    <t>06.03 pepe,taker plaksnes.
05.03 pepe taker plaksnes
Barona iela bumbas 5st &lt;attached: 00000491-PHOTO-2026-03-06-16-43-24.jpg&gt;</t>
  </si>
  <si>
    <t>16:45:18</t>
  </si>
  <si>
    <t>Cik palika neuztaisīts?</t>
  </si>
  <si>
    <t>09:12:44</t>
  </si>
  <si>
    <t>&lt;attached: 00000501-PHOTO-2026-03-10-09-12-44.jpg&gt;</t>
  </si>
  <si>
    <t>17:11:28</t>
  </si>
  <si>
    <t>&lt;attached: 00000503-PHOTO-2026-03-10-17-11-28.jpg&gt;</t>
  </si>
  <si>
    <t>16:56:41</t>
  </si>
  <si>
    <t>Pieliec lūdzu shēmu, lai zinu kurās vietās ir sapūsts</t>
  </si>
  <si>
    <t>Pieliec lūdzu shēmu, lai zinu kurās vietās ir sapūsts.</t>
  </si>
  <si>
    <t>16:56:54</t>
  </si>
  <si>
    <t>&lt;attached: 00000508-PHOTO-2026-03-11-16-56-54.jpg&gt;</t>
  </si>
  <si>
    <t>17:14:15</t>
  </si>
  <si>
    <t>00000511-PHOTO-2026-03-11-17-14-15.jpg</t>
  </si>
  <si>
    <t>Dzirciema 16, RSU 1/2
2. stāvs
- Ar būvdarbu vadītāju izrunāt grīdnieku niances
- ⁠Estrich jaunu šuvju zaģēšana
- ⁠Estrich deformācijas pēdu slīpēšana
- ⁠Estrich malu izkalšana un sabetonēšana
- ⁠Fieldwire aizpildīšana
- ⁠Estrich slīpēšana ar dimanta ripu
+ NF-9221 izņemšana no autoservisa
+ Barona 112 dizainu grīdas apskate &lt;attached: 00000511-PHOTO-2026-03-11-17-14-15.jpg&gt;</t>
  </si>
  <si>
    <t>19:12:24</t>
  </si>
  <si>
    <t>11.03</t>
  </si>
  <si>
    <t>15:15:16</t>
  </si>
  <si>
    <t>00000518-PHOTO-2026-03-12-15-15-16.jpg</t>
  </si>
  <si>
    <t>Dzirciema 16, RSU
2. stāvs
- Sazāģetas un iestrādātas ar epoxy šuves visas nepieciešamās (sarkanās līnijas)
- ⁠izkalts estrich un iestrādāts ar sakret betonu (zils) &lt;attached: 00000518-PHOTO-2026-03-12-15-15-16.jpg&gt;</t>
  </si>
  <si>
    <t>18:17:22</t>
  </si>
  <si>
    <t>18:19:04</t>
  </si>
  <si>
    <t>&lt;attached: 00000521-PHOTO-2026-03-12-18-19-04.jpg&gt;</t>
  </si>
  <si>
    <t>19:33:27</t>
  </si>
  <si>
    <t>00000522-PHOTO-2026-03-12-19-33-27.jpg</t>
  </si>
  <si>
    <t>&lt;attached: 00000522-PHOTO-2026-03-12-19-33-27.jpg&gt;</t>
  </si>
  <si>
    <t>19:34:51</t>
  </si>
  <si>
    <t>&lt;attached: 00000524-PHOTO-2026-03-12-19-34-51.jpg&gt;</t>
  </si>
  <si>
    <t>00000528-PHOTO-2026-03-13-21-11-09.jpg</t>
  </si>
  <si>
    <t>21:11:10</t>
  </si>
  <si>
    <t>00000529-PHOTO-2026-03-13-21-11-10.jpg</t>
  </si>
  <si>
    <t>&lt;attached: 00000529-PHOTO-2026-03-13-21-11-10.jpg&gt;</t>
  </si>
  <si>
    <t>21:21:18</t>
  </si>
  <si>
    <t>00000532-PHOTO-2026-03-13-21-21-19.jpg</t>
  </si>
  <si>
    <t>00000533-PHOTO-2026-03-13-21-21-19.jpg</t>
  </si>
  <si>
    <t>&lt;attached: 00000533-PHOTO-2026-03-13-21-21-19.jpg&gt;</t>
  </si>
  <si>
    <t>16:34:01</t>
  </si>
  <si>
    <t>16:34:02</t>
  </si>
  <si>
    <t>00000538-PHOTO-2026-03-17-16-34-02.jpg</t>
  </si>
  <si>
    <t>&lt;attached: 00000538-PHOTO-2026-03-17-16-34-02.jpg&gt;</t>
  </si>
  <si>
    <t>16:34:03</t>
  </si>
  <si>
    <t>00000539-PHOTO-2026-03-17-16-34-03.jpg</t>
  </si>
  <si>
    <t>&lt;attached: 00000539-PHOTO-2026-03-17-16-34-03.jpg&gt;</t>
  </si>
  <si>
    <t>00000540-PHOTO-2026-03-17-16-34-03.jpg</t>
  </si>
  <si>
    <t>&lt;attached: 00000540-PHOTO-2026-03-17-16-34-03.jpg&gt;</t>
  </si>
  <si>
    <t>20:23:39</t>
  </si>
  <si>
    <t>Liepāja cukura iela 
117 limēs
19.03.26</t>
  </si>
  <si>
    <t>21:57:41</t>
  </si>
  <si>
    <t>16:22:27</t>
  </si>
  <si>
    <t>16:22:29</t>
  </si>
  <si>
    <t>00000569-PHOTO-2026-03-30-16-22-29.jpg</t>
  </si>
  <si>
    <t>&lt;attached: 00000569-PHOTO-2026-03-30-16-22-29.jpg&gt;</t>
  </si>
  <si>
    <t>00000570-PHOTO-2026-03-30-16-22-29.jpg</t>
  </si>
  <si>
    <t>&lt;attached: 00000570-PHOTO-2026-03-30-16-22-29.jpg&gt;</t>
  </si>
  <si>
    <t>16:22:34</t>
  </si>
  <si>
    <t>Uriekstes iela 42B
*1. stāvs*
- Perimetra izolācijas lenti nogriezt līdz ar estrich, bet plēvi augstāk atstāt (zaļš) + musaru savākt
*2. stāvs*
- Plēves izklāšana/griešana/līmēšana (dzeltens), armatūras griešana/siešana/iestrāde (zils)
+ Dārzciema 86 pārbaudīt virtuves zonā līmeņus flīzētājiem &lt;This message was edited&gt;</t>
  </si>
  <si>
    <t>00000576-PHOTO-2026-03-31-20-37-59.jpg</t>
  </si>
  <si>
    <t>20:38:00</t>
  </si>
  <si>
    <t>00000577-PHOTO-2026-03-31-20-38-00.jpg</t>
  </si>
  <si>
    <t>&lt;attached: 00000577-PHOTO-2026-03-31-20-38-00.jpg&gt;</t>
  </si>
  <si>
    <t>12:57:37</t>
  </si>
  <si>
    <t>Kāds ir atālums starp skavām?</t>
  </si>
  <si>
    <t>00000592-PHOTO-2026-04-09-22-36-34.jpg</t>
  </si>
  <si>
    <t>22:36:35</t>
  </si>
  <si>
    <t>00000593-PHOTO-2026-04-09-22-36-35.jpg</t>
  </si>
  <si>
    <t>&lt;attached: 00000593-PHOTO-2026-04-09-22-36-35.jpg&gt;</t>
  </si>
  <si>
    <t>15:07:47</t>
  </si>
  <si>
    <t>Sabile, Ventspils 21a</t>
  </si>
  <si>
    <t>00000595-PHOTO-2026-04-10-15-07-47.jpg</t>
  </si>
  <si>
    <t>Sabile, Ventspils 21a
- 3-ciklu slīpēšana
- ⁠Mapei Lithium Hard
- ⁠Mapei Lucida &lt;attached: 00000595-PHOTO-2026-04-10-15-07-47.jpg&gt;</t>
  </si>
  <si>
    <t>14:33:34</t>
  </si>
  <si>
    <t>00000608-PHOTO-2026-04-15-14-33-34.jpg</t>
  </si>
  <si>
    <t>Iecava, Raiņa 2a - nodots.
3 stāvi, 27 dzīvokļi - kur nepieciešams tur epoxy iestradāts priekš linolejniekiem.
9kg Rapid Epokate &lt;attached: 00000608-PHOTO-2026-04-15-14-33-34.jpg&gt;</t>
  </si>
  <si>
    <t>13:14:45</t>
  </si>
  <si>
    <t>&lt;attached: 00000615-PHOTO-2026-04-17-13-14-45.jpg&gt;</t>
  </si>
  <si>
    <t>19:52:49</t>
  </si>
  <si>
    <t>1 stāvs</t>
  </si>
  <si>
    <t>19:53:23</t>
  </si>
  <si>
    <t>&lt;attached: 00000618-PHOTO-2026-04-17-19-53-23.jpg&gt;</t>
  </si>
  <si>
    <t>00000625-PHOTO-2026-04-21-18-50-16.jpg</t>
  </si>
  <si>
    <t>00000626-PHOTO-2026-04-21-18-50-16.jpg</t>
  </si>
  <si>
    <t>&lt;attached: 00000626-PHOTO-2026-04-21-18-50-16.jpg&gt;</t>
  </si>
  <si>
    <t>18:32:33</t>
  </si>
  <si>
    <t>Uriekstes iela 
1 stāvs 
156 maisi
23.04.26</t>
  </si>
  <si>
    <t>21:11:30</t>
  </si>
  <si>
    <t>16:41:00</t>
  </si>
  <si>
    <t>Vai nav jāuzsūta epoksids no Epocat?</t>
  </si>
  <si>
    <t>16:42:34</t>
  </si>
  <si>
    <t>Jauna palete šodien atnāca ar epoxy</t>
  </si>
  <si>
    <t>16:24:02</t>
  </si>
  <si>
    <t>16:24:03</t>
  </si>
  <si>
    <t>00000641-PHOTO-2026-04-25-16-24-03.jpg</t>
  </si>
  <si>
    <t>&lt;attached: 00000641-PHOTO-2026-04-25-16-24-03.jpg&gt;</t>
  </si>
  <si>
    <t>00000642-PHOTO-2026-04-25-16-24-03.jpg</t>
  </si>
  <si>
    <t>&lt;attached: 00000642-PHOTO-2026-04-25-16-24-03.jpg&gt;</t>
  </si>
  <si>
    <t>00000651-PHOTO-2026-04-28-17-10-47.jpg</t>
  </si>
  <si>
    <t>00000652-PHOTO-2026-04-28-17-10-47.jpg</t>
  </si>
  <si>
    <t>&lt;attached: 00000652-PHOTO-2026-04-28-17-10-47.jpg&gt;</t>
  </si>
  <si>
    <t>18:02:11</t>
  </si>
  <si>
    <t>00000654-PHOTO-2026-04-29-18-02-12.jpg</t>
  </si>
  <si>
    <t>00000655-PHOTO-2026-04-29-18-02-12.jpg</t>
  </si>
  <si>
    <t>&lt;attached: 00000655-PHOTO-2026-04-29-18-02-12.jpg&gt;</t>
  </si>
  <si>
    <t>14:16:02</t>
  </si>
  <si>
    <t>LF cik šodien ielējāt m2?</t>
  </si>
  <si>
    <t>00000663-PHOTO-2026-05-06-14-16-02.jpg</t>
  </si>
  <si>
    <t>LF cik šodien ielējāt m2? &lt;attached: 00000663-PHOTO-2026-05-06-14-16-02.jpg&gt;</t>
  </si>
  <si>
    <t>14:55:09</t>
  </si>
  <si>
    <t>Uriekstes 42B, 2. stāvs
Izkalts/izvākts/sasūkts estrich vietas</t>
  </si>
  <si>
    <t>00000676-PHOTO-2026-05-11-12-01-42.jpg</t>
  </si>
  <si>
    <t>12:01:43</t>
  </si>
  <si>
    <t>00000677-PHOTO-2026-05-11-12-01-43.jpg</t>
  </si>
  <si>
    <t>&lt;attached: 00000677-PHOTO-2026-05-11-12-01-43.jpg&gt;</t>
  </si>
  <si>
    <t>19:53:10</t>
  </si>
  <si>
    <t>09:13:53</t>
  </si>
  <si>
    <t>09:16:47</t>
  </si>
  <si>
    <t>00000718-VIDEO-2026-05-27-09-16-47.mp4</t>
  </si>
  <si>
    <t>*25.*, *26.* 05.2026
VC4, B119, 1. stāvs
- remontēt/saslīpēt mūsu estrich ap gaisa kastēm - līmenī ar nepieciešamo augstumu priekš flīzētājiem &lt;attached: 00000718-VIDEO-2026-05-27-09-16-47.mp4&gt;</t>
  </si>
  <si>
    <t>09:17:43</t>
  </si>
  <si>
    <t>*25.*, *26.* 05.2026
VC4, B119, 1. stāvs
- remontēt/saslīpēt mūsu estrich ap gaisa kastēm - līmenī ar nepieciešamo augstumu priekš flīzētājiem video omitted</t>
  </si>
  <si>
    <t>08:11:16</t>
  </si>
  <si>
    <t>00000727-PHOTO-2026-06-01-08-11-16.jpg</t>
  </si>
  <si>
    <t>Berzaunes 15 ieklāts 152 dz. &lt;attached: 00000727-PHOTO-2026-06-01-08-11-16.jpg&gt;</t>
  </si>
  <si>
    <t>00000728-PHOTO-2026-06-01-08-11-16.jpg</t>
  </si>
  <si>
    <t>&lt;attached: 00000728-PHOTO-2026-06-01-08-11-16.jpg&gt;</t>
  </si>
  <si>
    <t>15:40:14</t>
  </si>
  <si>
    <t>15:40:15</t>
  </si>
  <si>
    <t>00000735-PHOTO-2026-06-03-15-40-15.jpg</t>
  </si>
  <si>
    <t>&lt;attached: 00000735-PHOTO-2026-06-03-15-40-15.jpg&gt;</t>
  </si>
  <si>
    <t>15:40:16</t>
  </si>
  <si>
    <t>00000736-PHOTO-2026-06-03-15-40-16.jpg</t>
  </si>
  <si>
    <t>&lt;attached: 00000736-PHOTO-2026-06-03-15-40-16.jpg&gt;</t>
  </si>
  <si>
    <t>15:40:26</t>
  </si>
  <si>
    <t>*03.06.2026*
VC4, B119
- epoxy darbi viss pagrabs + 1st lielā telpa
- ⁠fieldwire aizpildišana</t>
  </si>
  <si>
    <t>17:24:47</t>
  </si>
  <si>
    <t>08:40:53</t>
  </si>
  <si>
    <t>Ivars Thermowhite Priv.</t>
  </si>
  <si>
    <t>Gundars TW Staravoitovs added Ivars Thermowhite Priv.</t>
  </si>
  <si>
    <t>10:05:29</t>
  </si>
  <si>
    <t>10:06:14</t>
  </si>
  <si>
    <t>*Ozolnieki "Terazzo"*</t>
  </si>
  <si>
    <t>00000771-PHOTO-2026-07-01-15-45-26.jpg</t>
  </si>
  <si>
    <t>*Ozolnieki "Terazzo"*
19.06.2026
1. LOBA StyleBase 5L - 2gb
2. LOBA 2K Resist 5L - 4gb
3. LOBA Care Remover 1L - 1gb
4. LOBATOOL Micro 120 - 2gb
5. LOBATOOL DE Luxe - 2gb
6. LOBA specmaisi - 3gb
7. LOBA specspainis - 1gb
8. Abrassive Superpad 180" - 4gb
- *DĀVANA* LOBA Spray Mop set - 1gb &lt;attached: 00000771-PHOTO-2026-07-01-15-45-26.jpg&gt;</t>
  </si>
  <si>
    <t>15:45:34</t>
  </si>
  <si>
    <t>00000772-PHOTO-2026-07-01-15-45-34.jpg</t>
  </si>
  <si>
    <t>*Ozolnieki "Terazzo"*
19.06.2026
1. LOBA StyleBase 5L - 2gb
2. LOBA 2K Resist 5L - 4gb
3. LOBA Care Remover 1L - 1gb
4. LOBATOOL Micro 120 - 2gb
5. LOBATOOL DE Luxe - 2gb
6. LOBA specmaisi - 3gb
7. LOBA specspainis - 1gb
8. Abrassive Superpad 180" - 4gb
- *DĀVANA* LOBA Spray Mop set - 1gb &lt;attached: 00000772-PHOTO-2026-07-01-15-45-34.jpg&gt;</t>
  </si>
  <si>
    <t>15:46:05</t>
  </si>
  <si>
    <t>*Tīnuži*</t>
  </si>
  <si>
    <t>00000773-PHOTO-2026-07-01-15-46-05.jpg</t>
  </si>
  <si>
    <t>*Tīnuži*
01.07.2026
1. LOBA StyleBase 5L - 1.5gb
2. LOBA 2K Resist 5L - 2gb
3. LOBA Care Remover 1L - 1gb
4. LOBATOOL Micro 120 - 2gb
5. LOBATOOL DE Luxe - 2gb
6. LOBA specmaisi - 3gb
7. Abrassive Superpad 180" - 4gb
8. Izejmateriāli - 20€
- *DĀVANA* LOBA Spray Mop set - 1gb &lt;attached: 00000773-PHOTO-2026-07-01-15-46-05.jpg&gt;</t>
  </si>
  <si>
    <t>15:46:09</t>
  </si>
  <si>
    <t>00000774-PHOTO-2026-07-01-15-46-09.jpg</t>
  </si>
  <si>
    <t>*Tīnuži*
01.07.2026
1. LOBA StyleBase 5L - 1.5gb
2. LOBA 2K Resist 5L - 2gb
3. LOBA Care Remover 1L - 1gb
4. LOBATOOL Micro 120 - 2gb
5. LOBATOOL DE Luxe - 2gb
6. LOBA specmaisi - 3gb
7. Abrassive Superpad 180" - 4gb
8. Izejmateriāli - 20€
- *DĀVANA* LOBA Spray Mop set - 1gb &lt;attached: 00000774-PHOTO-2026-07-01-15-46-09.jpg&gt;</t>
  </si>
  <si>
    <t>18:59:31</t>
  </si>
  <si>
    <t>18:59:32</t>
  </si>
  <si>
    <t>00000780-PHOTO-2026-07-03-18-59-32.jpg</t>
  </si>
  <si>
    <t>&lt;attached: 00000780-PHOTO-2026-07-03-18-59-32.jpg&gt;</t>
  </si>
  <si>
    <t>00000781-PHOTO-2026-07-03-18-59-32.jpg</t>
  </si>
  <si>
    <t>&lt;attached: 00000781-PHOTO-2026-07-03-18-59-32.jpg&gt;</t>
  </si>
  <si>
    <t>18:59:39</t>
  </si>
  <si>
    <t>03.07.2026, Uriekstes 42B
-3 slīpēšanas diski</t>
  </si>
  <si>
    <t>19:11:52</t>
  </si>
  <si>
    <t>19:11:53</t>
  </si>
  <si>
    <t>00000784-PHOTO-2026-07-04-19-11-53.jpg</t>
  </si>
  <si>
    <t>&lt;attached: 00000784-PHOTO-2026-07-04-19-11-53.jpg&gt;</t>
  </si>
  <si>
    <t>19:11:54</t>
  </si>
  <si>
    <t>00000785-PHOTO-2026-07-04-19-11-54.jpg</t>
  </si>
  <si>
    <t>&lt;attached: 00000785-PHOTO-2026-07-04-19-11-54.jpg&gt;</t>
  </si>
  <si>
    <t>19:12:13</t>
  </si>
  <si>
    <t>04.07.2026, Uriekstes 42B
+1 palīgs uz darbiem</t>
  </si>
  <si>
    <t>16:29:28</t>
  </si>
  <si>
    <t>16:29:30</t>
  </si>
  <si>
    <t>00000788-PHOTO-2026-07-05-16-29-30.jpg</t>
  </si>
  <si>
    <t>&lt;attached: 00000788-PHOTO-2026-07-05-16-29-30.jpg&gt;</t>
  </si>
  <si>
    <t>16:29:33</t>
  </si>
  <si>
    <t>00000789-PHOTO-2026-07-05-16-29-33.jpg</t>
  </si>
  <si>
    <t>&lt;attached: 00000789-PHOTO-2026-07-05-16-29-33.jpg&gt;</t>
  </si>
  <si>
    <t>16:29:47</t>
  </si>
  <si>
    <t>05.07.2026, Uriekstes 42B
+1 palīgs uz darbiem</t>
  </si>
  <si>
    <t>17:14:39</t>
  </si>
  <si>
    <t>00000795-PHOTO-2026-07-06-23-04-44.jpg</t>
  </si>
  <si>
    <t>00000796-PHOTO-2026-07-06-23-04-44.jpg</t>
  </si>
  <si>
    <t>&lt;attached: 00000796-PHOTO-2026-07-06-23-04-44.jpg&gt;</t>
  </si>
  <si>
    <t>08:14:32</t>
  </si>
  <si>
    <t>Ikdiena paveiktais un izlietotais mat.</t>
  </si>
  <si>
    <t>You're now an admin</t>
  </si>
  <si>
    <t>08:24:55</t>
  </si>
  <si>
    <t>00000800-PHOTO-2026-07-08-08-24-56.jpg</t>
  </si>
  <si>
    <t>00000801-PHOTO-2026-07-08-08-24-56.jpg</t>
  </si>
  <si>
    <t>&lt;attached: 00000801-PHOTO-2026-07-08-08-24-56.jpg&gt;</t>
  </si>
  <si>
    <t>08:24:57</t>
  </si>
  <si>
    <t>00000802-PHOTO-2026-07-08-08-24-57.jpg</t>
  </si>
  <si>
    <t>&lt;attached: 00000802-PHOTO-2026-07-08-08-24-57.jpg&gt;</t>
  </si>
  <si>
    <t>08:48:32</t>
  </si>
  <si>
    <t>You removed Edijs Vinvalks</t>
  </si>
  <si>
    <t>08:48:44</t>
  </si>
  <si>
    <t>Kristers Jaunais Darbinieks.</t>
  </si>
  <si>
    <t>You removed Kristers Jaunais Darbinieks</t>
  </si>
  <si>
    <t>You removed Kristers Jaunais Darbinieks.</t>
  </si>
  <si>
    <t>08:48:57</t>
  </si>
  <si>
    <t>Dāvis Estrich Limeni Jaunā Brigāde left</t>
  </si>
  <si>
    <t>08:49:28</t>
  </si>
  <si>
    <t>You added Juris / Vilcējs LĪMENĪ</t>
  </si>
  <si>
    <t>19:23:24</t>
  </si>
  <si>
    <t>Zaube .zaubes pagasts cesu nov</t>
  </si>
  <si>
    <t>Zaube .zaubes pagasts cesu nov.</t>
  </si>
  <si>
    <t>07:54:08</t>
  </si>
  <si>
    <t>00000812-PHOTO-2026-07-10-07-54-08.jpg</t>
  </si>
  <si>
    <t>&lt;attached: 00000812-PHOTO-2026-07-10-07-54-08.jpg&gt;</t>
  </si>
  <si>
    <t>19:24:50</t>
  </si>
  <si>
    <t>Ulriekstes iela 42 .istradati 12 maisi ielieti visadi sikumi klata pleve un puķiks  .Juris .10.07.26</t>
  </si>
  <si>
    <t>11:56:30</t>
  </si>
  <si>
    <t>Raivo Estrich nr</t>
  </si>
  <si>
    <t>You added Raivo Estrich nr</t>
  </si>
  <si>
    <t>11:56:57</t>
  </si>
  <si>
    <t>You removed Juris / Vilcējs LĪMENĪ</t>
  </si>
  <si>
    <t>07:50:53</t>
  </si>
  <si>
    <t>Valdemārielas Terazzo, 24.07.2026</t>
  </si>
  <si>
    <t>Valdemārielas Terazzo, 24.07.2026
- Wakol Z625 - 25 x 25kg
- Wakol S25 -14 x 25kg
- ⁠ZDK Baltie oļi 03340 - 13 x 20kg
- ZDK Raibie oļi 03303 - 15 x 25kg
- ZDK Melnie oļi 03220 - 15 x 25kg</t>
  </si>
  <si>
    <t>17:06:31</t>
  </si>
  <si>
    <t>Preses nama kvartāls, Rīga
9.stāvs. 
Estrich77m2+plēve
7 tualetes.
Cementa maisi27 gab
27.07.2026</t>
  </si>
  <si>
    <t>19:21:08</t>
  </si>
  <si>
    <t>Cik vilvēki jūs bijāt?</t>
  </si>
  <si>
    <t>19:21:38</t>
  </si>
  <si>
    <t>3cilvēki💪</t>
  </si>
  <si>
    <t>09:38:24</t>
  </si>
  <si>
    <t>Māja Nr 1</t>
  </si>
  <si>
    <t>20:26:51</t>
  </si>
  <si>
    <t>Māja nr.1</t>
  </si>
  <si>
    <t>18:04:22</t>
  </si>
  <si>
    <t>Cik palika smilts?</t>
  </si>
  <si>
    <t>18:04:38</t>
  </si>
  <si>
    <t>Apmēram 4m3</t>
  </si>
  <si>
    <t>22:36:29</t>
  </si>
  <si>
    <t>Koridors</t>
  </si>
  <si>
    <t>Koridors 2,5 stāvs</t>
  </si>
  <si>
    <t>14:30:02</t>
  </si>
  <si>
    <t>00000875-PHOTO-2026-08-19-21-04-05.jpg</t>
  </si>
  <si>
    <t>21:04:07</t>
  </si>
  <si>
    <t>00000876-VIDEO-2026-08-19-21-04-07.mov</t>
  </si>
  <si>
    <t>&lt;attached: 00000876-VIDEO-2026-08-19-21-04-07.mov&gt;</t>
  </si>
  <si>
    <t>00000879-PHOTO-2026-08-20-15-45-26.jpg</t>
  </si>
  <si>
    <t>00000880-PHOTO-2026-08-20-15-45-26.jpg</t>
  </si>
  <si>
    <t>&lt;attached: 00000880-PHOTO-2026-08-20-15-45-26.jpg&gt;</t>
  </si>
  <si>
    <t>15:45:27</t>
  </si>
  <si>
    <t>00000881-VIDEO-2026-08-20-15-45-27.mov</t>
  </si>
  <si>
    <t>&lt;attached: 00000881-VIDEO-2026-08-20-15-45-27.mov&gt;</t>
  </si>
  <si>
    <t>13:27:36</t>
  </si>
  <si>
    <t>10:00 sākāt un jau 13:00 pabeidzāt?</t>
  </si>
  <si>
    <t>13:28:41</t>
  </si>
  <si>
    <t>Tieši tā! 💪</t>
  </si>
  <si>
    <t>16:37:58</t>
  </si>
  <si>
    <t>Cikos uzsākāt?</t>
  </si>
  <si>
    <t>16:38:22</t>
  </si>
  <si>
    <t>Sākām plk 11:00, jo grants kavējās. Beidzām darbu plk 16:00</t>
  </si>
  <si>
    <t>Sākām plk 11:00, jo grants kavējās. Beidzām darbu plk 16:00. &lt;This message was edited&gt;</t>
  </si>
  <si>
    <t>16:47:00</t>
  </si>
  <si>
    <t>Gundars TW Staravoitovs added Ralfs / Vilcejs RICIJA BRIGĀDE</t>
  </si>
  <si>
    <t>16:47:02</t>
  </si>
  <si>
    <t>17:15:10</t>
  </si>
  <si>
    <t>Cik jums ir līme smagajā?</t>
  </si>
  <si>
    <t>17:18:16</t>
  </si>
  <si>
    <t>14:51:55</t>
  </si>
  <si>
    <t>Vjačeslavs WA</t>
  </si>
  <si>
    <t>You added Vjačeslavs WA</t>
  </si>
  <si>
    <t>16:56:42</t>
  </si>
  <si>
    <t>Liekam klat biezumu</t>
  </si>
  <si>
    <t>Liekam klat biezumu.</t>
  </si>
  <si>
    <t>16:57:13</t>
  </si>
  <si>
    <t>Ieliec Hipokrāta sestdienas apjomu</t>
  </si>
  <si>
    <t>Ieliec Hipokrāta sestdienas apjomu.</t>
  </si>
  <si>
    <t>16:57:47</t>
  </si>
  <si>
    <t>Šeit jau ir</t>
  </si>
  <si>
    <t>16:58:16</t>
  </si>
  <si>
    <t>Biezumu pieliec</t>
  </si>
  <si>
    <t>17:06:35</t>
  </si>
  <si>
    <t>75mm</t>
  </si>
  <si>
    <t>17:08:56</t>
  </si>
  <si>
    <t>Stāva plānus par katru objektu izsūtīs Artūrs+371 29 484 894 , ja ir gadījies ka nav stāva plāns droši uzrakstam Artūram Ziņu un viņs atsūtīs.</t>
  </si>
  <si>
    <t>17:11:30</t>
  </si>
  <si>
    <t>00000919-PHOTO-2026-08-31-17-11-30.jpg</t>
  </si>
  <si>
    <t>te piemērs _Daugmale_ , ka ieliekot ziņu varam uzreiz konstatēt, ka slānsi atsevišķās vietās ir biezāks kā bijām vienojušies ar klientu. tad ir iespēja uzreiz par to paziņot klientam. &lt;attached: 00000919-PHOTO-2026-08-31-17-11-30.jpg&gt;</t>
  </si>
  <si>
    <t>17:14:02</t>
  </si>
  <si>
    <t>Gundars TW Staravoitovs removed Gvido /estrich Vilcejs LIMENI</t>
  </si>
  <si>
    <t>21:25:43</t>
  </si>
  <si>
    <t>7 stāvs</t>
  </si>
  <si>
    <t>07:26:29</t>
  </si>
  <si>
    <t>Edijs Vinvalks Limeni left</t>
  </si>
  <si>
    <t>11:47:52</t>
  </si>
  <si>
    <t>You removed Vjačeslavs WA</t>
  </si>
  <si>
    <t>11:48:14</t>
  </si>
  <si>
    <t>11:48:15</t>
  </si>
  <si>
    <t>11:48:16</t>
  </si>
  <si>
    <t>15:50:16</t>
  </si>
  <si>
    <t>10:02:07</t>
  </si>
  <si>
    <t>You turned on admin approval to join this group</t>
  </si>
  <si>
    <t>Kā pārbaudīt šo pirmsimporta failu</t>
  </si>
  <si>
    <t>Fails paredzēts kopīgai pārbaudei pirms jebkādas augšupielādes WorksRecorded.</t>
  </si>
  <si>
    <t>Tēma</t>
  </si>
  <si>
    <t>Noteikums / skaidrojums</t>
  </si>
  <si>
    <t>Mērķis</t>
  </si>
  <si>
    <t>Pirms importa pārbaudīt 2026. gada WhatsApp darba atskaites un projekta nosaukumu grupējumu.</t>
  </si>
  <si>
    <t>Drošība</t>
  </si>
  <si>
    <t>Šis fails neveic importu un nemaina WorksRecorded datus.</t>
  </si>
  <si>
    <t>Ieraksta vienība</t>
  </si>
  <si>
    <t>Viena rinda parasti atbilst vienam ziņā atrastam m² apjomam. Ziņas ar vairākiem m² var radīt vairākas rindas.</t>
  </si>
  <si>
    <t>Izmantots ziņā skaidri norādītais datums; ja tāda nav, izmantots WhatsApp ziņas datums. Lielas atšķirības ir atzīmētas.</t>
  </si>
  <si>
    <t>Nosaukumi normalizēti ar piesardzīgiem aliasu noteikumiem. Neskaidrie paliek kā “Jānosaka projekts”.</t>
  </si>
  <si>
    <t>Darbinieki</t>
  </si>
  <si>
    <t>Darbinieku skaits netiek izdomāts. Ja avotā nav skaita, tas nav aizpildīts.</t>
  </si>
  <si>
    <t>Faili no tās pašas ziņas ir piesaistīti tieši. Atsevišķas multivides ziņas piesaistītas tikai pēc laika tuvuma un vienmēr jāapstiprina.</t>
  </si>
  <si>
    <t>“Iekļaut” ir sākotnējs ieteikums; “Pārskatīt” prasa manuālu pārbaudi. Mainiet šo kolonnu pēc pārbaudes.</t>
  </si>
  <si>
    <t>Avota saglabāšana</t>
  </si>
  <si>
    <t>Pilns ziņas teksts un avota ziņas numurs ļauj katru rindas vērtību izsekot līdz eksportam.</t>
  </si>
  <si>
    <t>Ieteicamā pārbaudes secība</t>
  </si>
  <si>
    <t>1) Projekti un aliasi; 2) Pārskatīšana; 3) multivide; 4) darba datumi; 5) apjomi un materiāli.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</si>
</sst>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7" x14ac:knownFonts="1">
    <font>
      <sz val="12"/>
      <color theme="1"/>
      <name val="Calibri"/>
      <family val="2"/>
      <scheme val="minor"/>
    </font>
    <font>
      <sz val="10"/>
      <color rgb="FF1F2937"/>
      <name val="Aptos"/>
      <family val="2"/>
    </font>
    <font>
      <b/>
      <sz val="10"/>
      <color rgb="FFFFFFFF"/>
      <name val="Aptos"/>
      <family val="2"/>
    </font>
    <font>
      <b/>
      <sz val="18"/>
      <color rgb="FFFFFFFF"/>
      <name val="Aptos"/>
      <family val="2"/>
    </font>
    <font>
      <sz val="10"/>
      <color rgb="FF183549"/>
      <name val="Aptos"/>
      <family val="2"/>
    </font>
    <font>
      <b/>
      <sz val="10"/>
      <color rgb="FF1F2937"/>
      <name val="Aptos"/>
      <family val="2"/>
    </font>
    <font>
      <b/>
      <sz val="15"/>
      <color rgb="FF1F2937"/>
      <name val="Aptos"/>
      <family val="2"/>
    </font>
  </fonts>
  <fills count="8">
    <fill>
      <patternFill patternType="none"/>
    </fill>
    <fill>
      <patternFill patternType="gray125"/>
    </fill>
    <fill>
      <patternFill patternType="solid">
        <fgColor rgb="FF183549"/>
        <bgColor indexed="64"/>
      </patternFill>
    </fill>
    <fill>
      <patternFill patternType="solid">
        <fgColor rgb="FFE7F0F7"/>
        <bgColor indexed="64"/>
      </patternFill>
    </fill>
    <fill>
      <patternFill patternType="solid">
        <fgColor rgb="FFDEF2EE"/>
        <bgColor indexed="64"/>
      </patternFill>
    </fill>
    <fill>
      <patternFill patternType="solid">
        <fgColor rgb="FF117A65"/>
        <bgColor indexed="64"/>
      </patternFill>
    </fill>
    <fill>
      <patternFill patternType="solid">
        <fgColor rgb="FFF2F4F6"/>
        <bgColor indexed="64"/>
      </patternFill>
    </fill>
    <fill>
      <patternFill patternType="solid">
        <fgColor rgb="FFFFF3CD"/>
        <bgColor indexed="64"/>
      </patternFill>
    </fill>
  </fills>
  <borders count="5">
    <border>
      <left/>
      <right/>
      <top/>
      <bottom/>
      <diagonal/>
    </border>
    <border>
      <left style="thin">
        <color rgb="FFD3DAE0"/>
      </left>
      <right style="thin">
        <color rgb="FFD3DAE0"/>
      </right>
      <top style="thin">
        <color rgb="FFD3DAE0"/>
      </top>
      <bottom style="thin">
        <color rgb="FFD3DAE0"/>
      </bottom>
      <diagonal/>
    </border>
    <border>
      <left/>
      <right/>
      <top/>
      <bottom style="thin">
        <color rgb="FFD3DAE0"/>
      </bottom>
      <diagonal/>
    </border>
    <border>
      <left/>
      <right/>
      <top style="thin">
        <color rgb="FFD3DAE0"/>
      </top>
      <bottom style="thin">
        <color rgb="FFD3DAE0"/>
      </bottom>
      <diagonal/>
    </border>
    <border>
      <left/>
      <right/>
      <top style="thin">
        <color rgb="FFD3DAE0"/>
      </top>
      <bottom/>
      <diagonal/>
    </border>
  </borders>
  <cellStyleXfs count="1">
    <xf numFmtId="0" fontId="0" fillId="0" borderId="0"/>
  </cellStyleXfs>
  <cellXfs count="31">
    <xf numFmtId="0" fontId="0" fillId="0" borderId="0" xfId="0"/>
    <xf numFmtId="0" fontId="1" fillId="0" borderId="0" xfId="0" applyFont="1" applyAlignment="1">
      <alignment vertical="center"/>
    </xf>
    <xf numFmtId="0" fontId="5" fillId="4" borderId="1" xfId="0" applyFont="1" applyFill="1" applyBorder="1" applyAlignment="1">
      <alignment vertical="center"/>
    </xf>
    <xf numFmtId="0" fontId="6" fillId="4" borderId="1" xfId="0" applyFont="1" applyFill="1" applyBorder="1" applyAlignment="1">
      <alignment vertical="center"/>
    </xf>
    <xf numFmtId="0" fontId="3" fillId="2" borderId="2" xfId="0" applyFont="1" applyFill="1" applyBorder="1" applyAlignment="1">
      <alignment vertical="center"/>
    </xf>
    <xf numFmtId="0" fontId="4" fillId="3" borderId="3" xfId="0" applyFont="1" applyFill="1" applyBorder="1" applyAlignment="1">
      <alignment vertical="center"/>
    </xf>
    <xf numFmtId="0" fontId="1" fillId="0" borderId="3" xfId="0" applyFont="1" applyBorder="1" applyAlignment="1">
      <alignment vertical="center"/>
    </xf>
    <xf numFmtId="0" fontId="5" fillId="0" borderId="3" xfId="0" applyFont="1" applyBorder="1" applyAlignment="1">
      <alignment vertical="center"/>
    </xf>
    <xf numFmtId="0" fontId="2" fillId="5" borderId="3" xfId="0" applyFont="1" applyFill="1" applyBorder="1" applyAlignment="1">
      <alignment vertical="center"/>
    </xf>
    <xf numFmtId="0" fontId="1" fillId="6" borderId="3" xfId="0" applyFont="1" applyFill="1" applyBorder="1" applyAlignment="1">
      <alignment vertical="center"/>
    </xf>
    <xf numFmtId="4" fontId="1" fillId="0" borderId="3" xfId="0" applyNumberFormat="1" applyFont="1" applyBorder="1" applyAlignment="1">
      <alignment vertical="center"/>
    </xf>
    <xf numFmtId="0" fontId="1" fillId="6" borderId="4" xfId="0" applyFont="1" applyFill="1" applyBorder="1" applyAlignment="1">
      <alignment vertical="center"/>
    </xf>
    <xf numFmtId="0" fontId="1" fillId="0" borderId="4" xfId="0" applyFont="1" applyBorder="1" applyAlignment="1">
      <alignment vertical="center"/>
    </xf>
    <xf numFmtId="0" fontId="2" fillId="5" borderId="3" xfId="0" applyFont="1" applyFill="1" applyBorder="1" applyAlignment="1">
      <alignment vertical="center" wrapText="1"/>
    </xf>
    <xf numFmtId="165" fontId="1" fillId="0" borderId="3" xfId="0" applyNumberFormat="1" applyFont="1" applyBorder="1" applyAlignment="1">
      <alignment vertical="center"/>
    </xf>
    <xf numFmtId="4" fontId="1" fillId="0" borderId="4" xfId="0" applyNumberFormat="1" applyFont="1" applyBorder="1" applyAlignment="1">
      <alignment vertical="center"/>
    </xf>
    <xf numFmtId="165" fontId="1" fillId="0" borderId="4" xfId="0" applyNumberFormat="1" applyFont="1" applyBorder="1" applyAlignment="1">
      <alignment vertical="center"/>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0" xfId="0" applyFont="1" applyAlignment="1">
      <alignment vertical="center" wrapText="1"/>
    </xf>
    <xf numFmtId="0" fontId="1" fillId="7" borderId="3" xfId="0" applyFont="1" applyFill="1" applyBorder="1" applyAlignment="1">
      <alignment vertical="center"/>
    </xf>
    <xf numFmtId="165" fontId="1" fillId="7" borderId="3" xfId="0" applyNumberFormat="1" applyFont="1" applyFill="1" applyBorder="1" applyAlignment="1">
      <alignment vertical="center"/>
    </xf>
    <xf numFmtId="0" fontId="1" fillId="7" borderId="3" xfId="0" applyFont="1" applyFill="1" applyBorder="1" applyAlignment="1">
      <alignment vertical="center" wrapText="1"/>
    </xf>
    <xf numFmtId="4" fontId="1" fillId="7" borderId="3" xfId="0" applyNumberFormat="1" applyFont="1" applyFill="1" applyBorder="1" applyAlignment="1">
      <alignment vertical="center"/>
    </xf>
    <xf numFmtId="0" fontId="1" fillId="7" borderId="4" xfId="0" applyFont="1" applyFill="1" applyBorder="1" applyAlignment="1">
      <alignment vertical="center"/>
    </xf>
    <xf numFmtId="165" fontId="1" fillId="7" borderId="4" xfId="0" applyNumberFormat="1" applyFont="1" applyFill="1" applyBorder="1" applyAlignment="1">
      <alignment vertical="center"/>
    </xf>
    <xf numFmtId="4" fontId="1" fillId="7" borderId="4" xfId="0" applyNumberFormat="1" applyFont="1" applyFill="1" applyBorder="1" applyAlignment="1">
      <alignment vertical="center"/>
    </xf>
    <xf numFmtId="0" fontId="1" fillId="7" borderId="4" xfId="0" applyFont="1" applyFill="1" applyBorder="1" applyAlignment="1">
      <alignment vertical="center" wrapText="1"/>
    </xf>
    <xf numFmtId="0" fontId="5" fillId="4" borderId="3" xfId="0" applyFont="1" applyFill="1" applyBorder="1" applyAlignment="1">
      <alignment vertical="center"/>
    </xf>
    <xf numFmtId="0" fontId="5" fillId="4" borderId="4" xfId="0" applyFont="1" applyFill="1" applyBorder="1" applyAlignment="1">
      <alignment vertical="center"/>
    </xf>
    <xf numFmtId="4" fontId="6" fillId="4" borderId="1" xfId="0" applyNumberFormat="1" applyFont="1" applyFill="1" applyBorder="1" applyAlignment="1">
      <alignment vertical="center"/>
    </xf>
  </cellXfs>
  <cellStyles count="1">
    <cellStyle name="Normal" xfId="0" builtinId="0"/>
  </cellStyles>
  <dxfs count="5">
    <dxf>
      <fill>
        <patternFill>
          <bgColor rgb="FFE2EFDA"/>
        </patternFill>
      </fill>
    </dxf>
    <dxf>
      <fill>
        <patternFill>
          <bgColor rgb="FFFCE5E5"/>
        </patternFill>
      </fill>
    </dxf>
    <dxf>
      <fill>
        <patternFill>
          <bgColor rgb="FFFFF3CD"/>
        </patternFill>
      </fill>
    </dxf>
    <dxf>
      <fill>
        <patternFill>
          <bgColor rgb="FFE7F0F7"/>
        </patternFill>
      </fill>
    </dxf>
    <dxf>
      <fill>
        <patternFill>
          <bgColor rgb="FFFFF3CD"/>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4"/>
  <sheetViews>
    <sheetView showGridLines="0" workbookViewId="0">
      <pane ySplit="2" topLeftCell="A3" activePane="bottomLeft" state="frozenSplit"/>
      <selection pane="bottomLeft" sqref="A1:H24"/>
    </sheetView>
  </sheetViews>
  <sheetFormatPr defaultRowHeight="13.5" x14ac:dyDescent="0.25"/>
  <cols>
    <col min="1" max="1" width="22.625" style="1" customWidth="1"/>
    <col min="2" max="2" width="14.625" style="1" customWidth="1"/>
    <col min="3" max="3" width="16.625" style="1" customWidth="1"/>
    <col min="4" max="4" width="18.625" style="1" customWidth="1"/>
    <col min="5" max="5" width="14.625" style="1" customWidth="1"/>
    <col min="6" max="6" width="4.625" style="1" customWidth="1"/>
    <col min="7" max="7" width="18.625" style="1" customWidth="1"/>
    <col min="8" max="8" width="16.625" style="1" customWidth="1"/>
    <col min="9" max="16384" width="9" style="1"/>
  </cols>
  <sheetData>
    <row r="1" spans="1:8" ht="30" customHeight="1" x14ac:dyDescent="0.25">
      <c r="A1" s="4" t="s">
        <v>0</v>
      </c>
      <c r="B1" s="4"/>
      <c r="C1" s="4"/>
      <c r="D1" s="4"/>
      <c r="E1" s="4"/>
      <c r="F1" s="4"/>
      <c r="G1" s="4"/>
      <c r="H1" s="4"/>
    </row>
    <row r="2" spans="1:8" ht="24" customHeight="1" x14ac:dyDescent="0.25">
      <c r="A2" s="5" t="s">
        <v>1</v>
      </c>
      <c r="B2" s="5"/>
      <c r="C2" s="5"/>
      <c r="D2" s="5"/>
      <c r="E2" s="5"/>
      <c r="F2" s="5"/>
      <c r="G2" s="5"/>
      <c r="H2" s="5"/>
    </row>
    <row r="3" spans="1:8" x14ac:dyDescent="0.25">
      <c r="A3" s="6"/>
      <c r="B3" s="6"/>
      <c r="C3" s="6"/>
      <c r="D3" s="6"/>
      <c r="E3" s="6"/>
      <c r="F3" s="6"/>
      <c r="G3" s="6"/>
      <c r="H3" s="6"/>
    </row>
    <row r="4" spans="1:8" ht="19.5" x14ac:dyDescent="0.25">
      <c r="A4" s="2" t="s">
        <v>2</v>
      </c>
      <c r="B4" s="3">
        <f>COUNTA('Vietņu ieraksti'!A5:A493)</f>
        <v>489</v>
      </c>
      <c r="C4" s="7" t="s">
        <v>3</v>
      </c>
      <c r="D4" s="2" t="s">
        <v>4</v>
      </c>
      <c r="E4" s="3">
        <f>COUNTA(Projekti!A5:A130)</f>
        <v>126</v>
      </c>
      <c r="F4" s="7" t="s">
        <v>3</v>
      </c>
      <c r="G4" s="2" t="s">
        <v>5</v>
      </c>
      <c r="H4" s="30">
        <f>SUM('Vietņu ieraksti'!H5:H493)</f>
        <v>78535.28</v>
      </c>
    </row>
    <row r="5" spans="1:8" ht="19.5" x14ac:dyDescent="0.25">
      <c r="A5" s="2" t="s">
        <v>6</v>
      </c>
      <c r="B5" s="3">
        <f>COUNTA(Pārskatīšana!A5:A213)</f>
        <v>209</v>
      </c>
      <c r="C5" s="7" t="s">
        <v>3</v>
      </c>
      <c r="D5" s="2" t="s">
        <v>7</v>
      </c>
      <c r="E5" s="3">
        <f>SUMPRODUCT(--(LEN('Vietņu ieraksti'!R5:R493)&gt;0))</f>
        <v>181</v>
      </c>
      <c r="F5" s="7" t="s">
        <v>3</v>
      </c>
      <c r="G5" s="2" t="s">
        <v>8</v>
      </c>
      <c r="H5" s="3">
        <f>COUNTA('Avota ziņas'!A5:A663)</f>
        <v>659</v>
      </c>
    </row>
    <row r="6" spans="1:8" x14ac:dyDescent="0.25">
      <c r="A6" s="6"/>
      <c r="B6" s="6"/>
      <c r="C6" s="6"/>
      <c r="D6" s="6"/>
      <c r="E6" s="6"/>
      <c r="F6" s="6"/>
      <c r="G6" s="6"/>
      <c r="H6" s="6"/>
    </row>
    <row r="7" spans="1:8" x14ac:dyDescent="0.25">
      <c r="A7" s="8" t="s">
        <v>9</v>
      </c>
      <c r="B7" s="8" t="s">
        <v>10</v>
      </c>
      <c r="C7" s="8" t="s">
        <v>5</v>
      </c>
      <c r="D7" s="8" t="s">
        <v>6</v>
      </c>
      <c r="E7" s="8" t="s">
        <v>7</v>
      </c>
      <c r="F7" s="6"/>
      <c r="G7" s="6"/>
      <c r="H7" s="6"/>
    </row>
    <row r="8" spans="1:8" x14ac:dyDescent="0.25">
      <c r="A8" s="9" t="s">
        <v>11</v>
      </c>
      <c r="B8" s="6">
        <f>COUNTIFS('Vietņu ieraksti'!B5:B493,"&gt;="&amp;DATE(2026,1,1),'Vietņu ieraksti'!B5:B493,"&lt;"&amp;DATE(2026,2,1))</f>
        <v>37</v>
      </c>
      <c r="C8" s="10">
        <f>SUMIFS('Vietņu ieraksti'!H5:H493,'Vietņu ieraksti'!B5:B493,"&gt;="&amp;DATE(2026,1,1),'Vietņu ieraksti'!B5:B493,"&lt;"&amp;DATE(2026,2,1))</f>
        <v>7570</v>
      </c>
      <c r="D8" s="6">
        <f>COUNTIFS(Pārskatīšana!B5:B213,"&gt;="&amp;DATE(2026,1,1),Pārskatīšana!B5:B213,"&lt;"&amp;DATE(2026,2,1))</f>
        <v>6</v>
      </c>
      <c r="E8" s="6">
        <f>SUMPRODUCT(--('Vietņu ieraksti'!B5:B493&gt;=DATE(2026,1,1)),--('Vietņu ieraksti'!B5:B493&lt;DATE(2026,2,1)),--(LEN('Vietņu ieraksti'!R5:R493)&gt;0))</f>
        <v>4</v>
      </c>
      <c r="F8" s="6"/>
      <c r="G8" s="6"/>
      <c r="H8" s="6"/>
    </row>
    <row r="9" spans="1:8" x14ac:dyDescent="0.25">
      <c r="A9" s="9" t="s">
        <v>12</v>
      </c>
      <c r="B9" s="6">
        <f>COUNTIFS('Vietņu ieraksti'!B5:B493,"&gt;="&amp;DATE(2026,2,1),'Vietņu ieraksti'!B5:B493,"&lt;"&amp;DATE(2026,3,1))</f>
        <v>100</v>
      </c>
      <c r="C9" s="10">
        <f>SUMIFS('Vietņu ieraksti'!H5:H493,'Vietņu ieraksti'!B5:B493,"&gt;="&amp;DATE(2026,2,1),'Vietņu ieraksti'!B5:B493,"&lt;"&amp;DATE(2026,3,1))</f>
        <v>19010</v>
      </c>
      <c r="D9" s="6">
        <f>COUNTIFS(Pārskatīšana!B5:B213,"&gt;="&amp;DATE(2026,2,1),Pārskatīšana!B5:B213,"&lt;"&amp;DATE(2026,3,1))</f>
        <v>45</v>
      </c>
      <c r="E9" s="6">
        <f>SUMPRODUCT(--('Vietņu ieraksti'!B5:B493&gt;=DATE(2026,2,1)),--('Vietņu ieraksti'!B5:B493&lt;DATE(2026,3,1)),--(LEN('Vietņu ieraksti'!R5:R493)&gt;0))</f>
        <v>70</v>
      </c>
      <c r="F9" s="6"/>
      <c r="G9" s="6"/>
      <c r="H9" s="6"/>
    </row>
    <row r="10" spans="1:8" x14ac:dyDescent="0.25">
      <c r="A10" s="9" t="s">
        <v>13</v>
      </c>
      <c r="B10" s="6">
        <f>COUNTIFS('Vietņu ieraksti'!B5:B493,"&gt;="&amp;DATE(2026,3,1),'Vietņu ieraksti'!B5:B493,"&lt;"&amp;DATE(2026,4,1))</f>
        <v>85</v>
      </c>
      <c r="C10" s="10">
        <f>SUMIFS('Vietņu ieraksti'!H5:H493,'Vietņu ieraksti'!B5:B493,"&gt;="&amp;DATE(2026,3,1),'Vietņu ieraksti'!B5:B493,"&lt;"&amp;DATE(2026,4,1))</f>
        <v>16887</v>
      </c>
      <c r="D10" s="6">
        <f>COUNTIFS(Pārskatīšana!B5:B213,"&gt;="&amp;DATE(2026,3,1),Pārskatīšana!B5:B213,"&lt;"&amp;DATE(2026,4,1))</f>
        <v>30</v>
      </c>
      <c r="E10" s="6">
        <f>SUMPRODUCT(--('Vietņu ieraksti'!B5:B493&gt;=DATE(2026,3,1)),--('Vietņu ieraksti'!B5:B493&lt;DATE(2026,4,1)),--(LEN('Vietņu ieraksti'!R5:R493)&gt;0))</f>
        <v>44</v>
      </c>
      <c r="F10" s="6"/>
      <c r="G10" s="6"/>
      <c r="H10" s="6"/>
    </row>
    <row r="11" spans="1:8" x14ac:dyDescent="0.25">
      <c r="A11" s="9" t="s">
        <v>14</v>
      </c>
      <c r="B11" s="6">
        <f>COUNTIFS('Vietņu ieraksti'!B5:B493,"&gt;="&amp;DATE(2026,4,1),'Vietņu ieraksti'!B5:B493,"&lt;"&amp;DATE(2026,5,1))</f>
        <v>67</v>
      </c>
      <c r="C11" s="10">
        <f>SUMIFS('Vietņu ieraksti'!H5:H493,'Vietņu ieraksti'!B5:B493,"&gt;="&amp;DATE(2026,4,1),'Vietņu ieraksti'!B5:B493,"&lt;"&amp;DATE(2026,5,1))</f>
        <v>9869</v>
      </c>
      <c r="D11" s="6">
        <f>COUNTIFS(Pārskatīšana!B5:B213,"&gt;="&amp;DATE(2026,4,1),Pārskatīšana!B5:B213,"&lt;"&amp;DATE(2026,5,1))</f>
        <v>31</v>
      </c>
      <c r="E11" s="6">
        <f>SUMPRODUCT(--('Vietņu ieraksti'!B5:B493&gt;=DATE(2026,4,1)),--('Vietņu ieraksti'!B5:B493&lt;DATE(2026,5,1)),--(LEN('Vietņu ieraksti'!R5:R493)&gt;0))</f>
        <v>25</v>
      </c>
      <c r="F11" s="6"/>
      <c r="G11" s="6"/>
      <c r="H11" s="6"/>
    </row>
    <row r="12" spans="1:8" x14ac:dyDescent="0.25">
      <c r="A12" s="9" t="s">
        <v>15</v>
      </c>
      <c r="B12" s="6">
        <f>COUNTIFS('Vietņu ieraksti'!B5:B493,"&gt;="&amp;DATE(2026,5,1),'Vietņu ieraksti'!B5:B493,"&lt;"&amp;DATE(2026,6,1))</f>
        <v>65</v>
      </c>
      <c r="C12" s="10">
        <f>SUMIFS('Vietņu ieraksti'!H5:H493,'Vietņu ieraksti'!B5:B493,"&gt;="&amp;DATE(2026,5,1),'Vietņu ieraksti'!B5:B493,"&lt;"&amp;DATE(2026,6,1))</f>
        <v>7552.28</v>
      </c>
      <c r="D12" s="6">
        <f>COUNTIFS(Pārskatīšana!B5:B213,"&gt;="&amp;DATE(2026,5,1),Pārskatīšana!B5:B213,"&lt;"&amp;DATE(2026,6,1))</f>
        <v>27</v>
      </c>
      <c r="E12" s="6">
        <f>SUMPRODUCT(--('Vietņu ieraksti'!B5:B493&gt;=DATE(2026,5,1)),--('Vietņu ieraksti'!B5:B493&lt;DATE(2026,6,1)),--(LEN('Vietņu ieraksti'!R5:R493)&gt;0))</f>
        <v>15</v>
      </c>
      <c r="F12" s="6"/>
      <c r="G12" s="6"/>
      <c r="H12" s="6"/>
    </row>
    <row r="13" spans="1:8" x14ac:dyDescent="0.25">
      <c r="A13" s="9" t="s">
        <v>16</v>
      </c>
      <c r="B13" s="6">
        <f>COUNTIFS('Vietņu ieraksti'!B5:B493,"&gt;="&amp;DATE(2026,6,1),'Vietņu ieraksti'!B5:B493,"&lt;"&amp;DATE(2026,7,1))</f>
        <v>38</v>
      </c>
      <c r="C13" s="10">
        <f>SUMIFS('Vietņu ieraksti'!H5:H493,'Vietņu ieraksti'!B5:B493,"&gt;="&amp;DATE(2026,6,1),'Vietņu ieraksti'!B5:B493,"&lt;"&amp;DATE(2026,7,1))</f>
        <v>5466</v>
      </c>
      <c r="D13" s="6">
        <f>COUNTIFS(Pārskatīšana!B5:B213,"&gt;="&amp;DATE(2026,6,1),Pārskatīšana!B5:B213,"&lt;"&amp;DATE(2026,7,1))</f>
        <v>17</v>
      </c>
      <c r="E13" s="6">
        <f>SUMPRODUCT(--('Vietņu ieraksti'!B5:B493&gt;=DATE(2026,6,1)),--('Vietņu ieraksti'!B5:B493&lt;DATE(2026,7,1)),--(LEN('Vietņu ieraksti'!R5:R493)&gt;0))</f>
        <v>7</v>
      </c>
      <c r="F13" s="6"/>
      <c r="G13" s="6"/>
      <c r="H13" s="6"/>
    </row>
    <row r="14" spans="1:8" x14ac:dyDescent="0.25">
      <c r="A14" s="9" t="s">
        <v>17</v>
      </c>
      <c r="B14" s="6">
        <f>COUNTIFS('Vietņu ieraksti'!B5:B493,"&gt;="&amp;DATE(2026,7,1),'Vietņu ieraksti'!B5:B493,"&lt;"&amp;DATE(2026,8,1))</f>
        <v>43</v>
      </c>
      <c r="C14" s="10">
        <f>SUMIFS('Vietņu ieraksti'!H5:H493,'Vietņu ieraksti'!B5:B493,"&gt;="&amp;DATE(2026,7,1),'Vietņu ieraksti'!B5:B493,"&lt;"&amp;DATE(2026,8,1))</f>
        <v>4335</v>
      </c>
      <c r="D14" s="6">
        <f>COUNTIFS(Pārskatīšana!B5:B213,"&gt;="&amp;DATE(2026,7,1),Pārskatīšana!B5:B213,"&lt;"&amp;DATE(2026,8,1))</f>
        <v>25</v>
      </c>
      <c r="E14" s="6">
        <f>SUMPRODUCT(--('Vietņu ieraksti'!B5:B493&gt;=DATE(2026,7,1)),--('Vietņu ieraksti'!B5:B493&lt;DATE(2026,8,1)),--(LEN('Vietņu ieraksti'!R5:R493)&gt;0))</f>
        <v>6</v>
      </c>
      <c r="F14" s="6"/>
      <c r="G14" s="6"/>
      <c r="H14" s="6"/>
    </row>
    <row r="15" spans="1:8" x14ac:dyDescent="0.25">
      <c r="A15" s="9" t="s">
        <v>18</v>
      </c>
      <c r="B15" s="6">
        <f>COUNTIFS('Vietņu ieraksti'!B5:B493,"&gt;="&amp;DATE(2026,8,1),'Vietņu ieraksti'!B5:B493,"&lt;"&amp;DATE(2026,9,1))</f>
        <v>51</v>
      </c>
      <c r="C15" s="10">
        <f>SUMIFS('Vietņu ieraksti'!H5:H493,'Vietņu ieraksti'!B5:B493,"&gt;="&amp;DATE(2026,8,1),'Vietņu ieraksti'!B5:B493,"&lt;"&amp;DATE(2026,9,1))</f>
        <v>7521</v>
      </c>
      <c r="D15" s="6">
        <f>COUNTIFS(Pārskatīšana!B5:B213,"&gt;="&amp;DATE(2026,8,1),Pārskatīšana!B5:B213,"&lt;"&amp;DATE(2026,9,1))</f>
        <v>27</v>
      </c>
      <c r="E15" s="6">
        <f>SUMPRODUCT(--('Vietņu ieraksti'!B5:B493&gt;=DATE(2026,8,1)),--('Vietņu ieraksti'!B5:B493&lt;DATE(2026,9,1)),--(LEN('Vietņu ieraksti'!R5:R493)&gt;0))</f>
        <v>8</v>
      </c>
      <c r="F15" s="6"/>
      <c r="G15" s="6"/>
      <c r="H15" s="6"/>
    </row>
    <row r="16" spans="1:8" x14ac:dyDescent="0.25">
      <c r="A16" s="9" t="s">
        <v>19</v>
      </c>
      <c r="B16" s="6">
        <f>COUNTIFS('Vietņu ieraksti'!B5:B493,"&gt;="&amp;DATE(2026,9,1),'Vietņu ieraksti'!B5:B493,"&lt;"&amp;DATE(2026,10,1))</f>
        <v>3</v>
      </c>
      <c r="C16" s="10">
        <f>SUMIFS('Vietņu ieraksti'!H5:H493,'Vietņu ieraksti'!B5:B493,"&gt;="&amp;DATE(2026,9,1),'Vietņu ieraksti'!B5:B493,"&lt;"&amp;DATE(2026,10,1))</f>
        <v>325</v>
      </c>
      <c r="D16" s="6">
        <f>COUNTIFS(Pārskatīšana!B5:B213,"&gt;="&amp;DATE(2026,9,1),Pārskatīšana!B5:B213,"&lt;"&amp;DATE(2026,10,1))</f>
        <v>1</v>
      </c>
      <c r="E16" s="6">
        <f>SUMPRODUCT(--('Vietņu ieraksti'!B5:B493&gt;=DATE(2026,9,1)),--('Vietņu ieraksti'!B5:B493&lt;DATE(2026,10,1)),--(LEN('Vietņu ieraksti'!R5:R493)&gt;0))</f>
        <v>2</v>
      </c>
      <c r="F16" s="6"/>
      <c r="G16" s="6"/>
      <c r="H16" s="6"/>
    </row>
    <row r="17" spans="1:8" x14ac:dyDescent="0.25">
      <c r="A17" s="9" t="s">
        <v>20</v>
      </c>
      <c r="B17" s="6">
        <f>COUNTIFS('Vietņu ieraksti'!B5:B493,"&gt;="&amp;DATE(2026,10,1),'Vietņu ieraksti'!B5:B493,"&lt;"&amp;DATE(2026,11,1))</f>
        <v>0</v>
      </c>
      <c r="C17" s="10">
        <f>SUMIFS('Vietņu ieraksti'!H5:H493,'Vietņu ieraksti'!B5:B493,"&gt;="&amp;DATE(2026,10,1),'Vietņu ieraksti'!B5:B493,"&lt;"&amp;DATE(2026,11,1))</f>
        <v>0</v>
      </c>
      <c r="D17" s="6">
        <f>COUNTIFS(Pārskatīšana!B5:B213,"&gt;="&amp;DATE(2026,10,1),Pārskatīšana!B5:B213,"&lt;"&amp;DATE(2026,11,1))</f>
        <v>0</v>
      </c>
      <c r="E17" s="6">
        <f>SUMPRODUCT(--('Vietņu ieraksti'!B5:B493&gt;=DATE(2026,10,1)),--('Vietņu ieraksti'!B5:B493&lt;DATE(2026,11,1)),--(LEN('Vietņu ieraksti'!R5:R493)&gt;0))</f>
        <v>0</v>
      </c>
      <c r="F17" s="6"/>
      <c r="G17" s="6"/>
      <c r="H17" s="6"/>
    </row>
    <row r="18" spans="1:8" x14ac:dyDescent="0.25">
      <c r="A18" s="9" t="s">
        <v>21</v>
      </c>
      <c r="B18" s="6">
        <f>COUNTIFS('Vietņu ieraksti'!B5:B493,"&gt;="&amp;DATE(2026,11,1),'Vietņu ieraksti'!B5:B493,"&lt;"&amp;DATE(2026,12,1))</f>
        <v>0</v>
      </c>
      <c r="C18" s="10">
        <f>SUMIFS('Vietņu ieraksti'!H5:H493,'Vietņu ieraksti'!B5:B493,"&gt;="&amp;DATE(2026,11,1),'Vietņu ieraksti'!B5:B493,"&lt;"&amp;DATE(2026,12,1))</f>
        <v>0</v>
      </c>
      <c r="D18" s="6">
        <f>COUNTIFS(Pārskatīšana!B5:B213,"&gt;="&amp;DATE(2026,11,1),Pārskatīšana!B5:B213,"&lt;"&amp;DATE(2026,12,1))</f>
        <v>0</v>
      </c>
      <c r="E18" s="6">
        <f>SUMPRODUCT(--('Vietņu ieraksti'!B5:B493&gt;=DATE(2026,11,1)),--('Vietņu ieraksti'!B5:B493&lt;DATE(2026,12,1)),--(LEN('Vietņu ieraksti'!R5:R493)&gt;0))</f>
        <v>0</v>
      </c>
      <c r="F18" s="6"/>
      <c r="G18" s="6"/>
      <c r="H18" s="6"/>
    </row>
    <row r="19" spans="1:8" x14ac:dyDescent="0.25">
      <c r="A19" s="9" t="s">
        <v>22</v>
      </c>
      <c r="B19" s="6">
        <f>COUNTIFS('Vietņu ieraksti'!B5:B493,"&gt;="&amp;DATE(2026,12,1),'Vietņu ieraksti'!B5:B493,"&lt;"&amp;DATE(2027,1,1))</f>
        <v>0</v>
      </c>
      <c r="C19" s="10">
        <f>SUMIFS('Vietņu ieraksti'!H5:H493,'Vietņu ieraksti'!B5:B493,"&gt;="&amp;DATE(2026,12,1),'Vietņu ieraksti'!B5:B493,"&lt;"&amp;DATE(2027,1,1))</f>
        <v>0</v>
      </c>
      <c r="D19" s="6">
        <f>COUNTIFS(Pārskatīšana!B5:B213,"&gt;="&amp;DATE(2026,12,1),Pārskatīšana!B5:B213,"&lt;"&amp;DATE(2027,1,1))</f>
        <v>0</v>
      </c>
      <c r="E19" s="6">
        <f>SUMPRODUCT(--('Vietņu ieraksti'!B5:B493&gt;=DATE(2026,12,1)),--('Vietņu ieraksti'!B5:B493&lt;DATE(2027,1,1)),--(LEN('Vietņu ieraksti'!R5:R493)&gt;0))</f>
        <v>0</v>
      </c>
      <c r="F19" s="6"/>
      <c r="G19" s="6"/>
      <c r="H19" s="6"/>
    </row>
    <row r="20" spans="1:8" x14ac:dyDescent="0.25">
      <c r="A20" s="6"/>
      <c r="B20" s="6"/>
      <c r="C20" s="6"/>
      <c r="D20" s="6"/>
      <c r="E20" s="6"/>
      <c r="F20" s="6"/>
      <c r="G20" s="6"/>
      <c r="H20" s="6"/>
    </row>
    <row r="21" spans="1:8" x14ac:dyDescent="0.25">
      <c r="A21" s="8" t="s">
        <v>23</v>
      </c>
      <c r="B21" s="8" t="s">
        <v>10</v>
      </c>
      <c r="C21" s="6"/>
      <c r="D21" s="6"/>
      <c r="E21" s="6"/>
      <c r="F21" s="6"/>
      <c r="G21" s="6"/>
      <c r="H21" s="6"/>
    </row>
    <row r="22" spans="1:8" x14ac:dyDescent="0.25">
      <c r="A22" s="9" t="s">
        <v>24</v>
      </c>
      <c r="B22" s="6">
        <f>COUNTIF('Vietņu ieraksti'!T5:T493,A22)</f>
        <v>280</v>
      </c>
      <c r="C22" s="6"/>
      <c r="D22" s="6"/>
      <c r="E22" s="6"/>
      <c r="F22" s="6"/>
      <c r="G22" s="6"/>
      <c r="H22" s="6"/>
    </row>
    <row r="23" spans="1:8" x14ac:dyDescent="0.25">
      <c r="A23" s="9" t="s">
        <v>25</v>
      </c>
      <c r="B23" s="6">
        <f>COUNTIF('Vietņu ieraksti'!T5:T493,A23)</f>
        <v>159</v>
      </c>
      <c r="C23" s="6"/>
      <c r="D23" s="6"/>
      <c r="E23" s="6"/>
      <c r="F23" s="6"/>
      <c r="G23" s="6"/>
      <c r="H23" s="6"/>
    </row>
    <row r="24" spans="1:8" x14ac:dyDescent="0.25">
      <c r="A24" s="11" t="s">
        <v>26</v>
      </c>
      <c r="B24" s="12">
        <f>COUNTIF('Vietņu ieraksti'!T5:T493,A24)</f>
        <v>50</v>
      </c>
      <c r="C24" s="12"/>
      <c r="D24" s="12"/>
      <c r="E24" s="12"/>
      <c r="F24" s="12"/>
      <c r="G24" s="12"/>
      <c r="H24" s="12"/>
    </row>
  </sheetData>
  <mergeCells count="2">
    <mergeCell ref="A1:H1"/>
    <mergeCell ref="A2:H2"/>
  </mergeCells>
  <pageMargins left="0.25" right="0.25" top="0.35" bottom="0.35" header="0.3" footer="0.3"/>
  <pageSetup scale="97" fitToHeight="0" orientation="landscape" r:id="rId1"/>
  <ignoredErrors>
    <ignoredError sqref="A1:H3 A6:H7 A4 C4:D4 F4:G4 A5 C5:D5 F5:G5 A20:H21 A8 F8:H8 A9 F9:H9 A10 F10:H10 A11 F11:H11 A12 F12:H12 A13 F13:H13 A14 F14:H14 A15 F15:H15 A16 F16:H16 A17 F17:H17 A18 F18:H18 A19 F19:H19 A24 A22 C22:H22 A23 C23:H23 C24:H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30"/>
  <sheetViews>
    <sheetView showGridLines="0" workbookViewId="0">
      <pane ySplit="4" topLeftCell="A5" activePane="bottomLeft" state="frozenSplit"/>
      <selection pane="bottomLeft" sqref="A1:J24"/>
    </sheetView>
  </sheetViews>
  <sheetFormatPr defaultRowHeight="13.5" x14ac:dyDescent="0.25"/>
  <cols>
    <col min="1" max="1" width="28.625" style="1" customWidth="1"/>
    <col min="2" max="2" width="52.625" style="1" customWidth="1"/>
    <col min="3" max="8" width="13.625" style="1" customWidth="1"/>
    <col min="9" max="9" width="27.625" style="1" customWidth="1"/>
    <col min="10" max="10" width="23.625" style="1" customWidth="1"/>
    <col min="11" max="16384" width="9" style="1"/>
  </cols>
  <sheetData>
    <row r="1" spans="1:10" ht="30" customHeight="1" x14ac:dyDescent="0.25">
      <c r="A1" s="4" t="s">
        <v>27</v>
      </c>
      <c r="B1" s="4"/>
      <c r="C1" s="4"/>
      <c r="D1" s="4"/>
      <c r="E1" s="4"/>
      <c r="F1" s="4"/>
      <c r="G1" s="4"/>
      <c r="H1" s="4"/>
      <c r="I1" s="4"/>
      <c r="J1" s="4"/>
    </row>
    <row r="2" spans="1:10" ht="24" customHeight="1" x14ac:dyDescent="0.25">
      <c r="A2" s="5" t="s">
        <v>28</v>
      </c>
      <c r="B2" s="5"/>
      <c r="C2" s="5"/>
      <c r="D2" s="5"/>
      <c r="E2" s="5"/>
      <c r="F2" s="5"/>
      <c r="G2" s="5"/>
      <c r="H2" s="5"/>
      <c r="I2" s="5"/>
      <c r="J2" s="5"/>
    </row>
    <row r="3" spans="1:10" x14ac:dyDescent="0.25">
      <c r="A3" s="6"/>
      <c r="B3" s="6"/>
      <c r="C3" s="6"/>
      <c r="D3" s="6"/>
      <c r="E3" s="6"/>
      <c r="F3" s="6"/>
      <c r="G3" s="6"/>
      <c r="H3" s="6"/>
      <c r="I3" s="6"/>
      <c r="J3" s="6"/>
    </row>
    <row r="4" spans="1:10" ht="32.1" customHeight="1" x14ac:dyDescent="0.25">
      <c r="A4" s="13" t="s">
        <v>29</v>
      </c>
      <c r="B4" s="13" t="s">
        <v>30</v>
      </c>
      <c r="C4" s="13" t="s">
        <v>10</v>
      </c>
      <c r="D4" s="13" t="s">
        <v>5</v>
      </c>
      <c r="E4" s="13" t="s">
        <v>31</v>
      </c>
      <c r="F4" s="13" t="s">
        <v>32</v>
      </c>
      <c r="G4" s="13" t="s">
        <v>6</v>
      </c>
      <c r="H4" s="13" t="s">
        <v>7</v>
      </c>
      <c r="I4" s="13" t="s">
        <v>33</v>
      </c>
      <c r="J4" s="13" t="s">
        <v>34</v>
      </c>
    </row>
    <row r="5" spans="1:10" x14ac:dyDescent="0.25">
      <c r="A5" s="6" t="s">
        <v>35</v>
      </c>
      <c r="B5" s="6" t="s">
        <v>36</v>
      </c>
      <c r="C5" s="6">
        <f>COUNTIF('Vietņu ieraksti'!E5:E493,A5)</f>
        <v>56</v>
      </c>
      <c r="D5" s="10">
        <f>SUMIF('Vietņu ieraksti'!E5:E493,A5,'Vietņu ieraksti'!H5:H493)</f>
        <v>8019</v>
      </c>
      <c r="E5" s="14">
        <f>_xlfn.MINIFS('Vietņu ieraksti'!B5:B493,'Vietņu ieraksti'!E5:E493,A5)</f>
        <v>46090</v>
      </c>
      <c r="F5" s="14">
        <f>_xlfn.MAXIFS('Vietņu ieraksti'!B5:B493,'Vietņu ieraksti'!E5:E493,A5)</f>
        <v>46204</v>
      </c>
      <c r="G5" s="6">
        <f>COUNTIF(Pārskatīšana!C5:C213,A5)</f>
        <v>19</v>
      </c>
      <c r="H5" s="6">
        <f>SUMPRODUCT(--('Vietņu ieraksti'!E5:E493=A5),--(LEN('Vietņu ieraksti'!R5:R493)&gt;0))</f>
        <v>26</v>
      </c>
      <c r="I5" s="6" t="s">
        <v>3</v>
      </c>
      <c r="J5" s="6" t="s">
        <v>37</v>
      </c>
    </row>
    <row r="6" spans="1:10" x14ac:dyDescent="0.25">
      <c r="A6" s="6" t="s">
        <v>38</v>
      </c>
      <c r="B6" s="6" t="s">
        <v>39</v>
      </c>
      <c r="C6" s="6">
        <f>COUNTIF('Vietņu ieraksti'!E5:E493,A6)</f>
        <v>41</v>
      </c>
      <c r="D6" s="10">
        <f>SUMIF('Vietņu ieraksti'!E5:E493,A6,'Vietņu ieraksti'!H5:H493)</f>
        <v>7726</v>
      </c>
      <c r="E6" s="14">
        <f>_xlfn.MINIFS('Vietņu ieraksti'!B5:B493,'Vietņu ieraksti'!E5:E493,A6)</f>
        <v>46027</v>
      </c>
      <c r="F6" s="14">
        <f>_xlfn.MAXIFS('Vietņu ieraksti'!B5:B493,'Vietņu ieraksti'!E5:E493,A6)</f>
        <v>46114</v>
      </c>
      <c r="G6" s="6">
        <f>COUNTIF(Pārskatīšana!C5:C213,A6)</f>
        <v>14</v>
      </c>
      <c r="H6" s="6">
        <f>SUMPRODUCT(--('Vietņu ieraksti'!E5:E493=A6),--(LEN('Vietņu ieraksti'!R5:R493)&gt;0))</f>
        <v>24</v>
      </c>
      <c r="I6" s="6" t="s">
        <v>3</v>
      </c>
      <c r="J6" s="6" t="s">
        <v>37</v>
      </c>
    </row>
    <row r="7" spans="1:10" x14ac:dyDescent="0.25">
      <c r="A7" s="6" t="s">
        <v>40</v>
      </c>
      <c r="B7" s="6" t="s">
        <v>41</v>
      </c>
      <c r="C7" s="6">
        <f>COUNTIF('Vietņu ieraksti'!E5:E493,A7)</f>
        <v>39</v>
      </c>
      <c r="D7" s="10">
        <f>SUMIF('Vietņu ieraksti'!E5:E493,A7,'Vietņu ieraksti'!H5:H493)</f>
        <v>7830</v>
      </c>
      <c r="E7" s="14">
        <f>_xlfn.MINIFS('Vietņu ieraksti'!B5:B493,'Vietņu ieraksti'!E5:E493,A7)</f>
        <v>46057</v>
      </c>
      <c r="F7" s="14">
        <f>_xlfn.MAXIFS('Vietņu ieraksti'!B5:B493,'Vietņu ieraksti'!E5:E493,A7)</f>
        <v>46144</v>
      </c>
      <c r="G7" s="6">
        <f>COUNTIF(Pārskatīšana!C5:C213,A7)</f>
        <v>16</v>
      </c>
      <c r="H7" s="6">
        <f>SUMPRODUCT(--('Vietņu ieraksti'!E5:E493=A7),--(LEN('Vietņu ieraksti'!R5:R493)&gt;0))</f>
        <v>34</v>
      </c>
      <c r="I7" s="6" t="s">
        <v>3</v>
      </c>
      <c r="J7" s="6" t="s">
        <v>37</v>
      </c>
    </row>
    <row r="8" spans="1:10" x14ac:dyDescent="0.25">
      <c r="A8" s="6" t="s">
        <v>42</v>
      </c>
      <c r="B8" s="6" t="s">
        <v>43</v>
      </c>
      <c r="C8" s="6">
        <f>COUNTIF('Vietņu ieraksti'!E5:E493,A8)</f>
        <v>35</v>
      </c>
      <c r="D8" s="10">
        <f>SUMIF('Vietņu ieraksti'!E5:E493,A8,'Vietņu ieraksti'!H5:H493)</f>
        <v>5380</v>
      </c>
      <c r="E8" s="14">
        <f>_xlfn.MINIFS('Vietņu ieraksti'!B5:B493,'Vietņu ieraksti'!E5:E493,A8)</f>
        <v>46175</v>
      </c>
      <c r="F8" s="14">
        <f>_xlfn.MAXIFS('Vietņu ieraksti'!B5:B493,'Vietņu ieraksti'!E5:E493,A8)</f>
        <v>46265</v>
      </c>
      <c r="G8" s="6">
        <f>COUNTIF(Pārskatīšana!C5:C213,A8)</f>
        <v>20</v>
      </c>
      <c r="H8" s="6">
        <f>SUMPRODUCT(--('Vietņu ieraksti'!E5:E493=A8),--(LEN('Vietņu ieraksti'!R5:R493)&gt;0))</f>
        <v>1</v>
      </c>
      <c r="I8" s="6" t="s">
        <v>42</v>
      </c>
      <c r="J8" s="6" t="s">
        <v>44</v>
      </c>
    </row>
    <row r="9" spans="1:10" x14ac:dyDescent="0.25">
      <c r="A9" s="6" t="s">
        <v>45</v>
      </c>
      <c r="B9" s="6" t="s">
        <v>46</v>
      </c>
      <c r="C9" s="6">
        <f>COUNTIF('Vietņu ieraksti'!E5:E493,A9)</f>
        <v>32</v>
      </c>
      <c r="D9" s="10">
        <f>SUMIF('Vietņu ieraksti'!E5:E493,A9,'Vietņu ieraksti'!H5:H493)</f>
        <v>5482.28</v>
      </c>
      <c r="E9" s="14">
        <f>_xlfn.MINIFS('Vietņu ieraksti'!B5:B493,'Vietņu ieraksti'!E5:E493,A9)</f>
        <v>46065</v>
      </c>
      <c r="F9" s="14">
        <f>_xlfn.MAXIFS('Vietņu ieraksti'!B5:B493,'Vietņu ieraksti'!E5:E493,A9)</f>
        <v>46253</v>
      </c>
      <c r="G9" s="6">
        <f>COUNTIF(Pārskatīšana!C5:C213,A9)</f>
        <v>32</v>
      </c>
      <c r="H9" s="6">
        <f>SUMPRODUCT(--('Vietņu ieraksti'!E5:E493=A9),--(LEN('Vietņu ieraksti'!R5:R493)&gt;0))</f>
        <v>21</v>
      </c>
      <c r="I9" s="6" t="s">
        <v>3</v>
      </c>
      <c r="J9" s="6" t="s">
        <v>37</v>
      </c>
    </row>
    <row r="10" spans="1:10" x14ac:dyDescent="0.25">
      <c r="A10" s="6" t="s">
        <v>47</v>
      </c>
      <c r="B10" s="6" t="s">
        <v>48</v>
      </c>
      <c r="C10" s="6">
        <f>COUNTIF('Vietņu ieraksti'!E5:E493,A10)</f>
        <v>28</v>
      </c>
      <c r="D10" s="10">
        <f>SUMIF('Vietņu ieraksti'!E5:E493,A10,'Vietņu ieraksti'!H5:H493)</f>
        <v>3148</v>
      </c>
      <c r="E10" s="14">
        <f>_xlfn.MINIFS('Vietņu ieraksti'!B5:B493,'Vietņu ieraksti'!E5:E493,A10)</f>
        <v>46059</v>
      </c>
      <c r="F10" s="14">
        <f>_xlfn.MAXIFS('Vietņu ieraksti'!B5:B493,'Vietņu ieraksti'!E5:E493,A10)</f>
        <v>46192</v>
      </c>
      <c r="G10" s="6">
        <f>COUNTIF(Pārskatīšana!C5:C213,A10)</f>
        <v>2</v>
      </c>
      <c r="H10" s="6">
        <f>SUMPRODUCT(--('Vietņu ieraksti'!E5:E493=A10),--(LEN('Vietņu ieraksti'!R5:R493)&gt;0))</f>
        <v>11</v>
      </c>
      <c r="I10" s="6" t="s">
        <v>3</v>
      </c>
      <c r="J10" s="6" t="s">
        <v>37</v>
      </c>
    </row>
    <row r="11" spans="1:10" x14ac:dyDescent="0.25">
      <c r="A11" s="6" t="s">
        <v>49</v>
      </c>
      <c r="B11" s="6" t="s">
        <v>50</v>
      </c>
      <c r="C11" s="6">
        <f>COUNTIF('Vietņu ieraksti'!E5:E493,A11)</f>
        <v>23</v>
      </c>
      <c r="D11" s="10">
        <f>SUMIF('Vietņu ieraksti'!E5:E493,A11,'Vietņu ieraksti'!H5:H493)</f>
        <v>3030</v>
      </c>
      <c r="E11" s="14">
        <f>_xlfn.MINIFS('Vietņu ieraksti'!B5:B493,'Vietņu ieraksti'!E5:E493,A11)</f>
        <v>46036</v>
      </c>
      <c r="F11" s="14">
        <f>_xlfn.MAXIFS('Vietņu ieraksti'!B5:B493,'Vietņu ieraksti'!E5:E493,A11)</f>
        <v>46172</v>
      </c>
      <c r="G11" s="6">
        <f>COUNTIF(Pārskatīšana!C5:C213,A11)</f>
        <v>3</v>
      </c>
      <c r="H11" s="6">
        <f>SUMPRODUCT(--('Vietņu ieraksti'!E5:E493=A11),--(LEN('Vietņu ieraksti'!R5:R493)&gt;0))</f>
        <v>1</v>
      </c>
      <c r="I11" s="6" t="s">
        <v>3</v>
      </c>
      <c r="J11" s="6" t="s">
        <v>37</v>
      </c>
    </row>
    <row r="12" spans="1:10" x14ac:dyDescent="0.25">
      <c r="A12" s="6" t="s">
        <v>51</v>
      </c>
      <c r="B12" s="6" t="s">
        <v>52</v>
      </c>
      <c r="C12" s="6">
        <f>COUNTIF('Vietņu ieraksti'!E5:E493,A12)</f>
        <v>11</v>
      </c>
      <c r="D12" s="10">
        <f>SUMIF('Vietņu ieraksti'!E5:E493,A12,'Vietņu ieraksti'!H5:H493)</f>
        <v>70</v>
      </c>
      <c r="E12" s="14">
        <f>_xlfn.MINIFS('Vietņu ieraksti'!B5:B493,'Vietņu ieraksti'!E5:E493,A12)</f>
        <v>46219</v>
      </c>
      <c r="F12" s="14">
        <f>_xlfn.MAXIFS('Vietņu ieraksti'!B5:B493,'Vietņu ieraksti'!E5:E493,A12)</f>
        <v>46266</v>
      </c>
      <c r="G12" s="6">
        <f>COUNTIF(Pārskatīšana!C5:C213,A12)</f>
        <v>11</v>
      </c>
      <c r="H12" s="6">
        <f>SUMPRODUCT(--('Vietņu ieraksti'!E5:E493=A12),--(LEN('Vietņu ieraksti'!R5:R493)&gt;0))</f>
        <v>0</v>
      </c>
      <c r="I12" s="6" t="s">
        <v>51</v>
      </c>
      <c r="J12" s="6" t="s">
        <v>44</v>
      </c>
    </row>
    <row r="13" spans="1:10" x14ac:dyDescent="0.25">
      <c r="A13" s="6" t="s">
        <v>53</v>
      </c>
      <c r="B13" s="6" t="s">
        <v>54</v>
      </c>
      <c r="C13" s="6">
        <f>COUNTIF('Vietņu ieraksti'!E5:E493,A13)</f>
        <v>10</v>
      </c>
      <c r="D13" s="10">
        <f>SUMIF('Vietņu ieraksti'!E5:E493,A13,'Vietņu ieraksti'!H5:H493)</f>
        <v>2020</v>
      </c>
      <c r="E13" s="14">
        <f>_xlfn.MINIFS('Vietņu ieraksti'!B5:B493,'Vietņu ieraksti'!E5:E493,A13)</f>
        <v>46031</v>
      </c>
      <c r="F13" s="14">
        <f>_xlfn.MAXIFS('Vietņu ieraksti'!B5:B493,'Vietņu ieraksti'!E5:E493,A13)</f>
        <v>46068</v>
      </c>
      <c r="G13" s="6">
        <f>COUNTIF(Pārskatīšana!C5:C213,A13)</f>
        <v>1</v>
      </c>
      <c r="H13" s="6">
        <f>SUMPRODUCT(--('Vietņu ieraksti'!E5:E493=A13),--(LEN('Vietņu ieraksti'!R5:R493)&gt;0))</f>
        <v>4</v>
      </c>
      <c r="I13" s="6" t="s">
        <v>3</v>
      </c>
      <c r="J13" s="6" t="s">
        <v>37</v>
      </c>
    </row>
    <row r="14" spans="1:10" x14ac:dyDescent="0.25">
      <c r="A14" s="6" t="s">
        <v>55</v>
      </c>
      <c r="B14" s="6" t="s">
        <v>55</v>
      </c>
      <c r="C14" s="6">
        <f>COUNTIF('Vietņu ieraksti'!E5:E493,A14)</f>
        <v>8</v>
      </c>
      <c r="D14" s="10">
        <f>SUMIF('Vietņu ieraksti'!E5:E493,A14,'Vietņu ieraksti'!H5:H493)</f>
        <v>2592</v>
      </c>
      <c r="E14" s="14">
        <f>_xlfn.MINIFS('Vietņu ieraksti'!B5:B493,'Vietņu ieraksti'!E5:E493,A14)</f>
        <v>46030</v>
      </c>
      <c r="F14" s="14">
        <f>_xlfn.MAXIFS('Vietņu ieraksti'!B5:B493,'Vietņu ieraksti'!E5:E493,A14)</f>
        <v>46074</v>
      </c>
      <c r="G14" s="6">
        <f>COUNTIF(Pārskatīšana!C5:C213,A14)</f>
        <v>1</v>
      </c>
      <c r="H14" s="6">
        <f>SUMPRODUCT(--('Vietņu ieraksti'!E5:E493=A14),--(LEN('Vietņu ieraksti'!R5:R493)&gt;0))</f>
        <v>0</v>
      </c>
      <c r="I14" s="6" t="s">
        <v>3</v>
      </c>
      <c r="J14" s="6" t="s">
        <v>37</v>
      </c>
    </row>
    <row r="15" spans="1:10" x14ac:dyDescent="0.25">
      <c r="A15" s="6" t="s">
        <v>56</v>
      </c>
      <c r="B15" s="6" t="s">
        <v>57</v>
      </c>
      <c r="C15" s="6">
        <f>COUNTIF('Vietņu ieraksti'!E5:E493,A15)</f>
        <v>8</v>
      </c>
      <c r="D15" s="10">
        <f>SUMIF('Vietņu ieraksti'!E5:E493,A15,'Vietņu ieraksti'!H5:H493)</f>
        <v>528</v>
      </c>
      <c r="E15" s="14">
        <f>_xlfn.MINIFS('Vietņu ieraksti'!B5:B493,'Vietņu ieraksti'!E5:E493,A15)</f>
        <v>46036</v>
      </c>
      <c r="F15" s="14">
        <f>_xlfn.MAXIFS('Vietņu ieraksti'!B5:B493,'Vietņu ieraksti'!E5:E493,A15)</f>
        <v>46174</v>
      </c>
      <c r="G15" s="6">
        <f>COUNTIF(Pārskatīšana!C5:C213,A15)</f>
        <v>6</v>
      </c>
      <c r="H15" s="6">
        <f>SUMPRODUCT(--('Vietņu ieraksti'!E5:E493=A15),--(LEN('Vietņu ieraksti'!R5:R493)&gt;0))</f>
        <v>3</v>
      </c>
      <c r="I15" s="6" t="s">
        <v>3</v>
      </c>
      <c r="J15" s="6" t="s">
        <v>37</v>
      </c>
    </row>
    <row r="16" spans="1:10" x14ac:dyDescent="0.25">
      <c r="A16" s="6" t="s">
        <v>58</v>
      </c>
      <c r="B16" s="6" t="s">
        <v>58</v>
      </c>
      <c r="C16" s="6">
        <f>COUNTIF('Vietņu ieraksti'!E5:E493,A16)</f>
        <v>7</v>
      </c>
      <c r="D16" s="10">
        <f>SUMIF('Vietņu ieraksti'!E5:E493,A16,'Vietņu ieraksti'!H5:H493)</f>
        <v>1018</v>
      </c>
      <c r="E16" s="14">
        <f>_xlfn.MINIFS('Vietņu ieraksti'!B5:B493,'Vietņu ieraksti'!E5:E493,A16)</f>
        <v>46132</v>
      </c>
      <c r="F16" s="14">
        <f>_xlfn.MAXIFS('Vietņu ieraksti'!B5:B493,'Vietņu ieraksti'!E5:E493,A16)</f>
        <v>46174</v>
      </c>
      <c r="G16" s="6">
        <f>COUNTIF(Pārskatīšana!C5:C213,A16)</f>
        <v>3</v>
      </c>
      <c r="H16" s="6">
        <f>SUMPRODUCT(--('Vietņu ieraksti'!E5:E493=A16),--(LEN('Vietņu ieraksti'!R5:R493)&gt;0))</f>
        <v>2</v>
      </c>
      <c r="I16" s="6" t="s">
        <v>3</v>
      </c>
      <c r="J16" s="6" t="s">
        <v>37</v>
      </c>
    </row>
    <row r="17" spans="1:10" x14ac:dyDescent="0.25">
      <c r="A17" s="6" t="s">
        <v>59</v>
      </c>
      <c r="B17" s="6" t="s">
        <v>60</v>
      </c>
      <c r="C17" s="6">
        <f>COUNTIF('Vietņu ieraksti'!E5:E493,A17)</f>
        <v>5</v>
      </c>
      <c r="D17" s="10">
        <f>SUMIF('Vietņu ieraksti'!E5:E493,A17,'Vietņu ieraksti'!H5:H493)</f>
        <v>2700</v>
      </c>
      <c r="E17" s="14">
        <f>_xlfn.MINIFS('Vietņu ieraksti'!B5:B493,'Vietņu ieraksti'!E5:E493,A17)</f>
        <v>46027</v>
      </c>
      <c r="F17" s="14">
        <f>_xlfn.MAXIFS('Vietņu ieraksti'!B5:B493,'Vietņu ieraksti'!E5:E493,A17)</f>
        <v>46094</v>
      </c>
      <c r="G17" s="6">
        <f>COUNTIF(Pārskatīšana!C5:C213,A17)</f>
        <v>1</v>
      </c>
      <c r="H17" s="6">
        <f>SUMPRODUCT(--('Vietņu ieraksti'!E5:E493=A17),--(LEN('Vietņu ieraksti'!R5:R493)&gt;0))</f>
        <v>3</v>
      </c>
      <c r="I17" s="6" t="s">
        <v>3</v>
      </c>
      <c r="J17" s="6" t="s">
        <v>37</v>
      </c>
    </row>
    <row r="18" spans="1:10" x14ac:dyDescent="0.25">
      <c r="A18" s="6" t="s">
        <v>61</v>
      </c>
      <c r="B18" s="6" t="s">
        <v>61</v>
      </c>
      <c r="C18" s="6">
        <f>COUNTIF('Vietņu ieraksti'!E5:E493,A18)</f>
        <v>5</v>
      </c>
      <c r="D18" s="10">
        <f>SUMIF('Vietņu ieraksti'!E5:E493,A18,'Vietņu ieraksti'!H5:H493)</f>
        <v>886</v>
      </c>
      <c r="E18" s="14">
        <f>_xlfn.MINIFS('Vietņu ieraksti'!B5:B493,'Vietņu ieraksti'!E5:E493,A18)</f>
        <v>46231</v>
      </c>
      <c r="F18" s="14">
        <f>_xlfn.MAXIFS('Vietņu ieraksti'!B5:B493,'Vietņu ieraksti'!E5:E493,A18)</f>
        <v>46255</v>
      </c>
      <c r="G18" s="6">
        <f>COUNTIF(Pārskatīšana!C5:C213,A18)</f>
        <v>0</v>
      </c>
      <c r="H18" s="6">
        <f>SUMPRODUCT(--('Vietņu ieraksti'!E5:E493=A18),--(LEN('Vietņu ieraksti'!R5:R493)&gt;0))</f>
        <v>0</v>
      </c>
      <c r="I18" s="6" t="s">
        <v>3</v>
      </c>
      <c r="J18" s="6" t="s">
        <v>37</v>
      </c>
    </row>
    <row r="19" spans="1:10" x14ac:dyDescent="0.25">
      <c r="A19" s="6" t="s">
        <v>62</v>
      </c>
      <c r="B19" s="6" t="s">
        <v>62</v>
      </c>
      <c r="C19" s="6">
        <f>COUNTIF('Vietņu ieraksti'!E5:E493,A19)</f>
        <v>5</v>
      </c>
      <c r="D19" s="10">
        <f>SUMIF('Vietņu ieraksti'!E5:E493,A19,'Vietņu ieraksti'!H5:H493)</f>
        <v>1599</v>
      </c>
      <c r="E19" s="14">
        <f>_xlfn.MINIFS('Vietņu ieraksti'!B5:B493,'Vietņu ieraksti'!E5:E493,A19)</f>
        <v>46119</v>
      </c>
      <c r="F19" s="14">
        <f>_xlfn.MAXIFS('Vietņu ieraksti'!B5:B493,'Vietņu ieraksti'!E5:E493,A19)</f>
        <v>46135</v>
      </c>
      <c r="G19" s="6">
        <f>COUNTIF(Pārskatīšana!C5:C213,A19)</f>
        <v>2</v>
      </c>
      <c r="H19" s="6">
        <f>SUMPRODUCT(--('Vietņu ieraksti'!E5:E493=A19),--(LEN('Vietņu ieraksti'!R5:R493)&gt;0))</f>
        <v>3</v>
      </c>
      <c r="I19" s="6" t="s">
        <v>3</v>
      </c>
      <c r="J19" s="6" t="s">
        <v>37</v>
      </c>
    </row>
    <row r="20" spans="1:10" x14ac:dyDescent="0.25">
      <c r="A20" s="6" t="s">
        <v>63</v>
      </c>
      <c r="B20" s="6" t="s">
        <v>64</v>
      </c>
      <c r="C20" s="6">
        <f>COUNTIF('Vietņu ieraksti'!E5:E493,A20)</f>
        <v>5</v>
      </c>
      <c r="D20" s="10">
        <f>SUMIF('Vietņu ieraksti'!E5:E493,A20,'Vietņu ieraksti'!H5:H493)</f>
        <v>211</v>
      </c>
      <c r="E20" s="14">
        <f>_xlfn.MINIFS('Vietņu ieraksti'!B5:B493,'Vietņu ieraksti'!E5:E493,A20)</f>
        <v>46156</v>
      </c>
      <c r="F20" s="14">
        <f>_xlfn.MAXIFS('Vietņu ieraksti'!B5:B493,'Vietņu ieraksti'!E5:E493,A20)</f>
        <v>46161</v>
      </c>
      <c r="G20" s="6">
        <f>COUNTIF(Pārskatīšana!C5:C213,A20)</f>
        <v>5</v>
      </c>
      <c r="H20" s="6">
        <f>SUMPRODUCT(--('Vietņu ieraksti'!E5:E493=A20),--(LEN('Vietņu ieraksti'!R5:R493)&gt;0))</f>
        <v>0</v>
      </c>
      <c r="I20" s="6" t="s">
        <v>3</v>
      </c>
      <c r="J20" s="6" t="s">
        <v>37</v>
      </c>
    </row>
    <row r="21" spans="1:10" x14ac:dyDescent="0.25">
      <c r="A21" s="6" t="s">
        <v>65</v>
      </c>
      <c r="B21" s="6" t="s">
        <v>65</v>
      </c>
      <c r="C21" s="6">
        <f>COUNTIF('Vietņu ieraksti'!E5:E493,A21)</f>
        <v>6</v>
      </c>
      <c r="D21" s="10">
        <f>SUMIF('Vietņu ieraksti'!E5:E493,A21,'Vietņu ieraksti'!H5:H493)</f>
        <v>1509</v>
      </c>
      <c r="E21" s="14">
        <f>_xlfn.MINIFS('Vietņu ieraksti'!B5:B493,'Vietņu ieraksti'!E5:E493,A21)</f>
        <v>46232</v>
      </c>
      <c r="F21" s="14">
        <f>_xlfn.MAXIFS('Vietņu ieraksti'!B5:B493,'Vietņu ieraksti'!E5:E493,A21)</f>
        <v>46264</v>
      </c>
      <c r="G21" s="6">
        <f>COUNTIF(Pārskatīšana!C5:C213,A21)</f>
        <v>0</v>
      </c>
      <c r="H21" s="6">
        <f>SUMPRODUCT(--('Vietņu ieraksti'!E5:E493=A21),--(LEN('Vietņu ieraksti'!R5:R493)&gt;0))</f>
        <v>2</v>
      </c>
      <c r="I21" s="6" t="s">
        <v>3</v>
      </c>
      <c r="J21" s="6" t="s">
        <v>37</v>
      </c>
    </row>
    <row r="22" spans="1:10" x14ac:dyDescent="0.25">
      <c r="A22" s="6" t="s">
        <v>66</v>
      </c>
      <c r="B22" s="6" t="s">
        <v>66</v>
      </c>
      <c r="C22" s="6">
        <f>COUNTIF('Vietņu ieraksti'!E5:E493,A22)</f>
        <v>4</v>
      </c>
      <c r="D22" s="10">
        <f>SUMIF('Vietņu ieraksti'!E5:E493,A22,'Vietņu ieraksti'!H5:H493)</f>
        <v>1090</v>
      </c>
      <c r="E22" s="14">
        <f>_xlfn.MINIFS('Vietņu ieraksti'!B5:B493,'Vietņu ieraksti'!E5:E493,A22)</f>
        <v>46128</v>
      </c>
      <c r="F22" s="14">
        <f>_xlfn.MAXIFS('Vietņu ieraksti'!B5:B493,'Vietņu ieraksti'!E5:E493,A22)</f>
        <v>46149</v>
      </c>
      <c r="G22" s="6">
        <f>COUNTIF(Pārskatīšana!C5:C213,A22)</f>
        <v>0</v>
      </c>
      <c r="H22" s="6">
        <f>SUMPRODUCT(--('Vietņu ieraksti'!E5:E493=A22),--(LEN('Vietņu ieraksti'!R5:R493)&gt;0))</f>
        <v>0</v>
      </c>
      <c r="I22" s="6" t="s">
        <v>3</v>
      </c>
      <c r="J22" s="6" t="s">
        <v>37</v>
      </c>
    </row>
    <row r="23" spans="1:10" x14ac:dyDescent="0.25">
      <c r="A23" s="6" t="s">
        <v>67</v>
      </c>
      <c r="B23" s="6" t="s">
        <v>67</v>
      </c>
      <c r="C23" s="6">
        <f>COUNTIF('Vietņu ieraksti'!E5:E493,A23)</f>
        <v>4</v>
      </c>
      <c r="D23" s="10">
        <f>SUMIF('Vietņu ieraksti'!E5:E493,A23,'Vietņu ieraksti'!H5:H493)</f>
        <v>705</v>
      </c>
      <c r="E23" s="14">
        <f>_xlfn.MINIFS('Vietņu ieraksti'!B5:B493,'Vietņu ieraksti'!E5:E493,A23)</f>
        <v>46069</v>
      </c>
      <c r="F23" s="14">
        <f>_xlfn.MAXIFS('Vietņu ieraksti'!B5:B493,'Vietņu ieraksti'!E5:E493,A23)</f>
        <v>46097</v>
      </c>
      <c r="G23" s="6">
        <f>COUNTIF(Pārskatīšana!C5:C213,A23)</f>
        <v>0</v>
      </c>
      <c r="H23" s="6">
        <f>SUMPRODUCT(--('Vietņu ieraksti'!E5:E493=A23),--(LEN('Vietņu ieraksti'!R5:R493)&gt;0))</f>
        <v>0</v>
      </c>
      <c r="I23" s="6" t="s">
        <v>3</v>
      </c>
      <c r="J23" s="6" t="s">
        <v>37</v>
      </c>
    </row>
    <row r="24" spans="1:10" x14ac:dyDescent="0.25">
      <c r="A24" s="6" t="s">
        <v>68</v>
      </c>
      <c r="B24" s="6" t="s">
        <v>68</v>
      </c>
      <c r="C24" s="6">
        <f>COUNTIF('Vietņu ieraksti'!E5:E493,A24)</f>
        <v>4</v>
      </c>
      <c r="D24" s="10">
        <f>SUMIF('Vietņu ieraksti'!E5:E493,A24,'Vietņu ieraksti'!H5:H493)</f>
        <v>805</v>
      </c>
      <c r="E24" s="14">
        <f>_xlfn.MINIFS('Vietņu ieraksti'!B5:B493,'Vietņu ieraksti'!E5:E493,A24)</f>
        <v>46072</v>
      </c>
      <c r="F24" s="14">
        <f>_xlfn.MAXIFS('Vietņu ieraksti'!B5:B493,'Vietņu ieraksti'!E5:E493,A24)</f>
        <v>46076</v>
      </c>
      <c r="G24" s="6">
        <f>COUNTIF(Pārskatīšana!C5:C213,A24)</f>
        <v>0</v>
      </c>
      <c r="H24" s="6">
        <f>SUMPRODUCT(--('Vietņu ieraksti'!E5:E493=A24),--(LEN('Vietņu ieraksti'!R5:R493)&gt;0))</f>
        <v>4</v>
      </c>
      <c r="I24" s="6" t="s">
        <v>3</v>
      </c>
      <c r="J24" s="6" t="s">
        <v>37</v>
      </c>
    </row>
    <row r="25" spans="1:10" x14ac:dyDescent="0.25">
      <c r="A25" s="6" t="s">
        <v>69</v>
      </c>
      <c r="B25" s="6" t="s">
        <v>69</v>
      </c>
      <c r="C25" s="6">
        <f>COUNTIF('Vietņu ieraksti'!E5:E493,A25)</f>
        <v>4</v>
      </c>
      <c r="D25" s="10">
        <f>SUMIF('Vietņu ieraksti'!E5:E493,A25,'Vietņu ieraksti'!H5:H493)</f>
        <v>948</v>
      </c>
      <c r="E25" s="14">
        <f>_xlfn.MINIFS('Vietņu ieraksti'!B5:B493,'Vietņu ieraksti'!E5:E493,A25)</f>
        <v>46108</v>
      </c>
      <c r="F25" s="14">
        <f>_xlfn.MAXIFS('Vietņu ieraksti'!B5:B493,'Vietņu ieraksti'!E5:E493,A25)</f>
        <v>46108</v>
      </c>
      <c r="G25" s="6">
        <f>COUNTIF(Pārskatīšana!C5:C213,A25)</f>
        <v>0</v>
      </c>
      <c r="H25" s="6">
        <f>SUMPRODUCT(--('Vietņu ieraksti'!E5:E493=A25),--(LEN('Vietņu ieraksti'!R5:R493)&gt;0))</f>
        <v>4</v>
      </c>
      <c r="I25" s="6" t="s">
        <v>3</v>
      </c>
      <c r="J25" s="6" t="s">
        <v>37</v>
      </c>
    </row>
    <row r="26" spans="1:10" x14ac:dyDescent="0.25">
      <c r="A26" s="6" t="s">
        <v>70</v>
      </c>
      <c r="B26" s="6" t="s">
        <v>70</v>
      </c>
      <c r="C26" s="6">
        <f>COUNTIF('Vietņu ieraksti'!E5:E493,A26)</f>
        <v>3</v>
      </c>
      <c r="D26" s="10">
        <f>SUMIF('Vietņu ieraksti'!E5:E493,A26,'Vietņu ieraksti'!H5:H493)</f>
        <v>640</v>
      </c>
      <c r="E26" s="14">
        <f>_xlfn.MINIFS('Vietņu ieraksti'!B5:B493,'Vietņu ieraksti'!E5:E493,A26)</f>
        <v>46122</v>
      </c>
      <c r="F26" s="14">
        <f>_xlfn.MAXIFS('Vietņu ieraksti'!B5:B493,'Vietņu ieraksti'!E5:E493,A26)</f>
        <v>46141</v>
      </c>
      <c r="G26" s="6">
        <f>COUNTIF(Pārskatīšana!C5:C213,A26)</f>
        <v>3</v>
      </c>
      <c r="H26" s="6">
        <f>SUMPRODUCT(--('Vietņu ieraksti'!E5:E493=A26),--(LEN('Vietņu ieraksti'!R5:R493)&gt;0))</f>
        <v>2</v>
      </c>
      <c r="I26" s="6" t="s">
        <v>3</v>
      </c>
      <c r="J26" s="6" t="s">
        <v>37</v>
      </c>
    </row>
    <row r="27" spans="1:10" x14ac:dyDescent="0.25">
      <c r="A27" s="6" t="s">
        <v>71</v>
      </c>
      <c r="B27" s="6" t="s">
        <v>71</v>
      </c>
      <c r="C27" s="6">
        <f>COUNTIF('Vietņu ieraksti'!E5:E493,A27)</f>
        <v>3</v>
      </c>
      <c r="D27" s="10">
        <f>SUMIF('Vietņu ieraksti'!E5:E493,A27,'Vietņu ieraksti'!H5:H493)</f>
        <v>700</v>
      </c>
      <c r="E27" s="14">
        <f>_xlfn.MINIFS('Vietņu ieraksti'!B5:B493,'Vietņu ieraksti'!E5:E493,A27)</f>
        <v>46142</v>
      </c>
      <c r="F27" s="14">
        <f>_xlfn.MAXIFS('Vietņu ieraksti'!B5:B493,'Vietņu ieraksti'!E5:E493,A27)</f>
        <v>46169</v>
      </c>
      <c r="G27" s="6">
        <f>COUNTIF(Pārskatīšana!C5:C213,A27)</f>
        <v>1</v>
      </c>
      <c r="H27" s="6">
        <f>SUMPRODUCT(--('Vietņu ieraksti'!E5:E493=A27),--(LEN('Vietņu ieraksti'!R5:R493)&gt;0))</f>
        <v>2</v>
      </c>
      <c r="I27" s="6" t="s">
        <v>3</v>
      </c>
      <c r="J27" s="6" t="s">
        <v>37</v>
      </c>
    </row>
    <row r="28" spans="1:10" x14ac:dyDescent="0.25">
      <c r="A28" s="6" t="s">
        <v>72</v>
      </c>
      <c r="B28" s="6" t="s">
        <v>72</v>
      </c>
      <c r="C28" s="6">
        <f>COUNTIF('Vietņu ieraksti'!E5:E493,A28)</f>
        <v>3</v>
      </c>
      <c r="D28" s="10">
        <f>SUMIF('Vietņu ieraksti'!E5:E493,A28,'Vietņu ieraksti'!H5:H493)</f>
        <v>501</v>
      </c>
      <c r="E28" s="14">
        <f>_xlfn.MINIFS('Vietņu ieraksti'!B5:B493,'Vietņu ieraksti'!E5:E493,A28)</f>
        <v>46056</v>
      </c>
      <c r="F28" s="14">
        <f>_xlfn.MAXIFS('Vietņu ieraksti'!B5:B493,'Vietņu ieraksti'!E5:E493,A28)</f>
        <v>46098</v>
      </c>
      <c r="G28" s="6">
        <f>COUNTIF(Pārskatīšana!C5:C213,A28)</f>
        <v>2</v>
      </c>
      <c r="H28" s="6">
        <f>SUMPRODUCT(--('Vietņu ieraksti'!E5:E493=A28),--(LEN('Vietņu ieraksti'!R5:R493)&gt;0))</f>
        <v>0</v>
      </c>
      <c r="I28" s="6" t="s">
        <v>3</v>
      </c>
      <c r="J28" s="6" t="s">
        <v>37</v>
      </c>
    </row>
    <row r="29" spans="1:10" x14ac:dyDescent="0.25">
      <c r="A29" s="6" t="s">
        <v>73</v>
      </c>
      <c r="B29" s="6" t="s">
        <v>73</v>
      </c>
      <c r="C29" s="6">
        <f>COUNTIF('Vietņu ieraksti'!E5:E493,A29)</f>
        <v>3</v>
      </c>
      <c r="D29" s="10">
        <f>SUMIF('Vietņu ieraksti'!E5:E493,A29,'Vietņu ieraksti'!H5:H493)</f>
        <v>1039</v>
      </c>
      <c r="E29" s="14">
        <f>_xlfn.MINIFS('Vietņu ieraksti'!B5:B493,'Vietņu ieraksti'!E5:E493,A29)</f>
        <v>46063</v>
      </c>
      <c r="F29" s="14">
        <f>_xlfn.MAXIFS('Vietņu ieraksti'!B5:B493,'Vietņu ieraksti'!E5:E493,A29)</f>
        <v>46085</v>
      </c>
      <c r="G29" s="6">
        <f>COUNTIF(Pārskatīšana!C5:C213,A29)</f>
        <v>2</v>
      </c>
      <c r="H29" s="6">
        <f>SUMPRODUCT(--('Vietņu ieraksti'!E5:E493=A29),--(LEN('Vietņu ieraksti'!R5:R493)&gt;0))</f>
        <v>0</v>
      </c>
      <c r="I29" s="6" t="s">
        <v>3</v>
      </c>
      <c r="J29" s="6" t="s">
        <v>37</v>
      </c>
    </row>
    <row r="30" spans="1:10" x14ac:dyDescent="0.25">
      <c r="A30" s="6" t="s">
        <v>74</v>
      </c>
      <c r="B30" s="6" t="s">
        <v>74</v>
      </c>
      <c r="C30" s="6">
        <f>COUNTIF('Vietņu ieraksti'!E5:E493,A30)</f>
        <v>3</v>
      </c>
      <c r="D30" s="10">
        <f>SUMIF('Vietņu ieraksti'!E5:E493,A30,'Vietņu ieraksti'!H5:H493)</f>
        <v>914</v>
      </c>
      <c r="E30" s="14">
        <f>_xlfn.MINIFS('Vietņu ieraksti'!B5:B493,'Vietņu ieraksti'!E5:E493,A30)</f>
        <v>46169</v>
      </c>
      <c r="F30" s="14">
        <f>_xlfn.MAXIFS('Vietņu ieraksti'!B5:B493,'Vietņu ieraksti'!E5:E493,A30)</f>
        <v>46171</v>
      </c>
      <c r="G30" s="6">
        <f>COUNTIF(Pārskatīšana!C5:C213,A30)</f>
        <v>0</v>
      </c>
      <c r="H30" s="6">
        <f>SUMPRODUCT(--('Vietņu ieraksti'!E5:E493=A30),--(LEN('Vietņu ieraksti'!R5:R493)&gt;0))</f>
        <v>0</v>
      </c>
      <c r="I30" s="6" t="s">
        <v>3</v>
      </c>
      <c r="J30" s="6" t="s">
        <v>37</v>
      </c>
    </row>
    <row r="31" spans="1:10" x14ac:dyDescent="0.25">
      <c r="A31" s="6" t="s">
        <v>75</v>
      </c>
      <c r="B31" s="6" t="s">
        <v>76</v>
      </c>
      <c r="C31" s="6">
        <f>COUNTIF('Vietņu ieraksti'!E5:E493,A31)</f>
        <v>3</v>
      </c>
      <c r="D31" s="10">
        <f>SUMIF('Vietņu ieraksti'!E5:E493,A31,'Vietņu ieraksti'!H5:H493)</f>
        <v>0</v>
      </c>
      <c r="E31" s="14">
        <f>_xlfn.MINIFS('Vietņu ieraksti'!B5:B493,'Vietņu ieraksti'!E5:E493,A31)</f>
        <v>46028</v>
      </c>
      <c r="F31" s="14">
        <f>_xlfn.MAXIFS('Vietņu ieraksti'!B5:B493,'Vietņu ieraksti'!E5:E493,A31)</f>
        <v>46162</v>
      </c>
      <c r="G31" s="6">
        <f>COUNTIF(Pārskatīšana!C5:C213,A31)</f>
        <v>3</v>
      </c>
      <c r="H31" s="6">
        <f>SUMPRODUCT(--('Vietņu ieraksti'!E5:E493=A31),--(LEN('Vietņu ieraksti'!R5:R493)&gt;0))</f>
        <v>1</v>
      </c>
      <c r="I31" s="6" t="s">
        <v>3</v>
      </c>
      <c r="J31" s="6" t="s">
        <v>37</v>
      </c>
    </row>
    <row r="32" spans="1:10" x14ac:dyDescent="0.25">
      <c r="A32" s="6" t="s">
        <v>77</v>
      </c>
      <c r="B32" s="6" t="s">
        <v>77</v>
      </c>
      <c r="C32" s="6">
        <f>COUNTIF('Vietņu ieraksti'!E5:E493,A32)</f>
        <v>3</v>
      </c>
      <c r="D32" s="10">
        <f>SUMIF('Vietņu ieraksti'!E5:E493,A32,'Vietņu ieraksti'!H5:H493)</f>
        <v>860</v>
      </c>
      <c r="E32" s="14">
        <f>_xlfn.MINIFS('Vietņu ieraksti'!B5:B493,'Vietņu ieraksti'!E5:E493,A32)</f>
        <v>46153</v>
      </c>
      <c r="F32" s="14">
        <f>_xlfn.MAXIFS('Vietņu ieraksti'!B5:B493,'Vietņu ieraksti'!E5:E493,A32)</f>
        <v>46155</v>
      </c>
      <c r="G32" s="6">
        <f>COUNTIF(Pārskatīšana!C5:C213,A32)</f>
        <v>0</v>
      </c>
      <c r="H32" s="6">
        <f>SUMPRODUCT(--('Vietņu ieraksti'!E5:E493=A32),--(LEN('Vietņu ieraksti'!R5:R493)&gt;0))</f>
        <v>3</v>
      </c>
      <c r="I32" s="6" t="s">
        <v>3</v>
      </c>
      <c r="J32" s="6" t="s">
        <v>37</v>
      </c>
    </row>
    <row r="33" spans="1:10" x14ac:dyDescent="0.25">
      <c r="A33" s="6" t="s">
        <v>78</v>
      </c>
      <c r="B33" s="6" t="s">
        <v>78</v>
      </c>
      <c r="C33" s="6">
        <f>COUNTIF('Vietņu ieraksti'!E5:E493,A33)</f>
        <v>3</v>
      </c>
      <c r="D33" s="10">
        <f>SUMIF('Vietņu ieraksti'!E5:E493,A33,'Vietņu ieraksti'!H5:H493)</f>
        <v>998</v>
      </c>
      <c r="E33" s="14">
        <f>_xlfn.MINIFS('Vietņu ieraksti'!B5:B493,'Vietņu ieraksti'!E5:E493,A33)</f>
        <v>46176</v>
      </c>
      <c r="F33" s="14">
        <f>_xlfn.MAXIFS('Vietņu ieraksti'!B5:B493,'Vietņu ieraksti'!E5:E493,A33)</f>
        <v>46182</v>
      </c>
      <c r="G33" s="6">
        <f>COUNTIF(Pārskatīšana!C5:C213,A33)</f>
        <v>0</v>
      </c>
      <c r="H33" s="6">
        <f>SUMPRODUCT(--('Vietņu ieraksti'!E5:E493=A33),--(LEN('Vietņu ieraksti'!R5:R493)&gt;0))</f>
        <v>3</v>
      </c>
      <c r="I33" s="6" t="s">
        <v>3</v>
      </c>
      <c r="J33" s="6" t="s">
        <v>37</v>
      </c>
    </row>
    <row r="34" spans="1:10" x14ac:dyDescent="0.25">
      <c r="A34" s="6" t="s">
        <v>79</v>
      </c>
      <c r="B34" s="6" t="s">
        <v>79</v>
      </c>
      <c r="C34" s="6">
        <f>COUNTIF('Vietņu ieraksti'!E5:E493,A34)</f>
        <v>3</v>
      </c>
      <c r="D34" s="10">
        <f>SUMIF('Vietņu ieraksti'!E5:E493,A34,'Vietņu ieraksti'!H5:H493)</f>
        <v>184</v>
      </c>
      <c r="E34" s="14">
        <f>_xlfn.MINIFS('Vietņu ieraksti'!B5:B493,'Vietņu ieraksti'!E5:E493,A34)</f>
        <v>46228</v>
      </c>
      <c r="F34" s="14">
        <f>_xlfn.MAXIFS('Vietņu ieraksti'!B5:B493,'Vietņu ieraksti'!E5:E493,A34)</f>
        <v>46248</v>
      </c>
      <c r="G34" s="6">
        <f>COUNTIF(Pārskatīšana!C5:C213,A34)</f>
        <v>1</v>
      </c>
      <c r="H34" s="6">
        <f>SUMPRODUCT(--('Vietņu ieraksti'!E5:E493=A34),--(LEN('Vietņu ieraksti'!R5:R493)&gt;0))</f>
        <v>0</v>
      </c>
      <c r="I34" s="6" t="s">
        <v>3</v>
      </c>
      <c r="J34" s="6" t="s">
        <v>37</v>
      </c>
    </row>
    <row r="35" spans="1:10" x14ac:dyDescent="0.25">
      <c r="A35" s="6" t="s">
        <v>80</v>
      </c>
      <c r="B35" s="6" t="s">
        <v>80</v>
      </c>
      <c r="C35" s="6">
        <f>COUNTIF('Vietņu ieraksti'!E5:E493,A35)</f>
        <v>3</v>
      </c>
      <c r="D35" s="10">
        <f>SUMIF('Vietņu ieraksti'!E5:E493,A35,'Vietņu ieraksti'!H5:H493)</f>
        <v>846</v>
      </c>
      <c r="E35" s="14">
        <f>_xlfn.MINIFS('Vietņu ieraksti'!B5:B493,'Vietņu ieraksti'!E5:E493,A35)</f>
        <v>46093</v>
      </c>
      <c r="F35" s="14">
        <f>_xlfn.MAXIFS('Vietņu ieraksti'!B5:B493,'Vietņu ieraksti'!E5:E493,A35)</f>
        <v>46194</v>
      </c>
      <c r="G35" s="6">
        <f>COUNTIF(Pārskatīšana!C5:C213,A35)</f>
        <v>3</v>
      </c>
      <c r="H35" s="6">
        <f>SUMPRODUCT(--('Vietņu ieraksti'!E5:E493=A35),--(LEN('Vietņu ieraksti'!R5:R493)&gt;0))</f>
        <v>3</v>
      </c>
      <c r="I35" s="6" t="s">
        <v>3</v>
      </c>
      <c r="J35" s="6" t="s">
        <v>37</v>
      </c>
    </row>
    <row r="36" spans="1:10" x14ac:dyDescent="0.25">
      <c r="A36" s="6" t="s">
        <v>81</v>
      </c>
      <c r="B36" s="6" t="s">
        <v>81</v>
      </c>
      <c r="C36" s="6">
        <f>COUNTIF('Vietņu ieraksti'!E5:E493,A36)</f>
        <v>3</v>
      </c>
      <c r="D36" s="10">
        <f>SUMIF('Vietņu ieraksti'!E5:E493,A36,'Vietņu ieraksti'!H5:H493)</f>
        <v>447</v>
      </c>
      <c r="E36" s="14">
        <f>_xlfn.MINIFS('Vietņu ieraksti'!B5:B493,'Vietņu ieraksti'!E5:E493,A36)</f>
        <v>46210</v>
      </c>
      <c r="F36" s="14">
        <f>_xlfn.MAXIFS('Vietņu ieraksti'!B5:B493,'Vietņu ieraksti'!E5:E493,A36)</f>
        <v>46210</v>
      </c>
      <c r="G36" s="6">
        <f>COUNTIF(Pārskatīšana!C5:C213,A36)</f>
        <v>3</v>
      </c>
      <c r="H36" s="6">
        <f>SUMPRODUCT(--('Vietņu ieraksti'!E5:E493=A36),--(LEN('Vietņu ieraksti'!R5:R493)&gt;0))</f>
        <v>3</v>
      </c>
      <c r="I36" s="6" t="s">
        <v>3</v>
      </c>
      <c r="J36" s="6" t="s">
        <v>37</v>
      </c>
    </row>
    <row r="37" spans="1:10" x14ac:dyDescent="0.25">
      <c r="A37" s="6" t="s">
        <v>82</v>
      </c>
      <c r="B37" s="6" t="s">
        <v>82</v>
      </c>
      <c r="C37" s="6">
        <f>COUNTIF('Vietņu ieraksti'!E5:E493,A37)</f>
        <v>3</v>
      </c>
      <c r="D37" s="10">
        <f>SUMIF('Vietņu ieraksti'!E5:E493,A37,'Vietņu ieraksti'!H5:H493)</f>
        <v>134</v>
      </c>
      <c r="E37" s="14">
        <f>_xlfn.MINIFS('Vietņu ieraksti'!B5:B493,'Vietņu ieraksti'!E5:E493,A37)</f>
        <v>46085</v>
      </c>
      <c r="F37" s="14">
        <f>_xlfn.MAXIFS('Vietņu ieraksti'!B5:B493,'Vietņu ieraksti'!E5:E493,A37)</f>
        <v>46087</v>
      </c>
      <c r="G37" s="6">
        <f>COUNTIF(Pārskatīšana!C5:C213,A37)</f>
        <v>2</v>
      </c>
      <c r="H37" s="6">
        <f>SUMPRODUCT(--('Vietņu ieraksti'!E5:E493=A37),--(LEN('Vietņu ieraksti'!R5:R493)&gt;0))</f>
        <v>0</v>
      </c>
      <c r="I37" s="6" t="s">
        <v>3</v>
      </c>
      <c r="J37" s="6" t="s">
        <v>37</v>
      </c>
    </row>
    <row r="38" spans="1:10" x14ac:dyDescent="0.25">
      <c r="A38" s="6" t="s">
        <v>83</v>
      </c>
      <c r="B38" s="6" t="s">
        <v>83</v>
      </c>
      <c r="C38" s="6">
        <f>COUNTIF('Vietņu ieraksti'!E5:E493,A38)</f>
        <v>3</v>
      </c>
      <c r="D38" s="10">
        <f>SUMIF('Vietņu ieraksti'!E5:E493,A38,'Vietņu ieraksti'!H5:H493)</f>
        <v>435</v>
      </c>
      <c r="E38" s="14">
        <f>_xlfn.MINIFS('Vietņu ieraksti'!B5:B493,'Vietņu ieraksti'!E5:E493,A38)</f>
        <v>46265</v>
      </c>
      <c r="F38" s="14">
        <f>_xlfn.MAXIFS('Vietņu ieraksti'!B5:B493,'Vietņu ieraksti'!E5:E493,A38)</f>
        <v>46266</v>
      </c>
      <c r="G38" s="6">
        <f>COUNTIF(Pārskatīšana!C5:C213,A38)</f>
        <v>0</v>
      </c>
      <c r="H38" s="6">
        <f>SUMPRODUCT(--('Vietņu ieraksti'!E5:E493=A38),--(LEN('Vietņu ieraksti'!R5:R493)&gt;0))</f>
        <v>2</v>
      </c>
      <c r="I38" s="6" t="s">
        <v>83</v>
      </c>
      <c r="J38" s="6" t="s">
        <v>44</v>
      </c>
    </row>
    <row r="39" spans="1:10" x14ac:dyDescent="0.25">
      <c r="A39" s="6" t="s">
        <v>84</v>
      </c>
      <c r="B39" s="6" t="s">
        <v>84</v>
      </c>
      <c r="C39" s="6">
        <f>COUNTIF('Vietņu ieraksti'!E5:E493,A39)</f>
        <v>3</v>
      </c>
      <c r="D39" s="10">
        <f>SUMIF('Vietņu ieraksti'!E5:E493,A39,'Vietņu ieraksti'!H5:H493)</f>
        <v>131</v>
      </c>
      <c r="E39" s="14">
        <f>_xlfn.MINIFS('Vietņu ieraksti'!B5:B493,'Vietņu ieraksti'!E5:E493,A39)</f>
        <v>46185</v>
      </c>
      <c r="F39" s="14">
        <f>_xlfn.MAXIFS('Vietņu ieraksti'!B5:B493,'Vietņu ieraksti'!E5:E493,A39)</f>
        <v>46185</v>
      </c>
      <c r="G39" s="6">
        <f>COUNTIF(Pārskatīšana!C5:C213,A39)</f>
        <v>0</v>
      </c>
      <c r="H39" s="6">
        <f>SUMPRODUCT(--('Vietņu ieraksti'!E5:E493=A39),--(LEN('Vietņu ieraksti'!R5:R493)&gt;0))</f>
        <v>0</v>
      </c>
      <c r="I39" s="6" t="s">
        <v>3</v>
      </c>
      <c r="J39" s="6" t="s">
        <v>37</v>
      </c>
    </row>
    <row r="40" spans="1:10" x14ac:dyDescent="0.25">
      <c r="A40" s="6" t="s">
        <v>85</v>
      </c>
      <c r="B40" s="6" t="s">
        <v>85</v>
      </c>
      <c r="C40" s="6">
        <f>COUNTIF('Vietņu ieraksti'!E5:E493,A40)</f>
        <v>6</v>
      </c>
      <c r="D40" s="10">
        <f>SUMIF('Vietņu ieraksti'!E5:E493,A40,'Vietņu ieraksti'!H5:H493)</f>
        <v>1509</v>
      </c>
      <c r="E40" s="14">
        <f>_xlfn.MINIFS('Vietņu ieraksti'!B5:B493,'Vietņu ieraksti'!E5:E493,A40)</f>
        <v>46232</v>
      </c>
      <c r="F40" s="14">
        <f>_xlfn.MAXIFS('Vietņu ieraksti'!B5:B493,'Vietņu ieraksti'!E5:E493,A40)</f>
        <v>46264</v>
      </c>
      <c r="G40" s="6">
        <f>COUNTIF(Pārskatīšana!C5:C213,A40)</f>
        <v>0</v>
      </c>
      <c r="H40" s="6">
        <f>SUMPRODUCT(--('Vietņu ieraksti'!E5:E493=A40),--(LEN('Vietņu ieraksti'!R5:R493)&gt;0))</f>
        <v>2</v>
      </c>
      <c r="I40" s="6" t="s">
        <v>3</v>
      </c>
      <c r="J40" s="6" t="s">
        <v>37</v>
      </c>
    </row>
    <row r="41" spans="1:10" x14ac:dyDescent="0.25">
      <c r="A41" s="6" t="s">
        <v>86</v>
      </c>
      <c r="B41" s="6" t="s">
        <v>86</v>
      </c>
      <c r="C41" s="6">
        <f>COUNTIF('Vietņu ieraksti'!E5:E493,A41)</f>
        <v>2</v>
      </c>
      <c r="D41" s="10">
        <f>SUMIF('Vietņu ieraksti'!E5:E493,A41,'Vietņu ieraksti'!H5:H493)</f>
        <v>200</v>
      </c>
      <c r="E41" s="14">
        <f>_xlfn.MINIFS('Vietņu ieraksti'!B5:B493,'Vietņu ieraksti'!E5:E493,A41)</f>
        <v>46165</v>
      </c>
      <c r="F41" s="14">
        <f>_xlfn.MAXIFS('Vietņu ieraksti'!B5:B493,'Vietņu ieraksti'!E5:E493,A41)</f>
        <v>46165</v>
      </c>
      <c r="G41" s="6">
        <f>COUNTIF(Pārskatīšana!C5:C213,A41)</f>
        <v>2</v>
      </c>
      <c r="H41" s="6">
        <f>SUMPRODUCT(--('Vietņu ieraksti'!E5:E493=A41),--(LEN('Vietņu ieraksti'!R5:R493)&gt;0))</f>
        <v>0</v>
      </c>
      <c r="I41" s="6" t="s">
        <v>3</v>
      </c>
      <c r="J41" s="6" t="s">
        <v>37</v>
      </c>
    </row>
    <row r="42" spans="1:10" x14ac:dyDescent="0.25">
      <c r="A42" s="6" t="s">
        <v>87</v>
      </c>
      <c r="B42" s="6" t="s">
        <v>87</v>
      </c>
      <c r="C42" s="6">
        <f>COUNTIF('Vietņu ieraksti'!E5:E493,A42)</f>
        <v>2</v>
      </c>
      <c r="D42" s="10">
        <f>SUMIF('Vietņu ieraksti'!E5:E493,A42,'Vietņu ieraksti'!H5:H493)</f>
        <v>678</v>
      </c>
      <c r="E42" s="14">
        <f>_xlfn.MINIFS('Vietņu ieraksti'!B5:B493,'Vietņu ieraksti'!E5:E493,A42)</f>
        <v>46112</v>
      </c>
      <c r="F42" s="14">
        <f>_xlfn.MAXIFS('Vietņu ieraksti'!B5:B493,'Vietņu ieraksti'!E5:E493,A42)</f>
        <v>46113</v>
      </c>
      <c r="G42" s="6">
        <f>COUNTIF(Pārskatīšana!C5:C213,A42)</f>
        <v>1</v>
      </c>
      <c r="H42" s="6">
        <f>SUMPRODUCT(--('Vietņu ieraksti'!E5:E493=A42),--(LEN('Vietņu ieraksti'!R5:R493)&gt;0))</f>
        <v>2</v>
      </c>
      <c r="I42" s="6" t="s">
        <v>3</v>
      </c>
      <c r="J42" s="6" t="s">
        <v>37</v>
      </c>
    </row>
    <row r="43" spans="1:10" x14ac:dyDescent="0.25">
      <c r="A43" s="6" t="s">
        <v>88</v>
      </c>
      <c r="B43" s="6" t="s">
        <v>88</v>
      </c>
      <c r="C43" s="6">
        <f>COUNTIF('Vietņu ieraksti'!E5:E493,A43)</f>
        <v>2</v>
      </c>
      <c r="D43" s="10">
        <f>SUMIF('Vietņu ieraksti'!E5:E493,A43,'Vietņu ieraksti'!H5:H493)</f>
        <v>0</v>
      </c>
      <c r="E43" s="14">
        <f>_xlfn.MINIFS('Vietņu ieraksti'!B5:B493,'Vietņu ieraksti'!E5:E493,A43)</f>
        <v>46168</v>
      </c>
      <c r="F43" s="14">
        <f>_xlfn.MAXIFS('Vietņu ieraksti'!B5:B493,'Vietņu ieraksti'!E5:E493,A43)</f>
        <v>46203</v>
      </c>
      <c r="G43" s="6">
        <f>COUNTIF(Pārskatīšana!C5:C213,A43)</f>
        <v>2</v>
      </c>
      <c r="H43" s="6">
        <f>SUMPRODUCT(--('Vietņu ieraksti'!E5:E493=A43),--(LEN('Vietņu ieraksti'!R5:R493)&gt;0))</f>
        <v>0</v>
      </c>
      <c r="I43" s="6" t="s">
        <v>3</v>
      </c>
      <c r="J43" s="6" t="s">
        <v>37</v>
      </c>
    </row>
    <row r="44" spans="1:10" x14ac:dyDescent="0.25">
      <c r="A44" s="6" t="s">
        <v>89</v>
      </c>
      <c r="B44" s="6" t="s">
        <v>89</v>
      </c>
      <c r="C44" s="6">
        <f>COUNTIF('Vietņu ieraksti'!E5:E493,A44)</f>
        <v>2</v>
      </c>
      <c r="D44" s="10">
        <f>SUMIF('Vietņu ieraksti'!E5:E493,A44,'Vietņu ieraksti'!H5:H493)</f>
        <v>186</v>
      </c>
      <c r="E44" s="14">
        <f>_xlfn.MINIFS('Vietņu ieraksti'!B5:B493,'Vietņu ieraksti'!E5:E493,A44)</f>
        <v>46263</v>
      </c>
      <c r="F44" s="14">
        <f>_xlfn.MAXIFS('Vietņu ieraksti'!B5:B493,'Vietņu ieraksti'!E5:E493,A44)</f>
        <v>46265</v>
      </c>
      <c r="G44" s="6">
        <f>COUNTIF(Pārskatīšana!C5:C213,A44)</f>
        <v>0</v>
      </c>
      <c r="H44" s="6">
        <f>SUMPRODUCT(--('Vietņu ieraksti'!E5:E493=A44),--(LEN('Vietņu ieraksti'!R5:R493)&gt;0))</f>
        <v>0</v>
      </c>
      <c r="I44" s="6" t="s">
        <v>3</v>
      </c>
      <c r="J44" s="6" t="s">
        <v>37</v>
      </c>
    </row>
    <row r="45" spans="1:10" x14ac:dyDescent="0.25">
      <c r="A45" s="6" t="s">
        <v>90</v>
      </c>
      <c r="B45" s="6" t="s">
        <v>90</v>
      </c>
      <c r="C45" s="6">
        <f>COUNTIF('Vietņu ieraksti'!E5:E493,A45)</f>
        <v>2</v>
      </c>
      <c r="D45" s="10">
        <f>SUMIF('Vietņu ieraksti'!E5:E493,A45,'Vietņu ieraksti'!H5:H493)</f>
        <v>410</v>
      </c>
      <c r="E45" s="14">
        <f>_xlfn.MINIFS('Vietņu ieraksti'!B5:B493,'Vietņu ieraksti'!E5:E493,A45)</f>
        <v>46263</v>
      </c>
      <c r="F45" s="14">
        <f>_xlfn.MAXIFS('Vietņu ieraksti'!B5:B493,'Vietņu ieraksti'!E5:E493,A45)</f>
        <v>46265</v>
      </c>
      <c r="G45" s="6">
        <f>COUNTIF(Pārskatīšana!C5:C213,A45)</f>
        <v>1</v>
      </c>
      <c r="H45" s="6">
        <f>SUMPRODUCT(--('Vietņu ieraksti'!E5:E493=A45),--(LEN('Vietņu ieraksti'!R5:R493)&gt;0))</f>
        <v>0</v>
      </c>
      <c r="I45" s="6" t="s">
        <v>90</v>
      </c>
      <c r="J45" s="6" t="s">
        <v>44</v>
      </c>
    </row>
    <row r="46" spans="1:10" x14ac:dyDescent="0.25">
      <c r="A46" s="6" t="s">
        <v>91</v>
      </c>
      <c r="B46" s="6" t="s">
        <v>91</v>
      </c>
      <c r="C46" s="6">
        <f>COUNTIF('Vietņu ieraksti'!E5:E493,A46)</f>
        <v>2</v>
      </c>
      <c r="D46" s="10">
        <f>SUMIF('Vietņu ieraksti'!E5:E493,A46,'Vietņu ieraksti'!H5:H493)</f>
        <v>55</v>
      </c>
      <c r="E46" s="14">
        <f>_xlfn.MINIFS('Vietņu ieraksti'!B5:B493,'Vietņu ieraksti'!E5:E493,A46)</f>
        <v>46050</v>
      </c>
      <c r="F46" s="14">
        <f>_xlfn.MAXIFS('Vietņu ieraksti'!B5:B493,'Vietņu ieraksti'!E5:E493,A46)</f>
        <v>46066</v>
      </c>
      <c r="G46" s="6">
        <f>COUNTIF(Pārskatīšana!C5:C213,A46)</f>
        <v>1</v>
      </c>
      <c r="H46" s="6">
        <f>SUMPRODUCT(--('Vietņu ieraksti'!E5:E493=A46),--(LEN('Vietņu ieraksti'!R5:R493)&gt;0))</f>
        <v>0</v>
      </c>
      <c r="I46" s="6" t="s">
        <v>3</v>
      </c>
      <c r="J46" s="6" t="s">
        <v>37</v>
      </c>
    </row>
    <row r="47" spans="1:10" x14ac:dyDescent="0.25">
      <c r="A47" s="6" t="s">
        <v>92</v>
      </c>
      <c r="B47" s="6" t="s">
        <v>92</v>
      </c>
      <c r="C47" s="6">
        <f>COUNTIF('Vietņu ieraksti'!E5:E493,A47)</f>
        <v>2</v>
      </c>
      <c r="D47" s="10">
        <f>SUMIF('Vietņu ieraksti'!E5:E493,A47,'Vietņu ieraksti'!H5:H493)</f>
        <v>308</v>
      </c>
      <c r="E47" s="14">
        <f>_xlfn.MINIFS('Vietņu ieraksti'!B5:B493,'Vietņu ieraksti'!E5:E493,A47)</f>
        <v>46167</v>
      </c>
      <c r="F47" s="14">
        <f>_xlfn.MAXIFS('Vietņu ieraksti'!B5:B493,'Vietņu ieraksti'!E5:E493,A47)</f>
        <v>46168</v>
      </c>
      <c r="G47" s="6">
        <f>COUNTIF(Pārskatīšana!C5:C213,A47)</f>
        <v>0</v>
      </c>
      <c r="H47" s="6">
        <f>SUMPRODUCT(--('Vietņu ieraksti'!E5:E493=A47),--(LEN('Vietņu ieraksti'!R5:R493)&gt;0))</f>
        <v>1</v>
      </c>
      <c r="I47" s="6" t="s">
        <v>3</v>
      </c>
      <c r="J47" s="6" t="s">
        <v>37</v>
      </c>
    </row>
    <row r="48" spans="1:10" x14ac:dyDescent="0.25">
      <c r="A48" s="6" t="s">
        <v>93</v>
      </c>
      <c r="B48" s="6" t="s">
        <v>93</v>
      </c>
      <c r="C48" s="6">
        <f>COUNTIF('Vietņu ieraksti'!E5:E493,A48)</f>
        <v>2</v>
      </c>
      <c r="D48" s="10">
        <f>SUMIF('Vietņu ieraksti'!E5:E493,A48,'Vietņu ieraksti'!H5:H493)</f>
        <v>523</v>
      </c>
      <c r="E48" s="14">
        <f>_xlfn.MINIFS('Vietņu ieraksti'!B5:B493,'Vietņu ieraksti'!E5:E493,A48)</f>
        <v>46073</v>
      </c>
      <c r="F48" s="14">
        <f>_xlfn.MAXIFS('Vietņu ieraksti'!B5:B493,'Vietņu ieraksti'!E5:E493,A48)</f>
        <v>46073</v>
      </c>
      <c r="G48" s="6">
        <f>COUNTIF(Pārskatīšana!C5:C213,A48)</f>
        <v>0</v>
      </c>
      <c r="H48" s="6">
        <f>SUMPRODUCT(--('Vietņu ieraksti'!E5:E493=A48),--(LEN('Vietņu ieraksti'!R5:R493)&gt;0))</f>
        <v>0</v>
      </c>
      <c r="I48" s="6" t="s">
        <v>3</v>
      </c>
      <c r="J48" s="6" t="s">
        <v>37</v>
      </c>
    </row>
    <row r="49" spans="1:10" x14ac:dyDescent="0.25">
      <c r="A49" s="6" t="s">
        <v>94</v>
      </c>
      <c r="B49" s="6" t="s">
        <v>94</v>
      </c>
      <c r="C49" s="6">
        <f>COUNTIF('Vietņu ieraksti'!E5:E493,A49)</f>
        <v>2</v>
      </c>
      <c r="D49" s="10">
        <f>SUMIF('Vietņu ieraksti'!E5:E493,A49,'Vietņu ieraksti'!H5:H493)</f>
        <v>200</v>
      </c>
      <c r="E49" s="14">
        <f>_xlfn.MINIFS('Vietņu ieraksti'!B5:B493,'Vietņu ieraksti'!E5:E493,A49)</f>
        <v>46120</v>
      </c>
      <c r="F49" s="14">
        <f>_xlfn.MAXIFS('Vietņu ieraksti'!B5:B493,'Vietņu ieraksti'!E5:E493,A49)</f>
        <v>46126</v>
      </c>
      <c r="G49" s="6">
        <f>COUNTIF(Pārskatīšana!C5:C213,A49)</f>
        <v>0</v>
      </c>
      <c r="H49" s="6">
        <f>SUMPRODUCT(--('Vietņu ieraksti'!E5:E493=A49),--(LEN('Vietņu ieraksti'!R5:R493)&gt;0))</f>
        <v>0</v>
      </c>
      <c r="I49" s="6" t="s">
        <v>3</v>
      </c>
      <c r="J49" s="6" t="s">
        <v>37</v>
      </c>
    </row>
    <row r="50" spans="1:10" x14ac:dyDescent="0.25">
      <c r="A50" s="6" t="s">
        <v>95</v>
      </c>
      <c r="B50" s="6" t="s">
        <v>95</v>
      </c>
      <c r="C50" s="6">
        <f>COUNTIF('Vietņu ieraksti'!E5:E493,A50)</f>
        <v>2</v>
      </c>
      <c r="D50" s="10">
        <f>SUMIF('Vietņu ieraksti'!E5:E493,A50,'Vietņu ieraksti'!H5:H493)</f>
        <v>0</v>
      </c>
      <c r="E50" s="14">
        <f>_xlfn.MINIFS('Vietņu ieraksti'!B5:B493,'Vietņu ieraksti'!E5:E493,A50)</f>
        <v>46123</v>
      </c>
      <c r="F50" s="14">
        <f>_xlfn.MAXIFS('Vietņu ieraksti'!B5:B493,'Vietņu ieraksti'!E5:E493,A50)</f>
        <v>46124</v>
      </c>
      <c r="G50" s="6">
        <f>COUNTIF(Pārskatīšana!C5:C213,A50)</f>
        <v>2</v>
      </c>
      <c r="H50" s="6">
        <f>SUMPRODUCT(--('Vietņu ieraksti'!E5:E493=A50),--(LEN('Vietņu ieraksti'!R5:R493)&gt;0))</f>
        <v>0</v>
      </c>
      <c r="I50" s="6" t="s">
        <v>3</v>
      </c>
      <c r="J50" s="6" t="s">
        <v>37</v>
      </c>
    </row>
    <row r="51" spans="1:10" x14ac:dyDescent="0.25">
      <c r="A51" s="6" t="s">
        <v>96</v>
      </c>
      <c r="B51" s="6" t="s">
        <v>96</v>
      </c>
      <c r="C51" s="6">
        <f>COUNTIF('Vietņu ieraksti'!E5:E493,A51)</f>
        <v>2</v>
      </c>
      <c r="D51" s="10">
        <f>SUMIF('Vietņu ieraksti'!E5:E493,A51,'Vietņu ieraksti'!H5:H493)</f>
        <v>0</v>
      </c>
      <c r="E51" s="14">
        <f>_xlfn.MINIFS('Vietņu ieraksti'!B5:B493,'Vietņu ieraksti'!E5:E493,A51)</f>
        <v>46234</v>
      </c>
      <c r="F51" s="14">
        <f>_xlfn.MAXIFS('Vietņu ieraksti'!B5:B493,'Vietņu ieraksti'!E5:E493,A51)</f>
        <v>46237</v>
      </c>
      <c r="G51" s="6">
        <f>COUNTIF(Pārskatīšana!C5:C213,A51)</f>
        <v>2</v>
      </c>
      <c r="H51" s="6">
        <f>SUMPRODUCT(--('Vietņu ieraksti'!E5:E493=A51),--(LEN('Vietņu ieraksti'!R5:R493)&gt;0))</f>
        <v>0</v>
      </c>
      <c r="I51" s="6" t="s">
        <v>3</v>
      </c>
      <c r="J51" s="6" t="s">
        <v>37</v>
      </c>
    </row>
    <row r="52" spans="1:10" x14ac:dyDescent="0.25">
      <c r="A52" s="6" t="s">
        <v>97</v>
      </c>
      <c r="B52" s="6" t="s">
        <v>97</v>
      </c>
      <c r="C52" s="6">
        <f>COUNTIF('Vietņu ieraksti'!E5:E493,A52)</f>
        <v>2</v>
      </c>
      <c r="D52" s="10">
        <f>SUMIF('Vietņu ieraksti'!E5:E493,A52,'Vietņu ieraksti'!H5:H493)</f>
        <v>515</v>
      </c>
      <c r="E52" s="14">
        <f>_xlfn.MINIFS('Vietņu ieraksti'!B5:B493,'Vietņu ieraksti'!E5:E493,A52)</f>
        <v>46188</v>
      </c>
      <c r="F52" s="14">
        <f>_xlfn.MAXIFS('Vietņu ieraksti'!B5:B493,'Vietņu ieraksti'!E5:E493,A52)</f>
        <v>46189</v>
      </c>
      <c r="G52" s="6">
        <f>COUNTIF(Pārskatīšana!C5:C213,A52)</f>
        <v>1</v>
      </c>
      <c r="H52" s="6">
        <f>SUMPRODUCT(--('Vietņu ieraksti'!E5:E493=A52),--(LEN('Vietņu ieraksti'!R5:R493)&gt;0))</f>
        <v>0</v>
      </c>
      <c r="I52" s="6" t="s">
        <v>3</v>
      </c>
      <c r="J52" s="6" t="s">
        <v>37</v>
      </c>
    </row>
    <row r="53" spans="1:10" x14ac:dyDescent="0.25">
      <c r="A53" s="6" t="s">
        <v>98</v>
      </c>
      <c r="B53" s="6" t="s">
        <v>98</v>
      </c>
      <c r="C53" s="6">
        <f>COUNTIF('Vietņu ieraksti'!E5:E493,A53)</f>
        <v>2</v>
      </c>
      <c r="D53" s="10">
        <f>SUMIF('Vietņu ieraksti'!E5:E493,A53,'Vietņu ieraksti'!H5:H493)</f>
        <v>298</v>
      </c>
      <c r="E53" s="14">
        <f>_xlfn.MINIFS('Vietņu ieraksti'!B5:B493,'Vietņu ieraksti'!E5:E493,A53)</f>
        <v>46209</v>
      </c>
      <c r="F53" s="14">
        <f>_xlfn.MAXIFS('Vietņu ieraksti'!B5:B493,'Vietņu ieraksti'!E5:E493,A53)</f>
        <v>46209</v>
      </c>
      <c r="G53" s="6">
        <f>COUNTIF(Pārskatīšana!C5:C213,A53)</f>
        <v>2</v>
      </c>
      <c r="H53" s="6">
        <f>SUMPRODUCT(--('Vietņu ieraksti'!E5:E493=A53),--(LEN('Vietņu ieraksti'!R5:R493)&gt;0))</f>
        <v>2</v>
      </c>
      <c r="I53" s="6" t="s">
        <v>3</v>
      </c>
      <c r="J53" s="6" t="s">
        <v>37</v>
      </c>
    </row>
    <row r="54" spans="1:10" x14ac:dyDescent="0.25">
      <c r="A54" s="6" t="s">
        <v>99</v>
      </c>
      <c r="B54" s="6" t="s">
        <v>99</v>
      </c>
      <c r="C54" s="6">
        <f>COUNTIF('Vietņu ieraksti'!E5:E493,A54)</f>
        <v>2</v>
      </c>
      <c r="D54" s="10">
        <f>SUMIF('Vietņu ieraksti'!E5:E493,A54,'Vietņu ieraksti'!H5:H493)</f>
        <v>0</v>
      </c>
      <c r="E54" s="14">
        <f>_xlfn.MINIFS('Vietņu ieraksti'!B5:B493,'Vietņu ieraksti'!E5:E493,A54)</f>
        <v>46209</v>
      </c>
      <c r="F54" s="14">
        <f>_xlfn.MAXIFS('Vietņu ieraksti'!B5:B493,'Vietņu ieraksti'!E5:E493,A54)</f>
        <v>46210</v>
      </c>
      <c r="G54" s="6">
        <f>COUNTIF(Pārskatīšana!C5:C213,A54)</f>
        <v>2</v>
      </c>
      <c r="H54" s="6">
        <f>SUMPRODUCT(--('Vietņu ieraksti'!E5:E493=A54),--(LEN('Vietņu ieraksti'!R5:R493)&gt;0))</f>
        <v>0</v>
      </c>
      <c r="I54" s="6" t="s">
        <v>3</v>
      </c>
      <c r="J54" s="6" t="s">
        <v>37</v>
      </c>
    </row>
    <row r="55" spans="1:10" x14ac:dyDescent="0.25">
      <c r="A55" s="6" t="s">
        <v>100</v>
      </c>
      <c r="B55" s="6" t="s">
        <v>100</v>
      </c>
      <c r="C55" s="6">
        <f>COUNTIF('Vietņu ieraksti'!E5:E493,A55)</f>
        <v>2</v>
      </c>
      <c r="D55" s="10">
        <f>SUMIF('Vietņu ieraksti'!E5:E493,A55,'Vietņu ieraksti'!H5:H493)</f>
        <v>246</v>
      </c>
      <c r="E55" s="14">
        <f>_xlfn.MINIFS('Vietņu ieraksti'!B5:B493,'Vietņu ieraksti'!E5:E493,A55)</f>
        <v>46071</v>
      </c>
      <c r="F55" s="14">
        <f>_xlfn.MAXIFS('Vietņu ieraksti'!B5:B493,'Vietņu ieraksti'!E5:E493,A55)</f>
        <v>46076</v>
      </c>
      <c r="G55" s="6">
        <f>COUNTIF(Pārskatīšana!C5:C213,A55)</f>
        <v>0</v>
      </c>
      <c r="H55" s="6">
        <f>SUMPRODUCT(--('Vietņu ieraksti'!E5:E493=A55),--(LEN('Vietņu ieraksti'!R5:R493)&gt;0))</f>
        <v>1</v>
      </c>
      <c r="I55" s="6" t="s">
        <v>3</v>
      </c>
      <c r="J55" s="6" t="s">
        <v>37</v>
      </c>
    </row>
    <row r="56" spans="1:10" x14ac:dyDescent="0.25">
      <c r="A56" s="6" t="s">
        <v>101</v>
      </c>
      <c r="B56" s="6" t="s">
        <v>101</v>
      </c>
      <c r="C56" s="6">
        <f>COUNTIF('Vietņu ieraksti'!E5:E493,A56)</f>
        <v>2</v>
      </c>
      <c r="D56" s="10">
        <f>SUMIF('Vietņu ieraksti'!E5:E493,A56,'Vietņu ieraksti'!H5:H493)</f>
        <v>0</v>
      </c>
      <c r="E56" s="14">
        <f>_xlfn.MINIFS('Vietņu ieraksti'!B5:B493,'Vietņu ieraksti'!E5:E493,A56)</f>
        <v>46255</v>
      </c>
      <c r="F56" s="14">
        <f>_xlfn.MAXIFS('Vietņu ieraksti'!B5:B493,'Vietņu ieraksti'!E5:E493,A56)</f>
        <v>46260</v>
      </c>
      <c r="G56" s="6">
        <f>COUNTIF(Pārskatīšana!C5:C213,A56)</f>
        <v>2</v>
      </c>
      <c r="H56" s="6">
        <f>SUMPRODUCT(--('Vietņu ieraksti'!E5:E493=A56),--(LEN('Vietņu ieraksti'!R5:R493)&gt;0))</f>
        <v>0</v>
      </c>
      <c r="I56" s="6" t="s">
        <v>3</v>
      </c>
      <c r="J56" s="6" t="s">
        <v>37</v>
      </c>
    </row>
    <row r="57" spans="1:10" x14ac:dyDescent="0.25">
      <c r="A57" s="6" t="s">
        <v>102</v>
      </c>
      <c r="B57" s="6" t="s">
        <v>102</v>
      </c>
      <c r="C57" s="6">
        <f>COUNTIF('Vietņu ieraksti'!E5:E493,A57)</f>
        <v>2</v>
      </c>
      <c r="D57" s="10">
        <f>SUMIF('Vietņu ieraksti'!E5:E493,A57,'Vietņu ieraksti'!H5:H493)</f>
        <v>0</v>
      </c>
      <c r="E57" s="14">
        <f>_xlfn.MINIFS('Vietņu ieraksti'!B5:B493,'Vietņu ieraksti'!E5:E493,A57)</f>
        <v>46126</v>
      </c>
      <c r="F57" s="14">
        <f>_xlfn.MAXIFS('Vietņu ieraksti'!B5:B493,'Vietņu ieraksti'!E5:E493,A57)</f>
        <v>46127</v>
      </c>
      <c r="G57" s="6">
        <f>COUNTIF(Pārskatīšana!C5:C213,A57)</f>
        <v>2</v>
      </c>
      <c r="H57" s="6">
        <f>SUMPRODUCT(--('Vietņu ieraksti'!E5:E493=A57),--(LEN('Vietņu ieraksti'!R5:R493)&gt;0))</f>
        <v>0</v>
      </c>
      <c r="I57" s="6" t="s">
        <v>3</v>
      </c>
      <c r="J57" s="6" t="s">
        <v>37</v>
      </c>
    </row>
    <row r="58" spans="1:10" x14ac:dyDescent="0.25">
      <c r="A58" s="6" t="s">
        <v>103</v>
      </c>
      <c r="B58" s="6" t="s">
        <v>103</v>
      </c>
      <c r="C58" s="6">
        <f>COUNTIF('Vietņu ieraksti'!E5:E493,A58)</f>
        <v>1</v>
      </c>
      <c r="D58" s="10">
        <f>SUMIF('Vietņu ieraksti'!E5:E493,A58,'Vietņu ieraksti'!H5:H493)</f>
        <v>0</v>
      </c>
      <c r="E58" s="14">
        <f>_xlfn.MINIFS('Vietņu ieraksti'!B5:B493,'Vietņu ieraksti'!E5:E493,A58)</f>
        <v>46148</v>
      </c>
      <c r="F58" s="14">
        <f>_xlfn.MAXIFS('Vietņu ieraksti'!B5:B493,'Vietņu ieraksti'!E5:E493,A58)</f>
        <v>46148</v>
      </c>
      <c r="G58" s="6">
        <f>COUNTIF(Pārskatīšana!C5:C213,A58)</f>
        <v>1</v>
      </c>
      <c r="H58" s="6">
        <f>SUMPRODUCT(--('Vietņu ieraksti'!E5:E493=A58),--(LEN('Vietņu ieraksti'!R5:R493)&gt;0))</f>
        <v>0</v>
      </c>
      <c r="I58" s="6" t="s">
        <v>3</v>
      </c>
      <c r="J58" s="6" t="s">
        <v>37</v>
      </c>
    </row>
    <row r="59" spans="1:10" x14ac:dyDescent="0.25">
      <c r="A59" s="6" t="s">
        <v>104</v>
      </c>
      <c r="B59" s="6" t="s">
        <v>104</v>
      </c>
      <c r="C59" s="6">
        <f>COUNTIF('Vietņu ieraksti'!E5:E493,A59)</f>
        <v>1</v>
      </c>
      <c r="D59" s="10">
        <f>SUMIF('Vietņu ieraksti'!E5:E493,A59,'Vietņu ieraksti'!H5:H493)</f>
        <v>290</v>
      </c>
      <c r="E59" s="14">
        <f>_xlfn.MINIFS('Vietņu ieraksti'!B5:B493,'Vietņu ieraksti'!E5:E493,A59)</f>
        <v>46175</v>
      </c>
      <c r="F59" s="14">
        <f>_xlfn.MAXIFS('Vietņu ieraksti'!B5:B493,'Vietņu ieraksti'!E5:E493,A59)</f>
        <v>46175</v>
      </c>
      <c r="G59" s="6">
        <f>COUNTIF(Pārskatīšana!C5:C213,A59)</f>
        <v>1</v>
      </c>
      <c r="H59" s="6">
        <f>SUMPRODUCT(--('Vietņu ieraksti'!E5:E493=A59),--(LEN('Vietņu ieraksti'!R5:R493)&gt;0))</f>
        <v>1</v>
      </c>
      <c r="I59" s="6" t="s">
        <v>3</v>
      </c>
      <c r="J59" s="6" t="s">
        <v>37</v>
      </c>
    </row>
    <row r="60" spans="1:10" x14ac:dyDescent="0.25">
      <c r="A60" s="6" t="s">
        <v>105</v>
      </c>
      <c r="B60" s="6" t="s">
        <v>105</v>
      </c>
      <c r="C60" s="6">
        <f>COUNTIF('Vietņu ieraksti'!E5:E493,A60)</f>
        <v>1</v>
      </c>
      <c r="D60" s="10">
        <f>SUMIF('Vietņu ieraksti'!E5:E493,A60,'Vietņu ieraksti'!H5:H493)</f>
        <v>334</v>
      </c>
      <c r="E60" s="14">
        <f>_xlfn.MINIFS('Vietņu ieraksti'!B5:B493,'Vietņu ieraksti'!E5:E493,A60)</f>
        <v>46184</v>
      </c>
      <c r="F60" s="14">
        <f>_xlfn.MAXIFS('Vietņu ieraksti'!B5:B493,'Vietņu ieraksti'!E5:E493,A60)</f>
        <v>46184</v>
      </c>
      <c r="G60" s="6">
        <f>COUNTIF(Pārskatīšana!C5:C213,A60)</f>
        <v>0</v>
      </c>
      <c r="H60" s="6">
        <f>SUMPRODUCT(--('Vietņu ieraksti'!E5:E493=A60),--(LEN('Vietņu ieraksti'!R5:R493)&gt;0))</f>
        <v>0</v>
      </c>
      <c r="I60" s="6" t="s">
        <v>3</v>
      </c>
      <c r="J60" s="6" t="s">
        <v>37</v>
      </c>
    </row>
    <row r="61" spans="1:10" x14ac:dyDescent="0.25">
      <c r="A61" s="6" t="s">
        <v>106</v>
      </c>
      <c r="B61" s="6" t="s">
        <v>106</v>
      </c>
      <c r="C61" s="6">
        <f>COUNTIF('Vietņu ieraksti'!E5:E493,A61)</f>
        <v>1</v>
      </c>
      <c r="D61" s="10">
        <f>SUMIF('Vietņu ieraksti'!E5:E493,A61,'Vietņu ieraksti'!H5:H493)</f>
        <v>204</v>
      </c>
      <c r="E61" s="14">
        <f>_xlfn.MINIFS('Vietņu ieraksti'!B5:B493,'Vietņu ieraksti'!E5:E493,A61)</f>
        <v>46219</v>
      </c>
      <c r="F61" s="14">
        <f>_xlfn.MAXIFS('Vietņu ieraksti'!B5:B493,'Vietņu ieraksti'!E5:E493,A61)</f>
        <v>46219</v>
      </c>
      <c r="G61" s="6">
        <f>COUNTIF(Pārskatīšana!C5:C213,A61)</f>
        <v>0</v>
      </c>
      <c r="H61" s="6">
        <f>SUMPRODUCT(--('Vietņu ieraksti'!E5:E493=A61),--(LEN('Vietņu ieraksti'!R5:R493)&gt;0))</f>
        <v>0</v>
      </c>
      <c r="I61" s="6" t="s">
        <v>3</v>
      </c>
      <c r="J61" s="6" t="s">
        <v>37</v>
      </c>
    </row>
    <row r="62" spans="1:10" x14ac:dyDescent="0.25">
      <c r="A62" s="6" t="s">
        <v>107</v>
      </c>
      <c r="B62" s="6" t="s">
        <v>107</v>
      </c>
      <c r="C62" s="6">
        <f>COUNTIF('Vietņu ieraksti'!E5:E493,A62)</f>
        <v>1</v>
      </c>
      <c r="D62" s="10">
        <f>SUMIF('Vietņu ieraksti'!E5:E493,A62,'Vietņu ieraksti'!H5:H493)</f>
        <v>310</v>
      </c>
      <c r="E62" s="14">
        <f>_xlfn.MINIFS('Vietņu ieraksti'!B5:B493,'Vietņu ieraksti'!E5:E493,A62)</f>
        <v>46179</v>
      </c>
      <c r="F62" s="14">
        <f>_xlfn.MAXIFS('Vietņu ieraksti'!B5:B493,'Vietņu ieraksti'!E5:E493,A62)</f>
        <v>46179</v>
      </c>
      <c r="G62" s="6">
        <f>COUNTIF(Pārskatīšana!C5:C213,A62)</f>
        <v>0</v>
      </c>
      <c r="H62" s="6">
        <f>SUMPRODUCT(--('Vietņu ieraksti'!E5:E493=A62),--(LEN('Vietņu ieraksti'!R5:R493)&gt;0))</f>
        <v>0</v>
      </c>
      <c r="I62" s="6" t="s">
        <v>3</v>
      </c>
      <c r="J62" s="6" t="s">
        <v>37</v>
      </c>
    </row>
    <row r="63" spans="1:10" x14ac:dyDescent="0.25">
      <c r="A63" s="6" t="s">
        <v>108</v>
      </c>
      <c r="B63" s="6" t="s">
        <v>108</v>
      </c>
      <c r="C63" s="6">
        <f>COUNTIF('Vietņu ieraksti'!E5:E493,A63)</f>
        <v>1</v>
      </c>
      <c r="D63" s="10">
        <f>SUMIF('Vietņu ieraksti'!E5:E493,A63,'Vietņu ieraksti'!H5:H493)</f>
        <v>0</v>
      </c>
      <c r="E63" s="14">
        <f>_xlfn.MINIFS('Vietņu ieraksti'!B5:B493,'Vietņu ieraksti'!E5:E493,A63)</f>
        <v>46150</v>
      </c>
      <c r="F63" s="14">
        <f>_xlfn.MAXIFS('Vietņu ieraksti'!B5:B493,'Vietņu ieraksti'!E5:E493,A63)</f>
        <v>46150</v>
      </c>
      <c r="G63" s="6">
        <f>COUNTIF(Pārskatīšana!C5:C213,A63)</f>
        <v>1</v>
      </c>
      <c r="H63" s="6">
        <f>SUMPRODUCT(--('Vietņu ieraksti'!E5:E493=A63),--(LEN('Vietņu ieraksti'!R5:R493)&gt;0))</f>
        <v>0</v>
      </c>
      <c r="I63" s="6" t="s">
        <v>3</v>
      </c>
      <c r="J63" s="6" t="s">
        <v>37</v>
      </c>
    </row>
    <row r="64" spans="1:10" x14ac:dyDescent="0.25">
      <c r="A64" s="6" t="s">
        <v>109</v>
      </c>
      <c r="B64" s="6" t="s">
        <v>109</v>
      </c>
      <c r="C64" s="6">
        <f>COUNTIF('Vietņu ieraksti'!E5:E493,A64)</f>
        <v>1</v>
      </c>
      <c r="D64" s="10">
        <f>SUMIF('Vietņu ieraksti'!E5:E493,A64,'Vietņu ieraksti'!H5:H493)</f>
        <v>60</v>
      </c>
      <c r="E64" s="14">
        <f>_xlfn.MINIFS('Vietņu ieraksti'!B5:B493,'Vietņu ieraksti'!E5:E493,A64)</f>
        <v>46093</v>
      </c>
      <c r="F64" s="14">
        <f>_xlfn.MAXIFS('Vietņu ieraksti'!B5:B493,'Vietņu ieraksti'!E5:E493,A64)</f>
        <v>46093</v>
      </c>
      <c r="G64" s="6">
        <f>COUNTIF(Pārskatīšana!C5:C213,A64)</f>
        <v>0</v>
      </c>
      <c r="H64" s="6">
        <f>SUMPRODUCT(--('Vietņu ieraksti'!E5:E493=A64),--(LEN('Vietņu ieraksti'!R5:R493)&gt;0))</f>
        <v>0</v>
      </c>
      <c r="I64" s="6" t="s">
        <v>3</v>
      </c>
      <c r="J64" s="6" t="s">
        <v>37</v>
      </c>
    </row>
    <row r="65" spans="1:10" x14ac:dyDescent="0.25">
      <c r="A65" s="6" t="s">
        <v>110</v>
      </c>
      <c r="B65" s="6" t="s">
        <v>110</v>
      </c>
      <c r="C65" s="6">
        <f>COUNTIF('Vietņu ieraksti'!E5:E493,A65)</f>
        <v>1</v>
      </c>
      <c r="D65" s="10">
        <f>SUMIF('Vietņu ieraksti'!E5:E493,A65,'Vietņu ieraksti'!H5:H493)</f>
        <v>263</v>
      </c>
      <c r="E65" s="14">
        <f>_xlfn.MINIFS('Vietņu ieraksti'!B5:B493,'Vietņu ieraksti'!E5:E493,A65)</f>
        <v>46077</v>
      </c>
      <c r="F65" s="14">
        <f>_xlfn.MAXIFS('Vietņu ieraksti'!B5:B493,'Vietņu ieraksti'!E5:E493,A65)</f>
        <v>46077</v>
      </c>
      <c r="G65" s="6">
        <f>COUNTIF(Pārskatīšana!C5:C213,A65)</f>
        <v>0</v>
      </c>
      <c r="H65" s="6">
        <f>SUMPRODUCT(--('Vietņu ieraksti'!E5:E493=A65),--(LEN('Vietņu ieraksti'!R5:R493)&gt;0))</f>
        <v>0</v>
      </c>
      <c r="I65" s="6" t="s">
        <v>3</v>
      </c>
      <c r="J65" s="6" t="s">
        <v>37</v>
      </c>
    </row>
    <row r="66" spans="1:10" x14ac:dyDescent="0.25">
      <c r="A66" s="6" t="s">
        <v>111</v>
      </c>
      <c r="B66" s="6" t="s">
        <v>111</v>
      </c>
      <c r="C66" s="6">
        <f>COUNTIF('Vietņu ieraksti'!E5:E493,A66)</f>
        <v>1</v>
      </c>
      <c r="D66" s="10">
        <f>SUMIF('Vietņu ieraksti'!E5:E493,A66,'Vietņu ieraksti'!H5:H493)</f>
        <v>93</v>
      </c>
      <c r="E66" s="14">
        <f>_xlfn.MINIFS('Vietņu ieraksti'!B5:B493,'Vietņu ieraksti'!E5:E493,A66)</f>
        <v>46088</v>
      </c>
      <c r="F66" s="14">
        <f>_xlfn.MAXIFS('Vietņu ieraksti'!B5:B493,'Vietņu ieraksti'!E5:E493,A66)</f>
        <v>46088</v>
      </c>
      <c r="G66" s="6">
        <f>COUNTIF(Pārskatīšana!C5:C213,A66)</f>
        <v>0</v>
      </c>
      <c r="H66" s="6">
        <f>SUMPRODUCT(--('Vietņu ieraksti'!E5:E493=A66),--(LEN('Vietņu ieraksti'!R5:R493)&gt;0))</f>
        <v>0</v>
      </c>
      <c r="I66" s="6" t="s">
        <v>3</v>
      </c>
      <c r="J66" s="6" t="s">
        <v>37</v>
      </c>
    </row>
    <row r="67" spans="1:10" x14ac:dyDescent="0.25">
      <c r="A67" s="6" t="s">
        <v>112</v>
      </c>
      <c r="B67" s="6" t="s">
        <v>112</v>
      </c>
      <c r="C67" s="6">
        <f>COUNTIF('Vietņu ieraksti'!E5:E493,A67)</f>
        <v>1</v>
      </c>
      <c r="D67" s="10">
        <f>SUMIF('Vietņu ieraksti'!E5:E493,A67,'Vietņu ieraksti'!H5:H493)</f>
        <v>167</v>
      </c>
      <c r="E67" s="14">
        <f>_xlfn.MINIFS('Vietņu ieraksti'!B5:B493,'Vietņu ieraksti'!E5:E493,A67)</f>
        <v>46087</v>
      </c>
      <c r="F67" s="14">
        <f>_xlfn.MAXIFS('Vietņu ieraksti'!B5:B493,'Vietņu ieraksti'!E5:E493,A67)</f>
        <v>46087</v>
      </c>
      <c r="G67" s="6">
        <f>COUNTIF(Pārskatīšana!C5:C213,A67)</f>
        <v>0</v>
      </c>
      <c r="H67" s="6">
        <f>SUMPRODUCT(--('Vietņu ieraksti'!E5:E493=A67),--(LEN('Vietņu ieraksti'!R5:R493)&gt;0))</f>
        <v>0</v>
      </c>
      <c r="I67" s="6" t="s">
        <v>3</v>
      </c>
      <c r="J67" s="6" t="s">
        <v>37</v>
      </c>
    </row>
    <row r="68" spans="1:10" x14ac:dyDescent="0.25">
      <c r="A68" s="6" t="s">
        <v>113</v>
      </c>
      <c r="B68" s="6" t="s">
        <v>113</v>
      </c>
      <c r="C68" s="6">
        <f>COUNTIF('Vietņu ieraksti'!E5:E493,A68)</f>
        <v>1</v>
      </c>
      <c r="D68" s="10">
        <f>SUMIF('Vietņu ieraksti'!E5:E493,A68,'Vietņu ieraksti'!H5:H493)</f>
        <v>150</v>
      </c>
      <c r="E68" s="14">
        <f>_xlfn.MINIFS('Vietņu ieraksti'!B5:B493,'Vietņu ieraksti'!E5:E493,A68)</f>
        <v>46114</v>
      </c>
      <c r="F68" s="14">
        <f>_xlfn.MAXIFS('Vietņu ieraksti'!B5:B493,'Vietņu ieraksti'!E5:E493,A68)</f>
        <v>46114</v>
      </c>
      <c r="G68" s="6">
        <f>COUNTIF(Pārskatīšana!C5:C213,A68)</f>
        <v>0</v>
      </c>
      <c r="H68" s="6">
        <f>SUMPRODUCT(--('Vietņu ieraksti'!E5:E493=A68),--(LEN('Vietņu ieraksti'!R5:R493)&gt;0))</f>
        <v>0</v>
      </c>
      <c r="I68" s="6" t="s">
        <v>3</v>
      </c>
      <c r="J68" s="6" t="s">
        <v>37</v>
      </c>
    </row>
    <row r="69" spans="1:10" x14ac:dyDescent="0.25">
      <c r="A69" s="6" t="s">
        <v>114</v>
      </c>
      <c r="B69" s="6" t="s">
        <v>114</v>
      </c>
      <c r="C69" s="6">
        <f>COUNTIF('Vietņu ieraksti'!E5:E493,A69)</f>
        <v>1</v>
      </c>
      <c r="D69" s="10">
        <f>SUMIF('Vietņu ieraksti'!E5:E493,A69,'Vietņu ieraksti'!H5:H493)</f>
        <v>50</v>
      </c>
      <c r="E69" s="14">
        <f>_xlfn.MINIFS('Vietņu ieraksti'!B5:B493,'Vietņu ieraksti'!E5:E493,A69)</f>
        <v>46151</v>
      </c>
      <c r="F69" s="14">
        <f>_xlfn.MAXIFS('Vietņu ieraksti'!B5:B493,'Vietņu ieraksti'!E5:E493,A69)</f>
        <v>46151</v>
      </c>
      <c r="G69" s="6">
        <f>COUNTIF(Pārskatīšana!C5:C213,A69)</f>
        <v>0</v>
      </c>
      <c r="H69" s="6">
        <f>SUMPRODUCT(--('Vietņu ieraksti'!E5:E493=A69),--(LEN('Vietņu ieraksti'!R5:R493)&gt;0))</f>
        <v>0</v>
      </c>
      <c r="I69" s="6" t="s">
        <v>3</v>
      </c>
      <c r="J69" s="6" t="s">
        <v>37</v>
      </c>
    </row>
    <row r="70" spans="1:10" x14ac:dyDescent="0.25">
      <c r="A70" s="6" t="s">
        <v>115</v>
      </c>
      <c r="B70" s="6" t="s">
        <v>115</v>
      </c>
      <c r="C70" s="6">
        <f>COUNTIF('Vietņu ieraksti'!E5:E493,A70)</f>
        <v>1</v>
      </c>
      <c r="D70" s="10">
        <f>SUMIF('Vietņu ieraksti'!E5:E493,A70,'Vietņu ieraksti'!H5:H493)</f>
        <v>127</v>
      </c>
      <c r="E70" s="14">
        <f>_xlfn.MINIFS('Vietņu ieraksti'!B5:B493,'Vietņu ieraksti'!E5:E493,A70)</f>
        <v>46225</v>
      </c>
      <c r="F70" s="14">
        <f>_xlfn.MAXIFS('Vietņu ieraksti'!B5:B493,'Vietņu ieraksti'!E5:E493,A70)</f>
        <v>46225</v>
      </c>
      <c r="G70" s="6">
        <f>COUNTIF(Pārskatīšana!C5:C213,A70)</f>
        <v>0</v>
      </c>
      <c r="H70" s="6">
        <f>SUMPRODUCT(--('Vietņu ieraksti'!E5:E493=A70),--(LEN('Vietņu ieraksti'!R5:R493)&gt;0))</f>
        <v>0</v>
      </c>
      <c r="I70" s="6" t="s">
        <v>3</v>
      </c>
      <c r="J70" s="6" t="s">
        <v>37</v>
      </c>
    </row>
    <row r="71" spans="1:10" x14ac:dyDescent="0.25">
      <c r="A71" s="6" t="s">
        <v>116</v>
      </c>
      <c r="B71" s="6" t="s">
        <v>116</v>
      </c>
      <c r="C71" s="6">
        <f>COUNTIF('Vietņu ieraksti'!E5:E493,A71)</f>
        <v>1</v>
      </c>
      <c r="D71" s="10">
        <f>SUMIF('Vietņu ieraksti'!E5:E493,A71,'Vietņu ieraksti'!H5:H493)</f>
        <v>200</v>
      </c>
      <c r="E71" s="14">
        <f>_xlfn.MINIFS('Vietņu ieraksti'!B5:B493,'Vietņu ieraksti'!E5:E493,A71)</f>
        <v>46092</v>
      </c>
      <c r="F71" s="14">
        <f>_xlfn.MAXIFS('Vietņu ieraksti'!B5:B493,'Vietņu ieraksti'!E5:E493,A71)</f>
        <v>46092</v>
      </c>
      <c r="G71" s="6">
        <f>COUNTIF(Pārskatīšana!C5:C213,A71)</f>
        <v>0</v>
      </c>
      <c r="H71" s="6">
        <f>SUMPRODUCT(--('Vietņu ieraksti'!E5:E493=A71),--(LEN('Vietņu ieraksti'!R5:R493)&gt;0))</f>
        <v>0</v>
      </c>
      <c r="I71" s="6" t="s">
        <v>3</v>
      </c>
      <c r="J71" s="6" t="s">
        <v>37</v>
      </c>
    </row>
    <row r="72" spans="1:10" x14ac:dyDescent="0.25">
      <c r="A72" s="6" t="s">
        <v>117</v>
      </c>
      <c r="B72" s="6" t="s">
        <v>117</v>
      </c>
      <c r="C72" s="6">
        <f>COUNTIF('Vietņu ieraksti'!E5:E493,A72)</f>
        <v>1</v>
      </c>
      <c r="D72" s="10">
        <f>SUMIF('Vietņu ieraksti'!E5:E493,A72,'Vietņu ieraksti'!H5:H493)</f>
        <v>56</v>
      </c>
      <c r="E72" s="14">
        <f>_xlfn.MINIFS('Vietņu ieraksti'!B5:B493,'Vietņu ieraksti'!E5:E493,A72)</f>
        <v>46138</v>
      </c>
      <c r="F72" s="14">
        <f>_xlfn.MAXIFS('Vietņu ieraksti'!B5:B493,'Vietņu ieraksti'!E5:E493,A72)</f>
        <v>46138</v>
      </c>
      <c r="G72" s="6">
        <f>COUNTIF(Pārskatīšana!C5:C213,A72)</f>
        <v>0</v>
      </c>
      <c r="H72" s="6">
        <f>SUMPRODUCT(--('Vietņu ieraksti'!E5:E493=A72),--(LEN('Vietņu ieraksti'!R5:R493)&gt;0))</f>
        <v>1</v>
      </c>
      <c r="I72" s="6" t="s">
        <v>3</v>
      </c>
      <c r="J72" s="6" t="s">
        <v>37</v>
      </c>
    </row>
    <row r="73" spans="1:10" x14ac:dyDescent="0.25">
      <c r="A73" s="6" t="s">
        <v>118</v>
      </c>
      <c r="B73" s="6" t="s">
        <v>118</v>
      </c>
      <c r="C73" s="6">
        <f>COUNTIF('Vietņu ieraksti'!E5:E493,A73)</f>
        <v>1</v>
      </c>
      <c r="D73" s="10">
        <f>SUMIF('Vietņu ieraksti'!E5:E493,A73,'Vietņu ieraksti'!H5:H493)</f>
        <v>0</v>
      </c>
      <c r="E73" s="14">
        <f>_xlfn.MINIFS('Vietņu ieraksti'!B5:B493,'Vietņu ieraksti'!E5:E493,A73)</f>
        <v>46150</v>
      </c>
      <c r="F73" s="14">
        <f>_xlfn.MAXIFS('Vietņu ieraksti'!B5:B493,'Vietņu ieraksti'!E5:E493,A73)</f>
        <v>46150</v>
      </c>
      <c r="G73" s="6">
        <f>COUNTIF(Pārskatīšana!C5:C213,A73)</f>
        <v>1</v>
      </c>
      <c r="H73" s="6">
        <f>SUMPRODUCT(--('Vietņu ieraksti'!E5:E493=A73),--(LEN('Vietņu ieraksti'!R5:R493)&gt;0))</f>
        <v>0</v>
      </c>
      <c r="I73" s="6" t="s">
        <v>3</v>
      </c>
      <c r="J73" s="6" t="s">
        <v>37</v>
      </c>
    </row>
    <row r="74" spans="1:10" x14ac:dyDescent="0.25">
      <c r="A74" s="6" t="s">
        <v>119</v>
      </c>
      <c r="B74" s="6" t="s">
        <v>119</v>
      </c>
      <c r="C74" s="6">
        <f>COUNTIF('Vietņu ieraksti'!E5:E493,A74)</f>
        <v>1</v>
      </c>
      <c r="D74" s="10">
        <f>SUMIF('Vietņu ieraksti'!E5:E493,A74,'Vietņu ieraksti'!H5:H493)</f>
        <v>0</v>
      </c>
      <c r="E74" s="14">
        <f>_xlfn.MINIFS('Vietņu ieraksti'!B5:B493,'Vietņu ieraksti'!E5:E493,A74)</f>
        <v>46202</v>
      </c>
      <c r="F74" s="14">
        <f>_xlfn.MAXIFS('Vietņu ieraksti'!B5:B493,'Vietņu ieraksti'!E5:E493,A74)</f>
        <v>46202</v>
      </c>
      <c r="G74" s="6">
        <f>COUNTIF(Pārskatīšana!C5:C213,A74)</f>
        <v>1</v>
      </c>
      <c r="H74" s="6">
        <f>SUMPRODUCT(--('Vietņu ieraksti'!E5:E493=A74),--(LEN('Vietņu ieraksti'!R5:R493)&gt;0))</f>
        <v>0</v>
      </c>
      <c r="I74" s="6" t="s">
        <v>3</v>
      </c>
      <c r="J74" s="6" t="s">
        <v>37</v>
      </c>
    </row>
    <row r="75" spans="1:10" x14ac:dyDescent="0.25">
      <c r="A75" s="6" t="s">
        <v>120</v>
      </c>
      <c r="B75" s="6" t="s">
        <v>120</v>
      </c>
      <c r="C75" s="6">
        <f>COUNTIF('Vietņu ieraksti'!E5:E493,A75)</f>
        <v>1</v>
      </c>
      <c r="D75" s="10">
        <f>SUMIF('Vietņu ieraksti'!E5:E493,A75,'Vietņu ieraksti'!H5:H493)</f>
        <v>50</v>
      </c>
      <c r="E75" s="14">
        <f>_xlfn.MINIFS('Vietņu ieraksti'!B5:B493,'Vietņu ieraksti'!E5:E493,A75)</f>
        <v>46226</v>
      </c>
      <c r="F75" s="14">
        <f>_xlfn.MAXIFS('Vietņu ieraksti'!B5:B493,'Vietņu ieraksti'!E5:E493,A75)</f>
        <v>46226</v>
      </c>
      <c r="G75" s="6">
        <f>COUNTIF(Pārskatīšana!C5:C213,A75)</f>
        <v>0</v>
      </c>
      <c r="H75" s="6">
        <f>SUMPRODUCT(--('Vietņu ieraksti'!E5:E493=A75),--(LEN('Vietņu ieraksti'!R5:R493)&gt;0))</f>
        <v>0</v>
      </c>
      <c r="I75" s="6" t="s">
        <v>3</v>
      </c>
      <c r="J75" s="6" t="s">
        <v>37</v>
      </c>
    </row>
    <row r="76" spans="1:10" x14ac:dyDescent="0.25">
      <c r="A76" s="6" t="s">
        <v>121</v>
      </c>
      <c r="B76" s="6" t="s">
        <v>121</v>
      </c>
      <c r="C76" s="6">
        <f>COUNTIF('Vietņu ieraksti'!E5:E493,A76)</f>
        <v>1</v>
      </c>
      <c r="D76" s="10">
        <f>SUMIF('Vietņu ieraksti'!E5:E493,A76,'Vietņu ieraksti'!H5:H493)</f>
        <v>213</v>
      </c>
      <c r="E76" s="14">
        <f>_xlfn.MINIFS('Vietņu ieraksti'!B5:B493,'Vietņu ieraksti'!E5:E493,A76)</f>
        <v>46056</v>
      </c>
      <c r="F76" s="14">
        <f>_xlfn.MAXIFS('Vietņu ieraksti'!B5:B493,'Vietņu ieraksti'!E5:E493,A76)</f>
        <v>46056</v>
      </c>
      <c r="G76" s="6">
        <f>COUNTIF(Pārskatīšana!C5:C213,A76)</f>
        <v>0</v>
      </c>
      <c r="H76" s="6">
        <f>SUMPRODUCT(--('Vietņu ieraksti'!E5:E493=A76),--(LEN('Vietņu ieraksti'!R5:R493)&gt;0))</f>
        <v>0</v>
      </c>
      <c r="I76" s="6" t="s">
        <v>3</v>
      </c>
      <c r="J76" s="6" t="s">
        <v>37</v>
      </c>
    </row>
    <row r="77" spans="1:10" x14ac:dyDescent="0.25">
      <c r="A77" s="6" t="s">
        <v>122</v>
      </c>
      <c r="B77" s="6" t="s">
        <v>122</v>
      </c>
      <c r="C77" s="6">
        <f>COUNTIF('Vietņu ieraksti'!E5:E493,A77)</f>
        <v>1</v>
      </c>
      <c r="D77" s="10">
        <f>SUMIF('Vietņu ieraksti'!E5:E493,A77,'Vietņu ieraksti'!H5:H493)</f>
        <v>59</v>
      </c>
      <c r="E77" s="14">
        <f>_xlfn.MINIFS('Vietņu ieraksti'!B5:B493,'Vietņu ieraksti'!E5:E493,A77)</f>
        <v>46058</v>
      </c>
      <c r="F77" s="14">
        <f>_xlfn.MAXIFS('Vietņu ieraksti'!B5:B493,'Vietņu ieraksti'!E5:E493,A77)</f>
        <v>46058</v>
      </c>
      <c r="G77" s="6">
        <f>COUNTIF(Pārskatīšana!C5:C213,A77)</f>
        <v>1</v>
      </c>
      <c r="H77" s="6">
        <f>SUMPRODUCT(--('Vietņu ieraksti'!E5:E493=A77),--(LEN('Vietņu ieraksti'!R5:R493)&gt;0))</f>
        <v>0</v>
      </c>
      <c r="I77" s="6" t="s">
        <v>3</v>
      </c>
      <c r="J77" s="6" t="s">
        <v>37</v>
      </c>
    </row>
    <row r="78" spans="1:10" x14ac:dyDescent="0.25">
      <c r="A78" s="6" t="s">
        <v>123</v>
      </c>
      <c r="B78" s="6" t="s">
        <v>123</v>
      </c>
      <c r="C78" s="6">
        <f>COUNTIF('Vietņu ieraksti'!E5:E493,A78)</f>
        <v>1</v>
      </c>
      <c r="D78" s="10">
        <f>SUMIF('Vietņu ieraksti'!E5:E493,A78,'Vietņu ieraksti'!H5:H493)</f>
        <v>0</v>
      </c>
      <c r="E78" s="14">
        <f>_xlfn.MINIFS('Vietņu ieraksti'!B5:B493,'Vietņu ieraksti'!E5:E493,A78)</f>
        <v>46211</v>
      </c>
      <c r="F78" s="14">
        <f>_xlfn.MAXIFS('Vietņu ieraksti'!B5:B493,'Vietņu ieraksti'!E5:E493,A78)</f>
        <v>46211</v>
      </c>
      <c r="G78" s="6">
        <f>COUNTIF(Pārskatīšana!C5:C213,A78)</f>
        <v>1</v>
      </c>
      <c r="H78" s="6">
        <f>SUMPRODUCT(--('Vietņu ieraksti'!E5:E493=A78),--(LEN('Vietņu ieraksti'!R5:R493)&gt;0))</f>
        <v>0</v>
      </c>
      <c r="I78" s="6" t="s">
        <v>3</v>
      </c>
      <c r="J78" s="6" t="s">
        <v>37</v>
      </c>
    </row>
    <row r="79" spans="1:10" x14ac:dyDescent="0.25">
      <c r="A79" s="6" t="s">
        <v>124</v>
      </c>
      <c r="B79" s="6" t="s">
        <v>124</v>
      </c>
      <c r="C79" s="6">
        <f>COUNTIF('Vietņu ieraksti'!E5:E493,A79)</f>
        <v>1</v>
      </c>
      <c r="D79" s="10">
        <f>SUMIF('Vietņu ieraksti'!E5:E493,A79,'Vietņu ieraksti'!H5:H493)</f>
        <v>427</v>
      </c>
      <c r="E79" s="14">
        <f>_xlfn.MINIFS('Vietņu ieraksti'!B5:B493,'Vietņu ieraksti'!E5:E493,A79)</f>
        <v>46065</v>
      </c>
      <c r="F79" s="14">
        <f>_xlfn.MAXIFS('Vietņu ieraksti'!B5:B493,'Vietņu ieraksti'!E5:E493,A79)</f>
        <v>46065</v>
      </c>
      <c r="G79" s="6">
        <f>COUNTIF(Pārskatīšana!C5:C213,A79)</f>
        <v>1</v>
      </c>
      <c r="H79" s="6">
        <f>SUMPRODUCT(--('Vietņu ieraksti'!E5:E493=A79),--(LEN('Vietņu ieraksti'!R5:R493)&gt;0))</f>
        <v>1</v>
      </c>
      <c r="I79" s="6" t="s">
        <v>3</v>
      </c>
      <c r="J79" s="6" t="s">
        <v>37</v>
      </c>
    </row>
    <row r="80" spans="1:10" x14ac:dyDescent="0.25">
      <c r="A80" s="6" t="s">
        <v>125</v>
      </c>
      <c r="B80" s="6" t="s">
        <v>125</v>
      </c>
      <c r="C80" s="6">
        <f>COUNTIF('Vietņu ieraksti'!E5:E493,A80)</f>
        <v>1</v>
      </c>
      <c r="D80" s="10">
        <f>SUMIF('Vietņu ieraksti'!E5:E493,A80,'Vietņu ieraksti'!H5:H493)</f>
        <v>0</v>
      </c>
      <c r="E80" s="14">
        <f>_xlfn.MINIFS('Vietņu ieraksti'!B5:B493,'Vietņu ieraksti'!E5:E493,A80)</f>
        <v>46241</v>
      </c>
      <c r="F80" s="14">
        <f>_xlfn.MAXIFS('Vietņu ieraksti'!B5:B493,'Vietņu ieraksti'!E5:E493,A80)</f>
        <v>46241</v>
      </c>
      <c r="G80" s="6">
        <f>COUNTIF(Pārskatīšana!C5:C213,A80)</f>
        <v>1</v>
      </c>
      <c r="H80" s="6">
        <f>SUMPRODUCT(--('Vietņu ieraksti'!E5:E493=A80),--(LEN('Vietņu ieraksti'!R5:R493)&gt;0))</f>
        <v>0</v>
      </c>
      <c r="I80" s="6" t="s">
        <v>3</v>
      </c>
      <c r="J80" s="6" t="s">
        <v>37</v>
      </c>
    </row>
    <row r="81" spans="1:10" x14ac:dyDescent="0.25">
      <c r="A81" s="6" t="s">
        <v>126</v>
      </c>
      <c r="B81" s="6" t="s">
        <v>126</v>
      </c>
      <c r="C81" s="6">
        <f>COUNTIF('Vietņu ieraksti'!E5:E493,A81)</f>
        <v>1</v>
      </c>
      <c r="D81" s="10">
        <f>SUMIF('Vietņu ieraksti'!E5:E493,A81,'Vietņu ieraksti'!H5:H493)</f>
        <v>0</v>
      </c>
      <c r="E81" s="14">
        <f>_xlfn.MINIFS('Vietņu ieraksti'!B5:B493,'Vietņu ieraksti'!E5:E493,A81)</f>
        <v>46134</v>
      </c>
      <c r="F81" s="14">
        <f>_xlfn.MAXIFS('Vietņu ieraksti'!B5:B493,'Vietņu ieraksti'!E5:E493,A81)</f>
        <v>46134</v>
      </c>
      <c r="G81" s="6">
        <f>COUNTIF(Pārskatīšana!C5:C213,A81)</f>
        <v>1</v>
      </c>
      <c r="H81" s="6">
        <f>SUMPRODUCT(--('Vietņu ieraksti'!E5:E493=A81),--(LEN('Vietņu ieraksti'!R5:R493)&gt;0))</f>
        <v>0</v>
      </c>
      <c r="I81" s="6" t="s">
        <v>3</v>
      </c>
      <c r="J81" s="6" t="s">
        <v>37</v>
      </c>
    </row>
    <row r="82" spans="1:10" x14ac:dyDescent="0.25">
      <c r="A82" s="6" t="s">
        <v>127</v>
      </c>
      <c r="B82" s="6" t="s">
        <v>127</v>
      </c>
      <c r="C82" s="6">
        <f>COUNTIF('Vietņu ieraksti'!E5:E493,A82)</f>
        <v>1</v>
      </c>
      <c r="D82" s="10">
        <f>SUMIF('Vietņu ieraksti'!E5:E493,A82,'Vietņu ieraksti'!H5:H493)</f>
        <v>0</v>
      </c>
      <c r="E82" s="14">
        <f>_xlfn.MINIFS('Vietņu ieraksti'!B5:B493,'Vietņu ieraksti'!E5:E493,A82)</f>
        <v>46161</v>
      </c>
      <c r="F82" s="14">
        <f>_xlfn.MAXIFS('Vietņu ieraksti'!B5:B493,'Vietņu ieraksti'!E5:E493,A82)</f>
        <v>46161</v>
      </c>
      <c r="G82" s="6">
        <f>COUNTIF(Pārskatīšana!C5:C213,A82)</f>
        <v>1</v>
      </c>
      <c r="H82" s="6">
        <f>SUMPRODUCT(--('Vietņu ieraksti'!E5:E493=A82),--(LEN('Vietņu ieraksti'!R5:R493)&gt;0))</f>
        <v>0</v>
      </c>
      <c r="I82" s="6" t="s">
        <v>3</v>
      </c>
      <c r="J82" s="6" t="s">
        <v>37</v>
      </c>
    </row>
    <row r="83" spans="1:10" x14ac:dyDescent="0.25">
      <c r="A83" s="6" t="s">
        <v>128</v>
      </c>
      <c r="B83" s="6" t="s">
        <v>128</v>
      </c>
      <c r="C83" s="6">
        <f>COUNTIF('Vietņu ieraksti'!E5:E493,A83)</f>
        <v>1</v>
      </c>
      <c r="D83" s="10">
        <f>SUMIF('Vietņu ieraksti'!E5:E493,A83,'Vietņu ieraksti'!H5:H493)</f>
        <v>135</v>
      </c>
      <c r="E83" s="14">
        <f>_xlfn.MINIFS('Vietņu ieraksti'!B5:B493,'Vietņu ieraksti'!E5:E493,A83)</f>
        <v>46254</v>
      </c>
      <c r="F83" s="14">
        <f>_xlfn.MAXIFS('Vietņu ieraksti'!B5:B493,'Vietņu ieraksti'!E5:E493,A83)</f>
        <v>46254</v>
      </c>
      <c r="G83" s="6">
        <f>COUNTIF(Pārskatīšana!C5:C213,A83)</f>
        <v>1</v>
      </c>
      <c r="H83" s="6">
        <f>SUMPRODUCT(--('Vietņu ieraksti'!E5:E493=A83),--(LEN('Vietņu ieraksti'!R5:R493)&gt;0))</f>
        <v>1</v>
      </c>
      <c r="I83" s="6" t="s">
        <v>3</v>
      </c>
      <c r="J83" s="6" t="s">
        <v>37</v>
      </c>
    </row>
    <row r="84" spans="1:10" x14ac:dyDescent="0.25">
      <c r="A84" s="6" t="s">
        <v>129</v>
      </c>
      <c r="B84" s="6" t="s">
        <v>129</v>
      </c>
      <c r="C84" s="6">
        <f>COUNTIF('Vietņu ieraksti'!E5:E493,A84)</f>
        <v>1</v>
      </c>
      <c r="D84" s="10">
        <f>SUMIF('Vietņu ieraksti'!E5:E493,A84,'Vietņu ieraksti'!H5:H493)</f>
        <v>0</v>
      </c>
      <c r="E84" s="14">
        <f>_xlfn.MINIFS('Vietņu ieraksti'!B5:B493,'Vietņu ieraksti'!E5:E493,A84)</f>
        <v>46094</v>
      </c>
      <c r="F84" s="14">
        <f>_xlfn.MAXIFS('Vietņu ieraksti'!B5:B493,'Vietņu ieraksti'!E5:E493,A84)</f>
        <v>46094</v>
      </c>
      <c r="G84" s="6">
        <f>COUNTIF(Pārskatīšana!C5:C213,A84)</f>
        <v>1</v>
      </c>
      <c r="H84" s="6">
        <f>SUMPRODUCT(--('Vietņu ieraksti'!E5:E493=A84),--(LEN('Vietņu ieraksti'!R5:R493)&gt;0))</f>
        <v>0</v>
      </c>
      <c r="I84" s="6" t="s">
        <v>3</v>
      </c>
      <c r="J84" s="6" t="s">
        <v>37</v>
      </c>
    </row>
    <row r="85" spans="1:10" x14ac:dyDescent="0.25">
      <c r="A85" s="6" t="s">
        <v>130</v>
      </c>
      <c r="B85" s="6" t="s">
        <v>130</v>
      </c>
      <c r="C85" s="6">
        <f>COUNTIF('Vietņu ieraksti'!E5:E493,A85)</f>
        <v>1</v>
      </c>
      <c r="D85" s="10">
        <f>SUMIF('Vietņu ieraksti'!E5:E493,A85,'Vietņu ieraksti'!H5:H493)</f>
        <v>260</v>
      </c>
      <c r="E85" s="14">
        <f>_xlfn.MINIFS('Vietņu ieraksti'!B5:B493,'Vietņu ieraksti'!E5:E493,A85)</f>
        <v>46108</v>
      </c>
      <c r="F85" s="14">
        <f>_xlfn.MAXIFS('Vietņu ieraksti'!B5:B493,'Vietņu ieraksti'!E5:E493,A85)</f>
        <v>46108</v>
      </c>
      <c r="G85" s="6">
        <f>COUNTIF(Pārskatīšana!C5:C213,A85)</f>
        <v>0</v>
      </c>
      <c r="H85" s="6">
        <f>SUMPRODUCT(--('Vietņu ieraksti'!E5:E493=A85),--(LEN('Vietņu ieraksti'!R5:R493)&gt;0))</f>
        <v>0</v>
      </c>
      <c r="I85" s="6" t="s">
        <v>3</v>
      </c>
      <c r="J85" s="6" t="s">
        <v>37</v>
      </c>
    </row>
    <row r="86" spans="1:10" x14ac:dyDescent="0.25">
      <c r="A86" s="6" t="s">
        <v>131</v>
      </c>
      <c r="B86" s="6" t="s">
        <v>131</v>
      </c>
      <c r="C86" s="6">
        <f>COUNTIF('Vietņu ieraksti'!E5:E493,A86)</f>
        <v>1</v>
      </c>
      <c r="D86" s="10">
        <f>SUMIF('Vietņu ieraksti'!E5:E493,A86,'Vietņu ieraksti'!H5:H493)</f>
        <v>73</v>
      </c>
      <c r="E86" s="14">
        <f>_xlfn.MINIFS('Vietņu ieraksti'!B5:B493,'Vietņu ieraksti'!E5:E493,A86)</f>
        <v>46091</v>
      </c>
      <c r="F86" s="14">
        <f>_xlfn.MAXIFS('Vietņu ieraksti'!B5:B493,'Vietņu ieraksti'!E5:E493,A86)</f>
        <v>46091</v>
      </c>
      <c r="G86" s="6">
        <f>COUNTIF(Pārskatīšana!C5:C213,A86)</f>
        <v>0</v>
      </c>
      <c r="H86" s="6">
        <f>SUMPRODUCT(--('Vietņu ieraksti'!E5:E493=A86),--(LEN('Vietņu ieraksti'!R5:R493)&gt;0))</f>
        <v>0</v>
      </c>
      <c r="I86" s="6" t="s">
        <v>3</v>
      </c>
      <c r="J86" s="6" t="s">
        <v>37</v>
      </c>
    </row>
    <row r="87" spans="1:10" x14ac:dyDescent="0.25">
      <c r="A87" s="6" t="s">
        <v>132</v>
      </c>
      <c r="B87" s="6" t="s">
        <v>132</v>
      </c>
      <c r="C87" s="6">
        <f>COUNTIF('Vietņu ieraksti'!E5:E493,A87)</f>
        <v>1</v>
      </c>
      <c r="D87" s="10">
        <f>SUMIF('Vietņu ieraksti'!E5:E493,A87,'Vietņu ieraksti'!H5:H493)</f>
        <v>17</v>
      </c>
      <c r="E87" s="14">
        <f>_xlfn.MINIFS('Vietņu ieraksti'!B5:B493,'Vietņu ieraksti'!E5:E493,A87)</f>
        <v>46240</v>
      </c>
      <c r="F87" s="14">
        <f>_xlfn.MAXIFS('Vietņu ieraksti'!B5:B493,'Vietņu ieraksti'!E5:E493,A87)</f>
        <v>46240</v>
      </c>
      <c r="G87" s="6">
        <f>COUNTIF(Pārskatīšana!C5:C213,A87)</f>
        <v>1</v>
      </c>
      <c r="H87" s="6">
        <f>SUMPRODUCT(--('Vietņu ieraksti'!E5:E493=A87),--(LEN('Vietņu ieraksti'!R5:R493)&gt;0))</f>
        <v>0</v>
      </c>
      <c r="I87" s="6" t="s">
        <v>3</v>
      </c>
      <c r="J87" s="6" t="s">
        <v>37</v>
      </c>
    </row>
    <row r="88" spans="1:10" x14ac:dyDescent="0.25">
      <c r="A88" s="6" t="s">
        <v>133</v>
      </c>
      <c r="B88" s="6" t="s">
        <v>133</v>
      </c>
      <c r="C88" s="6">
        <f>COUNTIF('Vietņu ieraksti'!E5:E493,A88)</f>
        <v>1</v>
      </c>
      <c r="D88" s="10">
        <f>SUMIF('Vietņu ieraksti'!E5:E493,A88,'Vietņu ieraksti'!H5:H493)</f>
        <v>35</v>
      </c>
      <c r="E88" s="14">
        <f>_xlfn.MINIFS('Vietņu ieraksti'!B5:B493,'Vietņu ieraksti'!E5:E493,A88)</f>
        <v>46248</v>
      </c>
      <c r="F88" s="14">
        <f>_xlfn.MAXIFS('Vietņu ieraksti'!B5:B493,'Vietņu ieraksti'!E5:E493,A88)</f>
        <v>46248</v>
      </c>
      <c r="G88" s="6">
        <f>COUNTIF(Pārskatīšana!C5:C213,A88)</f>
        <v>0</v>
      </c>
      <c r="H88" s="6">
        <f>SUMPRODUCT(--('Vietņu ieraksti'!E5:E493=A88),--(LEN('Vietņu ieraksti'!R5:R493)&gt;0))</f>
        <v>0</v>
      </c>
      <c r="I88" s="6" t="s">
        <v>3</v>
      </c>
      <c r="J88" s="6" t="s">
        <v>37</v>
      </c>
    </row>
    <row r="89" spans="1:10" x14ac:dyDescent="0.25">
      <c r="A89" s="6" t="s">
        <v>134</v>
      </c>
      <c r="B89" s="6" t="s">
        <v>134</v>
      </c>
      <c r="C89" s="6">
        <f>COUNTIF('Vietņu ieraksti'!E5:E493,A89)</f>
        <v>1</v>
      </c>
      <c r="D89" s="10">
        <f>SUMIF('Vietņu ieraksti'!E5:E493,A89,'Vietņu ieraksti'!H5:H493)</f>
        <v>80</v>
      </c>
      <c r="E89" s="14">
        <f>_xlfn.MINIFS('Vietņu ieraksti'!B5:B493,'Vietņu ieraksti'!E5:E493,A89)</f>
        <v>46123</v>
      </c>
      <c r="F89" s="14">
        <f>_xlfn.MAXIFS('Vietņu ieraksti'!B5:B493,'Vietņu ieraksti'!E5:E493,A89)</f>
        <v>46123</v>
      </c>
      <c r="G89" s="6">
        <f>COUNTIF(Pārskatīšana!C5:C213,A89)</f>
        <v>0</v>
      </c>
      <c r="H89" s="6">
        <f>SUMPRODUCT(--('Vietņu ieraksti'!E5:E493=A89),--(LEN('Vietņu ieraksti'!R5:R493)&gt;0))</f>
        <v>0</v>
      </c>
      <c r="I89" s="6" t="s">
        <v>3</v>
      </c>
      <c r="J89" s="6" t="s">
        <v>37</v>
      </c>
    </row>
    <row r="90" spans="1:10" x14ac:dyDescent="0.25">
      <c r="A90" s="6" t="s">
        <v>135</v>
      </c>
      <c r="B90" s="6" t="s">
        <v>135</v>
      </c>
      <c r="C90" s="6">
        <f>COUNTIF('Vietņu ieraksti'!E5:E493,A90)</f>
        <v>1</v>
      </c>
      <c r="D90" s="10">
        <f>SUMIF('Vietņu ieraksti'!E5:E493,A90,'Vietņu ieraksti'!H5:H493)</f>
        <v>142</v>
      </c>
      <c r="E90" s="14">
        <f>_xlfn.MINIFS('Vietņu ieraksti'!B5:B493,'Vietņu ieraksti'!E5:E493,A90)</f>
        <v>46139</v>
      </c>
      <c r="F90" s="14">
        <f>_xlfn.MAXIFS('Vietņu ieraksti'!B5:B493,'Vietņu ieraksti'!E5:E493,A90)</f>
        <v>46139</v>
      </c>
      <c r="G90" s="6">
        <f>COUNTIF(Pārskatīšana!C5:C213,A90)</f>
        <v>0</v>
      </c>
      <c r="H90" s="6">
        <f>SUMPRODUCT(--('Vietņu ieraksti'!E5:E493=A90),--(LEN('Vietņu ieraksti'!R5:R493)&gt;0))</f>
        <v>1</v>
      </c>
      <c r="I90" s="6" t="s">
        <v>3</v>
      </c>
      <c r="J90" s="6" t="s">
        <v>37</v>
      </c>
    </row>
    <row r="91" spans="1:10" x14ac:dyDescent="0.25">
      <c r="A91" s="6" t="s">
        <v>136</v>
      </c>
      <c r="B91" s="6" t="s">
        <v>136</v>
      </c>
      <c r="C91" s="6">
        <f>COUNTIF('Vietņu ieraksti'!E5:E493,A91)</f>
        <v>1</v>
      </c>
      <c r="D91" s="10">
        <f>SUMIF('Vietņu ieraksti'!E5:E493,A91,'Vietņu ieraksti'!H5:H493)</f>
        <v>30</v>
      </c>
      <c r="E91" s="14">
        <f>_xlfn.MINIFS('Vietņu ieraksti'!B5:B493,'Vietņu ieraksti'!E5:E493,A91)</f>
        <v>46162</v>
      </c>
      <c r="F91" s="14">
        <f>_xlfn.MAXIFS('Vietņu ieraksti'!B5:B493,'Vietņu ieraksti'!E5:E493,A91)</f>
        <v>46162</v>
      </c>
      <c r="G91" s="6">
        <f>COUNTIF(Pārskatīšana!C5:C213,A91)</f>
        <v>0</v>
      </c>
      <c r="H91" s="6">
        <f>SUMPRODUCT(--('Vietņu ieraksti'!E5:E493=A91),--(LEN('Vietņu ieraksti'!R5:R493)&gt;0))</f>
        <v>0</v>
      </c>
      <c r="I91" s="6" t="s">
        <v>3</v>
      </c>
      <c r="J91" s="6" t="s">
        <v>37</v>
      </c>
    </row>
    <row r="92" spans="1:10" x14ac:dyDescent="0.25">
      <c r="A92" s="6" t="s">
        <v>137</v>
      </c>
      <c r="B92" s="6" t="s">
        <v>137</v>
      </c>
      <c r="C92" s="6">
        <f>COUNTIF('Vietņu ieraksti'!E5:E493,A92)</f>
        <v>1</v>
      </c>
      <c r="D92" s="10">
        <f>SUMIF('Vietņu ieraksti'!E5:E493,A92,'Vietņu ieraksti'!H5:H493)</f>
        <v>200</v>
      </c>
      <c r="E92" s="14">
        <f>_xlfn.MINIFS('Vietņu ieraksti'!B5:B493,'Vietņu ieraksti'!E5:E493,A92)</f>
        <v>46153</v>
      </c>
      <c r="F92" s="14">
        <f>_xlfn.MAXIFS('Vietņu ieraksti'!B5:B493,'Vietņu ieraksti'!E5:E493,A92)</f>
        <v>46153</v>
      </c>
      <c r="G92" s="6">
        <f>COUNTIF(Pārskatīšana!C5:C213,A92)</f>
        <v>1</v>
      </c>
      <c r="H92" s="6">
        <f>SUMPRODUCT(--('Vietņu ieraksti'!E5:E493=A92),--(LEN('Vietņu ieraksti'!R5:R493)&gt;0))</f>
        <v>1</v>
      </c>
      <c r="I92" s="6" t="s">
        <v>3</v>
      </c>
      <c r="J92" s="6" t="s">
        <v>37</v>
      </c>
    </row>
    <row r="93" spans="1:10" x14ac:dyDescent="0.25">
      <c r="A93" s="6" t="s">
        <v>138</v>
      </c>
      <c r="B93" s="6" t="s">
        <v>138</v>
      </c>
      <c r="C93" s="6">
        <f>COUNTIF('Vietņu ieraksti'!E5:E493,A93)</f>
        <v>1</v>
      </c>
      <c r="D93" s="10">
        <f>SUMIF('Vietņu ieraksti'!E5:E493,A93,'Vietņu ieraksti'!H5:H493)</f>
        <v>289</v>
      </c>
      <c r="E93" s="14">
        <f>_xlfn.MINIFS('Vietņu ieraksti'!B5:B493,'Vietņu ieraksti'!E5:E493,A93)</f>
        <v>46097</v>
      </c>
      <c r="F93" s="14">
        <f>_xlfn.MAXIFS('Vietņu ieraksti'!B5:B493,'Vietņu ieraksti'!E5:E493,A93)</f>
        <v>46097</v>
      </c>
      <c r="G93" s="6">
        <f>COUNTIF(Pārskatīšana!C5:C213,A93)</f>
        <v>0</v>
      </c>
      <c r="H93" s="6">
        <f>SUMPRODUCT(--('Vietņu ieraksti'!E5:E493=A93),--(LEN('Vietņu ieraksti'!R5:R493)&gt;0))</f>
        <v>0</v>
      </c>
      <c r="I93" s="6" t="s">
        <v>3</v>
      </c>
      <c r="J93" s="6" t="s">
        <v>37</v>
      </c>
    </row>
    <row r="94" spans="1:10" x14ac:dyDescent="0.25">
      <c r="A94" s="6" t="s">
        <v>139</v>
      </c>
      <c r="B94" s="6" t="s">
        <v>139</v>
      </c>
      <c r="C94" s="6">
        <f>COUNTIF('Vietņu ieraksti'!E5:E493,A94)</f>
        <v>1</v>
      </c>
      <c r="D94" s="10">
        <f>SUMIF('Vietņu ieraksti'!E5:E493,A94,'Vietņu ieraksti'!H5:H493)</f>
        <v>0</v>
      </c>
      <c r="E94" s="14">
        <f>_xlfn.MINIFS('Vietņu ieraksti'!B5:B493,'Vietņu ieraksti'!E5:E493,A94)</f>
        <v>46240</v>
      </c>
      <c r="F94" s="14">
        <f>_xlfn.MAXIFS('Vietņu ieraksti'!B5:B493,'Vietņu ieraksti'!E5:E493,A94)</f>
        <v>46240</v>
      </c>
      <c r="G94" s="6">
        <f>COUNTIF(Pārskatīšana!C5:C213,A94)</f>
        <v>1</v>
      </c>
      <c r="H94" s="6">
        <f>SUMPRODUCT(--('Vietņu ieraksti'!E5:E493=A94),--(LEN('Vietņu ieraksti'!R5:R493)&gt;0))</f>
        <v>1</v>
      </c>
      <c r="I94" s="6" t="s">
        <v>3</v>
      </c>
      <c r="J94" s="6" t="s">
        <v>37</v>
      </c>
    </row>
    <row r="95" spans="1:10" x14ac:dyDescent="0.25">
      <c r="A95" s="6" t="s">
        <v>140</v>
      </c>
      <c r="B95" s="6" t="s">
        <v>140</v>
      </c>
      <c r="C95" s="6">
        <f>COUNTIF('Vietņu ieraksti'!E5:E493,A95)</f>
        <v>1</v>
      </c>
      <c r="D95" s="10">
        <f>SUMIF('Vietņu ieraksti'!E5:E493,A95,'Vietņu ieraksti'!H5:H493)</f>
        <v>810</v>
      </c>
      <c r="E95" s="14">
        <f>_xlfn.MINIFS('Vietņu ieraksti'!B5:B493,'Vietņu ieraksti'!E5:E493,A95)</f>
        <v>46101</v>
      </c>
      <c r="F95" s="14">
        <f>_xlfn.MAXIFS('Vietņu ieraksti'!B5:B493,'Vietņu ieraksti'!E5:E493,A95)</f>
        <v>46101</v>
      </c>
      <c r="G95" s="6">
        <f>COUNTIF(Pārskatīšana!C5:C213,A95)</f>
        <v>0</v>
      </c>
      <c r="H95" s="6">
        <f>SUMPRODUCT(--('Vietņu ieraksti'!E5:E493=A95),--(LEN('Vietņu ieraksti'!R5:R493)&gt;0))</f>
        <v>0</v>
      </c>
      <c r="I95" s="6" t="s">
        <v>3</v>
      </c>
      <c r="J95" s="6" t="s">
        <v>37</v>
      </c>
    </row>
    <row r="96" spans="1:10" x14ac:dyDescent="0.25">
      <c r="A96" s="6" t="s">
        <v>141</v>
      </c>
      <c r="B96" s="6" t="s">
        <v>141</v>
      </c>
      <c r="C96" s="6">
        <f>COUNTIF('Vietņu ieraksti'!E5:E493,A96)</f>
        <v>1</v>
      </c>
      <c r="D96" s="10">
        <f>SUMIF('Vietņu ieraksti'!E5:E493,A96,'Vietņu ieraksti'!H5:H493)</f>
        <v>0</v>
      </c>
      <c r="E96" s="14">
        <f>_xlfn.MINIFS('Vietņu ieraksti'!B5:B493,'Vietņu ieraksti'!E5:E493,A96)</f>
        <v>46099</v>
      </c>
      <c r="F96" s="14">
        <f>_xlfn.MAXIFS('Vietņu ieraksti'!B5:B493,'Vietņu ieraksti'!E5:E493,A96)</f>
        <v>46099</v>
      </c>
      <c r="G96" s="6">
        <f>COUNTIF(Pārskatīšana!C5:C213,A96)</f>
        <v>1</v>
      </c>
      <c r="H96" s="6">
        <f>SUMPRODUCT(--('Vietņu ieraksti'!E5:E493=A96),--(LEN('Vietņu ieraksti'!R5:R493)&gt;0))</f>
        <v>0</v>
      </c>
      <c r="I96" s="6" t="s">
        <v>3</v>
      </c>
      <c r="J96" s="6" t="s">
        <v>37</v>
      </c>
    </row>
    <row r="97" spans="1:10" x14ac:dyDescent="0.25">
      <c r="A97" s="6" t="s">
        <v>142</v>
      </c>
      <c r="B97" s="6" t="s">
        <v>142</v>
      </c>
      <c r="C97" s="6">
        <f>COUNTIF('Vietņu ieraksti'!E5:E493,A97)</f>
        <v>1</v>
      </c>
      <c r="D97" s="10">
        <f>SUMIF('Vietņu ieraksti'!E5:E493,A97,'Vietņu ieraksti'!H5:H493)</f>
        <v>0</v>
      </c>
      <c r="E97" s="14">
        <f>_xlfn.MINIFS('Vietņu ieraksti'!B5:B493,'Vietņu ieraksti'!E5:E493,A97)</f>
        <v>46067</v>
      </c>
      <c r="F97" s="14">
        <f>_xlfn.MAXIFS('Vietņu ieraksti'!B5:B493,'Vietņu ieraksti'!E5:E493,A97)</f>
        <v>46067</v>
      </c>
      <c r="G97" s="6">
        <f>COUNTIF(Pārskatīšana!C5:C213,A97)</f>
        <v>1</v>
      </c>
      <c r="H97" s="6">
        <f>SUMPRODUCT(--('Vietņu ieraksti'!E5:E493=A97),--(LEN('Vietņu ieraksti'!R5:R493)&gt;0))</f>
        <v>0</v>
      </c>
      <c r="I97" s="6" t="s">
        <v>3</v>
      </c>
      <c r="J97" s="6" t="s">
        <v>37</v>
      </c>
    </row>
    <row r="98" spans="1:10" x14ac:dyDescent="0.25">
      <c r="A98" s="6" t="s">
        <v>143</v>
      </c>
      <c r="B98" s="6" t="s">
        <v>143</v>
      </c>
      <c r="C98" s="6">
        <f>COUNTIF('Vietņu ieraksti'!E5:E493,A98)</f>
        <v>1</v>
      </c>
      <c r="D98" s="10">
        <f>SUMIF('Vietņu ieraksti'!E5:E493,A98,'Vietņu ieraksti'!H5:H493)</f>
        <v>0</v>
      </c>
      <c r="E98" s="14">
        <f>_xlfn.MINIFS('Vietņu ieraksti'!B5:B493,'Vietņu ieraksti'!E5:E493,A98)</f>
        <v>46185</v>
      </c>
      <c r="F98" s="14">
        <f>_xlfn.MAXIFS('Vietņu ieraksti'!B5:B493,'Vietņu ieraksti'!E5:E493,A98)</f>
        <v>46185</v>
      </c>
      <c r="G98" s="6">
        <f>COUNTIF(Pārskatīšana!C5:C213,A98)</f>
        <v>1</v>
      </c>
      <c r="H98" s="6">
        <f>SUMPRODUCT(--('Vietņu ieraksti'!E5:E493=A98),--(LEN('Vietņu ieraksti'!R5:R493)&gt;0))</f>
        <v>0</v>
      </c>
      <c r="I98" s="6" t="s">
        <v>3</v>
      </c>
      <c r="J98" s="6" t="s">
        <v>37</v>
      </c>
    </row>
    <row r="99" spans="1:10" x14ac:dyDescent="0.25">
      <c r="A99" s="6" t="s">
        <v>144</v>
      </c>
      <c r="B99" s="6" t="s">
        <v>144</v>
      </c>
      <c r="C99" s="6">
        <f>COUNTIF('Vietņu ieraksti'!E5:E493,A99)</f>
        <v>1</v>
      </c>
      <c r="D99" s="10">
        <f>SUMIF('Vietņu ieraksti'!E5:E493,A99,'Vietņu ieraksti'!H5:H493)</f>
        <v>0</v>
      </c>
      <c r="E99" s="14">
        <f>_xlfn.MINIFS('Vietņu ieraksti'!B5:B493,'Vietņu ieraksti'!E5:E493,A99)</f>
        <v>46244</v>
      </c>
      <c r="F99" s="14">
        <f>_xlfn.MAXIFS('Vietņu ieraksti'!B5:B493,'Vietņu ieraksti'!E5:E493,A99)</f>
        <v>46244</v>
      </c>
      <c r="G99" s="6">
        <f>COUNTIF(Pārskatīšana!C5:C213,A99)</f>
        <v>1</v>
      </c>
      <c r="H99" s="6">
        <f>SUMPRODUCT(--('Vietņu ieraksti'!E5:E493=A99),--(LEN('Vietņu ieraksti'!R5:R493)&gt;0))</f>
        <v>0</v>
      </c>
      <c r="I99" s="6" t="s">
        <v>3</v>
      </c>
      <c r="J99" s="6" t="s">
        <v>37</v>
      </c>
    </row>
    <row r="100" spans="1:10" x14ac:dyDescent="0.25">
      <c r="A100" s="6" t="s">
        <v>145</v>
      </c>
      <c r="B100" s="6" t="s">
        <v>145</v>
      </c>
      <c r="C100" s="6">
        <f>COUNTIF('Vietņu ieraksti'!E5:E493,A100)</f>
        <v>1</v>
      </c>
      <c r="D100" s="10">
        <f>SUMIF('Vietņu ieraksti'!E5:E493,A100,'Vietņu ieraksti'!H5:H493)</f>
        <v>0</v>
      </c>
      <c r="E100" s="14">
        <f>_xlfn.MINIFS('Vietņu ieraksti'!B5:B493,'Vietņu ieraksti'!E5:E493,A100)</f>
        <v>46216</v>
      </c>
      <c r="F100" s="14">
        <f>_xlfn.MAXIFS('Vietņu ieraksti'!B5:B493,'Vietņu ieraksti'!E5:E493,A100)</f>
        <v>46216</v>
      </c>
      <c r="G100" s="6">
        <f>COUNTIF(Pārskatīšana!C5:C213,A100)</f>
        <v>1</v>
      </c>
      <c r="H100" s="6">
        <f>SUMPRODUCT(--('Vietņu ieraksti'!E5:E493=A100),--(LEN('Vietņu ieraksti'!R5:R493)&gt;0))</f>
        <v>0</v>
      </c>
      <c r="I100" s="6" t="s">
        <v>3</v>
      </c>
      <c r="J100" s="6" t="s">
        <v>37</v>
      </c>
    </row>
    <row r="101" spans="1:10" x14ac:dyDescent="0.25">
      <c r="A101" s="6" t="s">
        <v>146</v>
      </c>
      <c r="B101" s="6" t="s">
        <v>146</v>
      </c>
      <c r="C101" s="6">
        <f>COUNTIF('Vietņu ieraksti'!E5:E493,A101)</f>
        <v>1</v>
      </c>
      <c r="D101" s="10">
        <f>SUMIF('Vietņu ieraksti'!E5:E493,A101,'Vietņu ieraksti'!H5:H493)</f>
        <v>0</v>
      </c>
      <c r="E101" s="14">
        <f>_xlfn.MINIFS('Vietņu ieraksti'!B5:B493,'Vietņu ieraksti'!E5:E493,A101)</f>
        <v>46265</v>
      </c>
      <c r="F101" s="14">
        <f>_xlfn.MAXIFS('Vietņu ieraksti'!B5:B493,'Vietņu ieraksti'!E5:E493,A101)</f>
        <v>46265</v>
      </c>
      <c r="G101" s="6">
        <f>COUNTIF(Pārskatīšana!C5:C213,A101)</f>
        <v>1</v>
      </c>
      <c r="H101" s="6">
        <f>SUMPRODUCT(--('Vietņu ieraksti'!E5:E493=A101),--(LEN('Vietņu ieraksti'!R5:R493)&gt;0))</f>
        <v>0</v>
      </c>
      <c r="I101" s="6" t="s">
        <v>3</v>
      </c>
      <c r="J101" s="6" t="s">
        <v>37</v>
      </c>
    </row>
    <row r="102" spans="1:10" x14ac:dyDescent="0.25">
      <c r="A102" s="6" t="s">
        <v>147</v>
      </c>
      <c r="B102" s="6" t="s">
        <v>147</v>
      </c>
      <c r="C102" s="6">
        <f>COUNTIF('Vietņu ieraksti'!E5:E493,A102)</f>
        <v>1</v>
      </c>
      <c r="D102" s="10">
        <f>SUMIF('Vietņu ieraksti'!E5:E493,A102,'Vietņu ieraksti'!H5:H493)</f>
        <v>192</v>
      </c>
      <c r="E102" s="14">
        <f>_xlfn.MINIFS('Vietņu ieraksti'!B5:B493,'Vietņu ieraksti'!E5:E493,A102)</f>
        <v>46217</v>
      </c>
      <c r="F102" s="14">
        <f>_xlfn.MAXIFS('Vietņu ieraksti'!B5:B493,'Vietņu ieraksti'!E5:E493,A102)</f>
        <v>46217</v>
      </c>
      <c r="G102" s="6">
        <f>COUNTIF(Pārskatīšana!C5:C213,A102)</f>
        <v>0</v>
      </c>
      <c r="H102" s="6">
        <f>SUMPRODUCT(--('Vietņu ieraksti'!E5:E493=A102),--(LEN('Vietņu ieraksti'!R5:R493)&gt;0))</f>
        <v>0</v>
      </c>
      <c r="I102" s="6" t="s">
        <v>3</v>
      </c>
      <c r="J102" s="6" t="s">
        <v>37</v>
      </c>
    </row>
    <row r="103" spans="1:10" x14ac:dyDescent="0.25">
      <c r="A103" s="6" t="s">
        <v>148</v>
      </c>
      <c r="B103" s="6" t="s">
        <v>148</v>
      </c>
      <c r="C103" s="6">
        <f>COUNTIF('Vietņu ieraksti'!E5:E493,A103)</f>
        <v>1</v>
      </c>
      <c r="D103" s="10">
        <f>SUMIF('Vietņu ieraksti'!E5:E493,A103,'Vietņu ieraksti'!H5:H493)</f>
        <v>354</v>
      </c>
      <c r="E103" s="14">
        <f>_xlfn.MINIFS('Vietņu ieraksti'!B5:B493,'Vietņu ieraksti'!E5:E493,A103)</f>
        <v>46128</v>
      </c>
      <c r="F103" s="14">
        <f>_xlfn.MAXIFS('Vietņu ieraksti'!B5:B493,'Vietņu ieraksti'!E5:E493,A103)</f>
        <v>46128</v>
      </c>
      <c r="G103" s="6">
        <f>COUNTIF(Pārskatīšana!C5:C213,A103)</f>
        <v>0</v>
      </c>
      <c r="H103" s="6">
        <f>SUMPRODUCT(--('Vietņu ieraksti'!E5:E493=A103),--(LEN('Vietņu ieraksti'!R5:R493)&gt;0))</f>
        <v>0</v>
      </c>
      <c r="I103" s="6" t="s">
        <v>3</v>
      </c>
      <c r="J103" s="6" t="s">
        <v>37</v>
      </c>
    </row>
    <row r="104" spans="1:10" x14ac:dyDescent="0.25">
      <c r="A104" s="6" t="s">
        <v>149</v>
      </c>
      <c r="B104" s="6" t="s">
        <v>149</v>
      </c>
      <c r="C104" s="6">
        <f>COUNTIF('Vietņu ieraksti'!E5:E493,A104)</f>
        <v>1</v>
      </c>
      <c r="D104" s="10">
        <f>SUMIF('Vietņu ieraksti'!E5:E493,A104,'Vietņu ieraksti'!H5:H493)</f>
        <v>0</v>
      </c>
      <c r="E104" s="14">
        <f>_xlfn.MINIFS('Vietņu ieraksti'!B5:B493,'Vietņu ieraksti'!E5:E493,A104)</f>
        <v>46241</v>
      </c>
      <c r="F104" s="14">
        <f>_xlfn.MAXIFS('Vietņu ieraksti'!B5:B493,'Vietņu ieraksti'!E5:E493,A104)</f>
        <v>46241</v>
      </c>
      <c r="G104" s="6">
        <f>COUNTIF(Pārskatīšana!C5:C213,A104)</f>
        <v>1</v>
      </c>
      <c r="H104" s="6">
        <f>SUMPRODUCT(--('Vietņu ieraksti'!E5:E493=A104),--(LEN('Vietņu ieraksti'!R5:R493)&gt;0))</f>
        <v>0</v>
      </c>
      <c r="I104" s="6" t="s">
        <v>3</v>
      </c>
      <c r="J104" s="6" t="s">
        <v>37</v>
      </c>
    </row>
    <row r="105" spans="1:10" x14ac:dyDescent="0.25">
      <c r="A105" s="6" t="s">
        <v>150</v>
      </c>
      <c r="B105" s="6" t="s">
        <v>150</v>
      </c>
      <c r="C105" s="6">
        <f>COUNTIF('Vietņu ieraksti'!E5:E493,A105)</f>
        <v>1</v>
      </c>
      <c r="D105" s="10">
        <f>SUMIF('Vietņu ieraksti'!E5:E493,A105,'Vietņu ieraksti'!H5:H493)</f>
        <v>0</v>
      </c>
      <c r="E105" s="14">
        <f>_xlfn.MINIFS('Vietņu ieraksti'!B5:B493,'Vietņu ieraksti'!E5:E493,A105)</f>
        <v>46120</v>
      </c>
      <c r="F105" s="14">
        <f>_xlfn.MAXIFS('Vietņu ieraksti'!B5:B493,'Vietņu ieraksti'!E5:E493,A105)</f>
        <v>46120</v>
      </c>
      <c r="G105" s="6">
        <f>COUNTIF(Pārskatīšana!C5:C213,A105)</f>
        <v>1</v>
      </c>
      <c r="H105" s="6">
        <f>SUMPRODUCT(--('Vietņu ieraksti'!E5:E493=A105),--(LEN('Vietņu ieraksti'!R5:R493)&gt;0))</f>
        <v>0</v>
      </c>
      <c r="I105" s="6" t="s">
        <v>3</v>
      </c>
      <c r="J105" s="6" t="s">
        <v>37</v>
      </c>
    </row>
    <row r="106" spans="1:10" x14ac:dyDescent="0.25">
      <c r="A106" s="6" t="s">
        <v>151</v>
      </c>
      <c r="B106" s="6" t="s">
        <v>151</v>
      </c>
      <c r="C106" s="6">
        <f>COUNTIF('Vietņu ieraksti'!E5:E493,A106)</f>
        <v>1</v>
      </c>
      <c r="D106" s="10">
        <f>SUMIF('Vietņu ieraksti'!E5:E493,A106,'Vietņu ieraksti'!H5:H493)</f>
        <v>140</v>
      </c>
      <c r="E106" s="14">
        <f>_xlfn.MINIFS('Vietņu ieraksti'!B5:B493,'Vietņu ieraksti'!E5:E493,A106)</f>
        <v>46101</v>
      </c>
      <c r="F106" s="14">
        <f>_xlfn.MAXIFS('Vietņu ieraksti'!B5:B493,'Vietņu ieraksti'!E5:E493,A106)</f>
        <v>46101</v>
      </c>
      <c r="G106" s="6">
        <f>COUNTIF(Pārskatīšana!C5:C213,A106)</f>
        <v>0</v>
      </c>
      <c r="H106" s="6">
        <f>SUMPRODUCT(--('Vietņu ieraksti'!E5:E493=A106),--(LEN('Vietņu ieraksti'!R5:R493)&gt;0))</f>
        <v>0</v>
      </c>
      <c r="I106" s="6" t="s">
        <v>3</v>
      </c>
      <c r="J106" s="6" t="s">
        <v>37</v>
      </c>
    </row>
    <row r="107" spans="1:10" x14ac:dyDescent="0.25">
      <c r="A107" s="6" t="s">
        <v>152</v>
      </c>
      <c r="B107" s="6" t="s">
        <v>152</v>
      </c>
      <c r="C107" s="6">
        <f>COUNTIF('Vietņu ieraksti'!E5:E493,A107)</f>
        <v>1</v>
      </c>
      <c r="D107" s="10">
        <f>SUMIF('Vietņu ieraksti'!E5:E493,A107,'Vietņu ieraksti'!H5:H493)</f>
        <v>0</v>
      </c>
      <c r="E107" s="14">
        <f>_xlfn.MINIFS('Vietņu ieraksti'!B5:B493,'Vietņu ieraksti'!E5:E493,A107)</f>
        <v>46205</v>
      </c>
      <c r="F107" s="14">
        <f>_xlfn.MAXIFS('Vietņu ieraksti'!B5:B493,'Vietņu ieraksti'!E5:E493,A107)</f>
        <v>46205</v>
      </c>
      <c r="G107" s="6">
        <f>COUNTIF(Pārskatīšana!C5:C213,A107)</f>
        <v>1</v>
      </c>
      <c r="H107" s="6">
        <f>SUMPRODUCT(--('Vietņu ieraksti'!E5:E493=A107),--(LEN('Vietņu ieraksti'!R5:R493)&gt;0))</f>
        <v>0</v>
      </c>
      <c r="I107" s="6" t="s">
        <v>3</v>
      </c>
      <c r="J107" s="6" t="s">
        <v>37</v>
      </c>
    </row>
    <row r="108" spans="1:10" x14ac:dyDescent="0.25">
      <c r="A108" s="6" t="s">
        <v>153</v>
      </c>
      <c r="B108" s="6" t="s">
        <v>153</v>
      </c>
      <c r="C108" s="6">
        <f>COUNTIF('Vietņu ieraksti'!E5:E493,A108)</f>
        <v>1</v>
      </c>
      <c r="D108" s="10">
        <f>SUMIF('Vietņu ieraksti'!E5:E493,A108,'Vietņu ieraksti'!H5:H493)</f>
        <v>208</v>
      </c>
      <c r="E108" s="14">
        <f>_xlfn.MINIFS('Vietņu ieraksti'!B5:B493,'Vietņu ieraksti'!E5:E493,A108)</f>
        <v>46173</v>
      </c>
      <c r="F108" s="14">
        <f>_xlfn.MAXIFS('Vietņu ieraksti'!B5:B493,'Vietņu ieraksti'!E5:E493,A108)</f>
        <v>46173</v>
      </c>
      <c r="G108" s="6">
        <f>COUNTIF(Pārskatīšana!C5:C213,A108)</f>
        <v>0</v>
      </c>
      <c r="H108" s="6">
        <f>SUMPRODUCT(--('Vietņu ieraksti'!E5:E493=A108),--(LEN('Vietņu ieraksti'!R5:R493)&gt;0))</f>
        <v>0</v>
      </c>
      <c r="I108" s="6" t="s">
        <v>3</v>
      </c>
      <c r="J108" s="6" t="s">
        <v>37</v>
      </c>
    </row>
    <row r="109" spans="1:10" x14ac:dyDescent="0.25">
      <c r="A109" s="6" t="s">
        <v>154</v>
      </c>
      <c r="B109" s="6" t="s">
        <v>154</v>
      </c>
      <c r="C109" s="6">
        <f>COUNTIF('Vietņu ieraksti'!E5:E493,A109)</f>
        <v>1</v>
      </c>
      <c r="D109" s="10">
        <f>SUMIF('Vietņu ieraksti'!E5:E493,A109,'Vietņu ieraksti'!H5:H493)</f>
        <v>0</v>
      </c>
      <c r="E109" s="14">
        <f>_xlfn.MINIFS('Vietņu ieraksti'!B5:B493,'Vietņu ieraksti'!E5:E493,A109)</f>
        <v>46261</v>
      </c>
      <c r="F109" s="14">
        <f>_xlfn.MAXIFS('Vietņu ieraksti'!B5:B493,'Vietņu ieraksti'!E5:E493,A109)</f>
        <v>46261</v>
      </c>
      <c r="G109" s="6">
        <f>COUNTIF(Pārskatīšana!C5:C213,A109)</f>
        <v>1</v>
      </c>
      <c r="H109" s="6">
        <f>SUMPRODUCT(--('Vietņu ieraksti'!E5:E493=A109),--(LEN('Vietņu ieraksti'!R5:R493)&gt;0))</f>
        <v>0</v>
      </c>
      <c r="I109" s="6" t="s">
        <v>3</v>
      </c>
      <c r="J109" s="6" t="s">
        <v>37</v>
      </c>
    </row>
    <row r="110" spans="1:10" x14ac:dyDescent="0.25">
      <c r="A110" s="6" t="s">
        <v>155</v>
      </c>
      <c r="B110" s="6" t="s">
        <v>155</v>
      </c>
      <c r="C110" s="6">
        <f>COUNTIF('Vietņu ieraksti'!E5:E493,A110)</f>
        <v>1</v>
      </c>
      <c r="D110" s="10">
        <f>SUMIF('Vietņu ieraksti'!E5:E493,A110,'Vietņu ieraksti'!H5:H493)</f>
        <v>0</v>
      </c>
      <c r="E110" s="14">
        <f>_xlfn.MINIFS('Vietņu ieraksti'!B5:B493,'Vietņu ieraksti'!E5:E493,A110)</f>
        <v>46125</v>
      </c>
      <c r="F110" s="14">
        <f>_xlfn.MAXIFS('Vietņu ieraksti'!B5:B493,'Vietņu ieraksti'!E5:E493,A110)</f>
        <v>46125</v>
      </c>
      <c r="G110" s="6">
        <f>COUNTIF(Pārskatīšana!C5:C213,A110)</f>
        <v>1</v>
      </c>
      <c r="H110" s="6">
        <f>SUMPRODUCT(--('Vietņu ieraksti'!E5:E493=A110),--(LEN('Vietņu ieraksti'!R5:R493)&gt;0))</f>
        <v>0</v>
      </c>
      <c r="I110" s="6" t="s">
        <v>3</v>
      </c>
      <c r="J110" s="6" t="s">
        <v>37</v>
      </c>
    </row>
    <row r="111" spans="1:10" x14ac:dyDescent="0.25">
      <c r="A111" s="6" t="s">
        <v>156</v>
      </c>
      <c r="B111" s="6" t="s">
        <v>156</v>
      </c>
      <c r="C111" s="6">
        <f>COUNTIF('Vietņu ieraksti'!E5:E493,A111)</f>
        <v>1</v>
      </c>
      <c r="D111" s="10">
        <f>SUMIF('Vietņu ieraksti'!E5:E493,A111,'Vietņu ieraksti'!H5:H493)</f>
        <v>150</v>
      </c>
      <c r="E111" s="14">
        <f>_xlfn.MINIFS('Vietņu ieraksti'!B5:B493,'Vietņu ieraksti'!E5:E493,A111)</f>
        <v>46107</v>
      </c>
      <c r="F111" s="14">
        <f>_xlfn.MAXIFS('Vietņu ieraksti'!B5:B493,'Vietņu ieraksti'!E5:E493,A111)</f>
        <v>46107</v>
      </c>
      <c r="G111" s="6">
        <f>COUNTIF(Pārskatīšana!C5:C213,A111)</f>
        <v>0</v>
      </c>
      <c r="H111" s="6">
        <f>SUMPRODUCT(--('Vietņu ieraksti'!E5:E493=A111),--(LEN('Vietņu ieraksti'!R5:R493)&gt;0))</f>
        <v>1</v>
      </c>
      <c r="I111" s="6" t="s">
        <v>3</v>
      </c>
      <c r="J111" s="6" t="s">
        <v>37</v>
      </c>
    </row>
    <row r="112" spans="1:10" x14ac:dyDescent="0.25">
      <c r="A112" s="6" t="s">
        <v>157</v>
      </c>
      <c r="B112" s="6" t="s">
        <v>157</v>
      </c>
      <c r="C112" s="6">
        <f>COUNTIF('Vietņu ieraksti'!E5:E493,A112)</f>
        <v>1</v>
      </c>
      <c r="D112" s="10">
        <f>SUMIF('Vietņu ieraksti'!E5:E493,A112,'Vietņu ieraksti'!H5:H493)</f>
        <v>200</v>
      </c>
      <c r="E112" s="14">
        <f>_xlfn.MINIFS('Vietņu ieraksti'!B5:B493,'Vietņu ieraksti'!E5:E493,A112)</f>
        <v>46123</v>
      </c>
      <c r="F112" s="14">
        <f>_xlfn.MAXIFS('Vietņu ieraksti'!B5:B493,'Vietņu ieraksti'!E5:E493,A112)</f>
        <v>46123</v>
      </c>
      <c r="G112" s="6">
        <f>COUNTIF(Pārskatīšana!C5:C213,A112)</f>
        <v>0</v>
      </c>
      <c r="H112" s="6">
        <f>SUMPRODUCT(--('Vietņu ieraksti'!E5:E493=A112),--(LEN('Vietņu ieraksti'!R5:R493)&gt;0))</f>
        <v>0</v>
      </c>
      <c r="I112" s="6" t="s">
        <v>3</v>
      </c>
      <c r="J112" s="6" t="s">
        <v>37</v>
      </c>
    </row>
    <row r="113" spans="1:10" x14ac:dyDescent="0.25">
      <c r="A113" s="6" t="s">
        <v>158</v>
      </c>
      <c r="B113" s="6" t="s">
        <v>158</v>
      </c>
      <c r="C113" s="6">
        <f>COUNTIF('Vietņu ieraksti'!E5:E493,A113)</f>
        <v>1</v>
      </c>
      <c r="D113" s="10">
        <f>SUMIF('Vietņu ieraksti'!E5:E493,A113,'Vietņu ieraksti'!H5:H493)</f>
        <v>0</v>
      </c>
      <c r="E113" s="14">
        <f>_xlfn.MINIFS('Vietņu ieraksti'!B5:B493,'Vietņu ieraksti'!E5:E493,A113)</f>
        <v>46087</v>
      </c>
      <c r="F113" s="14">
        <f>_xlfn.MAXIFS('Vietņu ieraksti'!B5:B493,'Vietņu ieraksti'!E5:E493,A113)</f>
        <v>46087</v>
      </c>
      <c r="G113" s="6">
        <f>COUNTIF(Pārskatīšana!C5:C213,A113)</f>
        <v>1</v>
      </c>
      <c r="H113" s="6">
        <f>SUMPRODUCT(--('Vietņu ieraksti'!E5:E493=A113),--(LEN('Vietņu ieraksti'!R5:R493)&gt;0))</f>
        <v>0</v>
      </c>
      <c r="I113" s="6" t="s">
        <v>3</v>
      </c>
      <c r="J113" s="6" t="s">
        <v>37</v>
      </c>
    </row>
    <row r="114" spans="1:10" x14ac:dyDescent="0.25">
      <c r="A114" s="6" t="s">
        <v>159</v>
      </c>
      <c r="B114" s="6" t="s">
        <v>159</v>
      </c>
      <c r="C114" s="6">
        <f>COUNTIF('Vietņu ieraksti'!E5:E493,A114)</f>
        <v>1</v>
      </c>
      <c r="D114" s="10">
        <f>SUMIF('Vietņu ieraksti'!E5:E493,A114,'Vietņu ieraksti'!H5:H493)</f>
        <v>175</v>
      </c>
      <c r="E114" s="14">
        <f>_xlfn.MINIFS('Vietņu ieraksti'!B5:B493,'Vietņu ieraksti'!E5:E493,A114)</f>
        <v>46063</v>
      </c>
      <c r="F114" s="14">
        <f>_xlfn.MAXIFS('Vietņu ieraksti'!B5:B493,'Vietņu ieraksti'!E5:E493,A114)</f>
        <v>46063</v>
      </c>
      <c r="G114" s="6">
        <f>COUNTIF(Pārskatīšana!C5:C213,A114)</f>
        <v>1</v>
      </c>
      <c r="H114" s="6">
        <f>SUMPRODUCT(--('Vietņu ieraksti'!E5:E493=A114),--(LEN('Vietņu ieraksti'!R5:R493)&gt;0))</f>
        <v>0</v>
      </c>
      <c r="I114" s="6" t="s">
        <v>3</v>
      </c>
      <c r="J114" s="6" t="s">
        <v>37</v>
      </c>
    </row>
    <row r="115" spans="1:10" x14ac:dyDescent="0.25">
      <c r="A115" s="6" t="s">
        <v>160</v>
      </c>
      <c r="B115" s="6" t="s">
        <v>160</v>
      </c>
      <c r="C115" s="6">
        <f>COUNTIF('Vietņu ieraksti'!E5:E493,A115)</f>
        <v>1</v>
      </c>
      <c r="D115" s="10">
        <f>SUMIF('Vietņu ieraksti'!E5:E493,A115,'Vietņu ieraksti'!H5:H493)</f>
        <v>80</v>
      </c>
      <c r="E115" s="14">
        <f>_xlfn.MINIFS('Vietņu ieraksti'!B5:B493,'Vietņu ieraksti'!E5:E493,A115)</f>
        <v>46256</v>
      </c>
      <c r="F115" s="14">
        <f>_xlfn.MAXIFS('Vietņu ieraksti'!B5:B493,'Vietņu ieraksti'!E5:E493,A115)</f>
        <v>46256</v>
      </c>
      <c r="G115" s="6">
        <f>COUNTIF(Pārskatīšana!C5:C213,A115)</f>
        <v>0</v>
      </c>
      <c r="H115" s="6">
        <f>SUMPRODUCT(--('Vietņu ieraksti'!E5:E493=A115),--(LEN('Vietņu ieraksti'!R5:R493)&gt;0))</f>
        <v>0</v>
      </c>
      <c r="I115" s="6" t="s">
        <v>3</v>
      </c>
      <c r="J115" s="6" t="s">
        <v>37</v>
      </c>
    </row>
    <row r="116" spans="1:10" x14ac:dyDescent="0.25">
      <c r="A116" s="6" t="s">
        <v>161</v>
      </c>
      <c r="B116" s="6" t="s">
        <v>161</v>
      </c>
      <c r="C116" s="6">
        <f>COUNTIF('Vietņu ieraksti'!E5:E493,A116)</f>
        <v>1</v>
      </c>
      <c r="D116" s="10">
        <f>SUMIF('Vietņu ieraksti'!E5:E493,A116,'Vietņu ieraksti'!H5:H493)</f>
        <v>480</v>
      </c>
      <c r="E116" s="14">
        <f>_xlfn.MINIFS('Vietņu ieraksti'!B5:B493,'Vietņu ieraksti'!E5:E493,A116)</f>
        <v>46191</v>
      </c>
      <c r="F116" s="14">
        <f>_xlfn.MAXIFS('Vietņu ieraksti'!B5:B493,'Vietņu ieraksti'!E5:E493,A116)</f>
        <v>46191</v>
      </c>
      <c r="G116" s="6">
        <f>COUNTIF(Pārskatīšana!C5:C213,A116)</f>
        <v>0</v>
      </c>
      <c r="H116" s="6">
        <f>SUMPRODUCT(--('Vietņu ieraksti'!E5:E493=A116),--(LEN('Vietņu ieraksti'!R5:R493)&gt;0))</f>
        <v>0</v>
      </c>
      <c r="I116" s="6" t="s">
        <v>3</v>
      </c>
      <c r="J116" s="6" t="s">
        <v>37</v>
      </c>
    </row>
    <row r="117" spans="1:10" x14ac:dyDescent="0.25">
      <c r="A117" s="6" t="s">
        <v>162</v>
      </c>
      <c r="B117" s="6" t="s">
        <v>162</v>
      </c>
      <c r="C117" s="6">
        <f>COUNTIF('Vietņu ieraksti'!E5:E493,A117)</f>
        <v>1</v>
      </c>
      <c r="D117" s="10">
        <f>SUMIF('Vietņu ieraksti'!E5:E493,A117,'Vietņu ieraksti'!H5:H493)</f>
        <v>250</v>
      </c>
      <c r="E117" s="14">
        <f>_xlfn.MINIFS('Vietņu ieraksti'!B5:B493,'Vietņu ieraksti'!E5:E493,A117)</f>
        <v>46132</v>
      </c>
      <c r="F117" s="14">
        <f>_xlfn.MAXIFS('Vietņu ieraksti'!B5:B493,'Vietņu ieraksti'!E5:E493,A117)</f>
        <v>46132</v>
      </c>
      <c r="G117" s="6">
        <f>COUNTIF(Pārskatīšana!C5:C213,A117)</f>
        <v>0</v>
      </c>
      <c r="H117" s="6">
        <f>SUMPRODUCT(--('Vietņu ieraksti'!E5:E493=A117),--(LEN('Vietņu ieraksti'!R5:R493)&gt;0))</f>
        <v>1</v>
      </c>
      <c r="I117" s="6" t="s">
        <v>3</v>
      </c>
      <c r="J117" s="6" t="s">
        <v>37</v>
      </c>
    </row>
    <row r="118" spans="1:10" x14ac:dyDescent="0.25">
      <c r="A118" s="6" t="s">
        <v>163</v>
      </c>
      <c r="B118" s="6" t="s">
        <v>163</v>
      </c>
      <c r="C118" s="6">
        <f>COUNTIF('Vietņu ieraksti'!E5:E493,A118)</f>
        <v>1</v>
      </c>
      <c r="D118" s="10">
        <f>SUMIF('Vietņu ieraksti'!E5:E493,A118,'Vietņu ieraksti'!H5:H493)</f>
        <v>170</v>
      </c>
      <c r="E118" s="14">
        <f>_xlfn.MINIFS('Vietņu ieraksti'!B5:B493,'Vietņu ieraksti'!E5:E493,A118)</f>
        <v>46092</v>
      </c>
      <c r="F118" s="14">
        <f>_xlfn.MAXIFS('Vietņu ieraksti'!B5:B493,'Vietņu ieraksti'!E5:E493,A118)</f>
        <v>46092</v>
      </c>
      <c r="G118" s="6">
        <f>COUNTIF(Pārskatīšana!C5:C213,A118)</f>
        <v>0</v>
      </c>
      <c r="H118" s="6">
        <f>SUMPRODUCT(--('Vietņu ieraksti'!E5:E493=A118),--(LEN('Vietņu ieraksti'!R5:R493)&gt;0))</f>
        <v>0</v>
      </c>
      <c r="I118" s="6" t="s">
        <v>3</v>
      </c>
      <c r="J118" s="6" t="s">
        <v>37</v>
      </c>
    </row>
    <row r="119" spans="1:10" x14ac:dyDescent="0.25">
      <c r="A119" s="6" t="s">
        <v>164</v>
      </c>
      <c r="B119" s="6" t="s">
        <v>164</v>
      </c>
      <c r="C119" s="6">
        <f>COUNTIF('Vietņu ieraksti'!E5:E493,A119)</f>
        <v>1</v>
      </c>
      <c r="D119" s="10">
        <f>SUMIF('Vietņu ieraksti'!E5:E493,A119,'Vietņu ieraksti'!H5:H493)</f>
        <v>0</v>
      </c>
      <c r="E119" s="14">
        <f>_xlfn.MINIFS('Vietņu ieraksti'!B5:B493,'Vietņu ieraksti'!E5:E493,A119)</f>
        <v>46195</v>
      </c>
      <c r="F119" s="14">
        <f>_xlfn.MAXIFS('Vietņu ieraksti'!B5:B493,'Vietņu ieraksti'!E5:E493,A119)</f>
        <v>46195</v>
      </c>
      <c r="G119" s="6">
        <f>COUNTIF(Pārskatīšana!C5:C213,A119)</f>
        <v>1</v>
      </c>
      <c r="H119" s="6">
        <f>SUMPRODUCT(--('Vietņu ieraksti'!E5:E493=A119),--(LEN('Vietņu ieraksti'!R5:R493)&gt;0))</f>
        <v>0</v>
      </c>
      <c r="I119" s="6" t="s">
        <v>3</v>
      </c>
      <c r="J119" s="6" t="s">
        <v>37</v>
      </c>
    </row>
    <row r="120" spans="1:10" x14ac:dyDescent="0.25">
      <c r="A120" s="6" t="s">
        <v>165</v>
      </c>
      <c r="B120" s="6" t="s">
        <v>165</v>
      </c>
      <c r="C120" s="6">
        <f>COUNTIF('Vietņu ieraksti'!E5:E493,A120)</f>
        <v>1</v>
      </c>
      <c r="D120" s="10">
        <f>SUMIF('Vietņu ieraksti'!E5:E493,A120,'Vietņu ieraksti'!H5:H493)</f>
        <v>280</v>
      </c>
      <c r="E120" s="14">
        <f>_xlfn.MINIFS('Vietņu ieraksti'!B5:B493,'Vietņu ieraksti'!E5:E493,A120)</f>
        <v>46205</v>
      </c>
      <c r="F120" s="14">
        <f>_xlfn.MAXIFS('Vietņu ieraksti'!B5:B493,'Vietņu ieraksti'!E5:E493,A120)</f>
        <v>46205</v>
      </c>
      <c r="G120" s="6">
        <f>COUNTIF(Pārskatīšana!C5:C213,A120)</f>
        <v>0</v>
      </c>
      <c r="H120" s="6">
        <f>SUMPRODUCT(--('Vietņu ieraksti'!E5:E493=A120),--(LEN('Vietņu ieraksti'!R5:R493)&gt;0))</f>
        <v>1</v>
      </c>
      <c r="I120" s="6" t="s">
        <v>3</v>
      </c>
      <c r="J120" s="6" t="s">
        <v>37</v>
      </c>
    </row>
    <row r="121" spans="1:10" x14ac:dyDescent="0.25">
      <c r="A121" s="6" t="s">
        <v>166</v>
      </c>
      <c r="B121" s="6" t="s">
        <v>166</v>
      </c>
      <c r="C121" s="6">
        <f>COUNTIF('Vietņu ieraksti'!E5:E493,A121)</f>
        <v>1</v>
      </c>
      <c r="D121" s="10">
        <f>SUMIF('Vietņu ieraksti'!E5:E493,A121,'Vietņu ieraksti'!H5:H493)</f>
        <v>84</v>
      </c>
      <c r="E121" s="14">
        <f>_xlfn.MINIFS('Vietņu ieraksti'!B5:B493,'Vietņu ieraksti'!E5:E493,A121)</f>
        <v>46083</v>
      </c>
      <c r="F121" s="14">
        <f>_xlfn.MAXIFS('Vietņu ieraksti'!B5:B493,'Vietņu ieraksti'!E5:E493,A121)</f>
        <v>46083</v>
      </c>
      <c r="G121" s="6">
        <f>COUNTIF(Pārskatīšana!C5:C213,A121)</f>
        <v>0</v>
      </c>
      <c r="H121" s="6">
        <f>SUMPRODUCT(--('Vietņu ieraksti'!E5:E493=A121),--(LEN('Vietņu ieraksti'!R5:R493)&gt;0))</f>
        <v>1</v>
      </c>
      <c r="I121" s="6" t="s">
        <v>3</v>
      </c>
      <c r="J121" s="6" t="s">
        <v>37</v>
      </c>
    </row>
    <row r="122" spans="1:10" x14ac:dyDescent="0.25">
      <c r="A122" s="6" t="s">
        <v>167</v>
      </c>
      <c r="B122" s="6" t="s">
        <v>167</v>
      </c>
      <c r="C122" s="6">
        <f>COUNTIF('Vietņu ieraksti'!E5:E493,A122)</f>
        <v>1</v>
      </c>
      <c r="D122" s="10">
        <f>SUMIF('Vietņu ieraksti'!E5:E493,A122,'Vietņu ieraksti'!H5:H493)</f>
        <v>100</v>
      </c>
      <c r="E122" s="14">
        <f>_xlfn.MINIFS('Vietņu ieraksti'!B5:B493,'Vietņu ieraksti'!E5:E493,A122)</f>
        <v>46155</v>
      </c>
      <c r="F122" s="14">
        <f>_xlfn.MAXIFS('Vietņu ieraksti'!B5:B493,'Vietņu ieraksti'!E5:E493,A122)</f>
        <v>46155</v>
      </c>
      <c r="G122" s="6">
        <f>COUNTIF(Pārskatīšana!C5:C213,A122)</f>
        <v>0</v>
      </c>
      <c r="H122" s="6">
        <f>SUMPRODUCT(--('Vietņu ieraksti'!E5:E493=A122),--(LEN('Vietņu ieraksti'!R5:R493)&gt;0))</f>
        <v>0</v>
      </c>
      <c r="I122" s="6" t="s">
        <v>3</v>
      </c>
      <c r="J122" s="6" t="s">
        <v>37</v>
      </c>
    </row>
    <row r="123" spans="1:10" x14ac:dyDescent="0.25">
      <c r="A123" s="6" t="s">
        <v>168</v>
      </c>
      <c r="B123" s="6" t="s">
        <v>168</v>
      </c>
      <c r="C123" s="6">
        <f>COUNTIF('Vietņu ieraksti'!E5:E493,A123)</f>
        <v>1</v>
      </c>
      <c r="D123" s="10">
        <f>SUMIF('Vietņu ieraksti'!E5:E493,A123,'Vietņu ieraksti'!H5:H493)</f>
        <v>0</v>
      </c>
      <c r="E123" s="14">
        <f>_xlfn.MINIFS('Vietņu ieraksti'!B5:B493,'Vietņu ieraksti'!E5:E493,A123)</f>
        <v>46206</v>
      </c>
      <c r="F123" s="14">
        <f>_xlfn.MAXIFS('Vietņu ieraksti'!B5:B493,'Vietņu ieraksti'!E5:E493,A123)</f>
        <v>46206</v>
      </c>
      <c r="G123" s="6">
        <f>COUNTIF(Pārskatīšana!C5:C213,A123)</f>
        <v>1</v>
      </c>
      <c r="H123" s="6">
        <f>SUMPRODUCT(--('Vietņu ieraksti'!E5:E493=A123),--(LEN('Vietņu ieraksti'!R5:R493)&gt;0))</f>
        <v>0</v>
      </c>
      <c r="I123" s="6" t="s">
        <v>3</v>
      </c>
      <c r="J123" s="6" t="s">
        <v>37</v>
      </c>
    </row>
    <row r="124" spans="1:10" x14ac:dyDescent="0.25">
      <c r="A124" s="6" t="s">
        <v>169</v>
      </c>
      <c r="B124" s="6" t="s">
        <v>169</v>
      </c>
      <c r="C124" s="6">
        <f>COUNTIF('Vietņu ieraksti'!E5:E493,A124)</f>
        <v>1</v>
      </c>
      <c r="D124" s="10">
        <f>SUMIF('Vietņu ieraksti'!E5:E493,A124,'Vietņu ieraksti'!H5:H493)</f>
        <v>40</v>
      </c>
      <c r="E124" s="14">
        <f>_xlfn.MINIFS('Vietņu ieraksti'!B5:B493,'Vietņu ieraksti'!E5:E493,A124)</f>
        <v>46211</v>
      </c>
      <c r="F124" s="14">
        <f>_xlfn.MAXIFS('Vietņu ieraksti'!B5:B493,'Vietņu ieraksti'!E5:E493,A124)</f>
        <v>46211</v>
      </c>
      <c r="G124" s="6">
        <f>COUNTIF(Pārskatīšana!C5:C213,A124)</f>
        <v>1</v>
      </c>
      <c r="H124" s="6">
        <f>SUMPRODUCT(--('Vietņu ieraksti'!E5:E493=A124),--(LEN('Vietņu ieraksti'!R5:R493)&gt;0))</f>
        <v>0</v>
      </c>
      <c r="I124" s="6" t="s">
        <v>3</v>
      </c>
      <c r="J124" s="6" t="s">
        <v>37</v>
      </c>
    </row>
    <row r="125" spans="1:10" x14ac:dyDescent="0.25">
      <c r="A125" s="6" t="s">
        <v>170</v>
      </c>
      <c r="B125" s="6" t="s">
        <v>170</v>
      </c>
      <c r="C125" s="6">
        <f>COUNTIF('Vietņu ieraksti'!E5:E493,A125)</f>
        <v>1</v>
      </c>
      <c r="D125" s="10">
        <f>SUMIF('Vietņu ieraksti'!E5:E493,A125,'Vietņu ieraksti'!H5:H493)</f>
        <v>54</v>
      </c>
      <c r="E125" s="14">
        <f>_xlfn.MINIFS('Vietņu ieraksti'!B5:B493,'Vietņu ieraksti'!E5:E493,A125)</f>
        <v>46189</v>
      </c>
      <c r="F125" s="14">
        <f>_xlfn.MAXIFS('Vietņu ieraksti'!B5:B493,'Vietņu ieraksti'!E5:E493,A125)</f>
        <v>46189</v>
      </c>
      <c r="G125" s="6">
        <f>COUNTIF(Pārskatīšana!C5:C213,A125)</f>
        <v>0</v>
      </c>
      <c r="H125" s="6">
        <f>SUMPRODUCT(--('Vietņu ieraksti'!E5:E493=A125),--(LEN('Vietņu ieraksti'!R5:R493)&gt;0))</f>
        <v>0</v>
      </c>
      <c r="I125" s="6" t="s">
        <v>3</v>
      </c>
      <c r="J125" s="6" t="s">
        <v>37</v>
      </c>
    </row>
    <row r="126" spans="1:10" x14ac:dyDescent="0.25">
      <c r="A126" s="6" t="s">
        <v>171</v>
      </c>
      <c r="B126" s="6" t="s">
        <v>171</v>
      </c>
      <c r="C126" s="6">
        <f>COUNTIF('Vietņu ieraksti'!E5:E493,A126)</f>
        <v>1</v>
      </c>
      <c r="D126" s="10">
        <f>SUMIF('Vietņu ieraksti'!E5:E493,A126,'Vietņu ieraksti'!H5:H493)</f>
        <v>905</v>
      </c>
      <c r="E126" s="14">
        <f>_xlfn.MINIFS('Vietņu ieraksti'!B5:B493,'Vietņu ieraksti'!E5:E493,A126)</f>
        <v>46243</v>
      </c>
      <c r="F126" s="14">
        <f>_xlfn.MAXIFS('Vietņu ieraksti'!B5:B493,'Vietņu ieraksti'!E5:E493,A126)</f>
        <v>46243</v>
      </c>
      <c r="G126" s="6">
        <f>COUNTIF(Pārskatīšana!C5:C213,A126)</f>
        <v>0</v>
      </c>
      <c r="H126" s="6">
        <f>SUMPRODUCT(--('Vietņu ieraksti'!E5:E493=A126),--(LEN('Vietņu ieraksti'!R5:R493)&gt;0))</f>
        <v>1</v>
      </c>
      <c r="I126" s="6" t="s">
        <v>3</v>
      </c>
      <c r="J126" s="6" t="s">
        <v>37</v>
      </c>
    </row>
    <row r="127" spans="1:10" x14ac:dyDescent="0.25">
      <c r="A127" s="6" t="s">
        <v>172</v>
      </c>
      <c r="B127" s="6" t="s">
        <v>172</v>
      </c>
      <c r="C127" s="6">
        <f>COUNTIF('Vietņu ieraksti'!E5:E493,A127)</f>
        <v>1</v>
      </c>
      <c r="D127" s="10">
        <f>SUMIF('Vietņu ieraksti'!E5:E493,A127,'Vietņu ieraksti'!H5:H493)</f>
        <v>320</v>
      </c>
      <c r="E127" s="14">
        <f>_xlfn.MINIFS('Vietņu ieraksti'!B5:B493,'Vietņu ieraksti'!E5:E493,A127)</f>
        <v>46091</v>
      </c>
      <c r="F127" s="14">
        <f>_xlfn.MAXIFS('Vietņu ieraksti'!B5:B493,'Vietņu ieraksti'!E5:E493,A127)</f>
        <v>46091</v>
      </c>
      <c r="G127" s="6">
        <f>COUNTIF(Pārskatīšana!C5:C213,A127)</f>
        <v>1</v>
      </c>
      <c r="H127" s="6">
        <f>SUMPRODUCT(--('Vietņu ieraksti'!E5:E493=A127),--(LEN('Vietņu ieraksti'!R5:R493)&gt;0))</f>
        <v>1</v>
      </c>
      <c r="I127" s="6" t="s">
        <v>3</v>
      </c>
      <c r="J127" s="6" t="s">
        <v>37</v>
      </c>
    </row>
    <row r="128" spans="1:10" x14ac:dyDescent="0.25">
      <c r="A128" s="6" t="s">
        <v>173</v>
      </c>
      <c r="B128" s="6" t="s">
        <v>173</v>
      </c>
      <c r="C128" s="6">
        <f>COUNTIF('Vietņu ieraksti'!E5:E493,A128)</f>
        <v>1</v>
      </c>
      <c r="D128" s="10">
        <f>SUMIF('Vietņu ieraksti'!E5:E493,A128,'Vietņu ieraksti'!H5:H493)</f>
        <v>72</v>
      </c>
      <c r="E128" s="14">
        <f>_xlfn.MINIFS('Vietņu ieraksti'!B5:B493,'Vietņu ieraksti'!E5:E493,A128)</f>
        <v>46261</v>
      </c>
      <c r="F128" s="14">
        <f>_xlfn.MAXIFS('Vietņu ieraksti'!B5:B493,'Vietņu ieraksti'!E5:E493,A128)</f>
        <v>46261</v>
      </c>
      <c r="G128" s="6">
        <f>COUNTIF(Pārskatīšana!C5:C213,A128)</f>
        <v>0</v>
      </c>
      <c r="H128" s="6">
        <f>SUMPRODUCT(--('Vietņu ieraksti'!E5:E493=A128),--(LEN('Vietņu ieraksti'!R5:R493)&gt;0))</f>
        <v>0</v>
      </c>
      <c r="I128" s="6" t="s">
        <v>3</v>
      </c>
      <c r="J128" s="6" t="s">
        <v>37</v>
      </c>
    </row>
    <row r="129" spans="1:10" x14ac:dyDescent="0.25">
      <c r="A129" s="6" t="s">
        <v>174</v>
      </c>
      <c r="B129" s="6" t="s">
        <v>174</v>
      </c>
      <c r="C129" s="6">
        <f>COUNTIF('Vietņu ieraksti'!E5:E493,A129)</f>
        <v>1</v>
      </c>
      <c r="D129" s="10">
        <f>SUMIF('Vietņu ieraksti'!E5:E493,A129,'Vietņu ieraksti'!H5:H493)</f>
        <v>300</v>
      </c>
      <c r="E129" s="14">
        <f>_xlfn.MINIFS('Vietņu ieraksti'!B5:B493,'Vietņu ieraksti'!E5:E493,A129)</f>
        <v>46241</v>
      </c>
      <c r="F129" s="14">
        <f>_xlfn.MAXIFS('Vietņu ieraksti'!B5:B493,'Vietņu ieraksti'!E5:E493,A129)</f>
        <v>46241</v>
      </c>
      <c r="G129" s="6">
        <f>COUNTIF(Pārskatīšana!C5:C213,A129)</f>
        <v>0</v>
      </c>
      <c r="H129" s="6">
        <f>SUMPRODUCT(--('Vietņu ieraksti'!E5:E493=A129),--(LEN('Vietņu ieraksti'!R5:R493)&gt;0))</f>
        <v>0</v>
      </c>
      <c r="I129" s="6" t="s">
        <v>3</v>
      </c>
      <c r="J129" s="6" t="s">
        <v>37</v>
      </c>
    </row>
    <row r="130" spans="1:10" x14ac:dyDescent="0.25">
      <c r="A130" s="12" t="s">
        <v>175</v>
      </c>
      <c r="B130" s="12" t="s">
        <v>176</v>
      </c>
      <c r="C130" s="12">
        <f>COUNTIF('Vietņu ieraksti'!E5:E493,A130)</f>
        <v>1</v>
      </c>
      <c r="D130" s="15">
        <f>SUMIF('Vietņu ieraksti'!E5:E493,A130,'Vietņu ieraksti'!H5:H493)</f>
        <v>113</v>
      </c>
      <c r="E130" s="16">
        <f>_xlfn.MINIFS('Vietņu ieraksti'!B5:B493,'Vietņu ieraksti'!E5:E493,A130)</f>
        <v>46028</v>
      </c>
      <c r="F130" s="16">
        <f>_xlfn.MAXIFS('Vietņu ieraksti'!B5:B493,'Vietņu ieraksti'!E5:E493,A130)</f>
        <v>46028</v>
      </c>
      <c r="G130" s="12">
        <f>COUNTIF(Pārskatīšana!C5:C213,A130)</f>
        <v>0</v>
      </c>
      <c r="H130" s="12">
        <f>SUMPRODUCT(--('Vietņu ieraksti'!E5:E493=A130),--(LEN('Vietņu ieraksti'!R5:R493)&gt;0))</f>
        <v>0</v>
      </c>
      <c r="I130" s="12" t="s">
        <v>3</v>
      </c>
      <c r="J130" s="12" t="s">
        <v>37</v>
      </c>
    </row>
  </sheetData>
  <mergeCells count="2">
    <mergeCell ref="A1:J1"/>
    <mergeCell ref="A2:J2"/>
  </mergeCells>
  <conditionalFormatting sqref="G5:G130">
    <cfRule type="cellIs" dxfId="4" priority="1" stopIfTrue="1" operator="greaterThan">
      <formula>0</formula>
    </cfRule>
  </conditionalFormatting>
  <conditionalFormatting sqref="J5:J130">
    <cfRule type="expression" dxfId="3" priority="2" stopIfTrue="1">
      <formula>"izveidot"</formula>
    </cfRule>
  </conditionalFormatting>
  <pageMargins left="0.25" right="0.25" top="0.35" bottom="0.35" header="0.3" footer="0.3"/>
  <pageSetup scale="57" fitToHeight="0" orientation="landscape" r:id="rId1"/>
  <ignoredErrors>
    <ignoredError sqref="A1:J4 A130:B130 A5:B5 I5:J5 A6:B6 I6:J6 A7:B7 I7:J7 A8:B8 I8:J8 A9:B9 I9:J9 A10:B10 I10:J10 A11:B11 I11:J11 A12:B12 I12:J12 A13:B13 I13:J13 A14:B14 I14:J14 A15:B15 I15:J15 A16:B16 I16:J16 A17:B17 I17:J17 A18:B18 I18:J18 A19:B19 I19:J19 A20:B20 I20:J20 A21:B21 I21:J21 A22:B22 I22:J22 A23:B23 I23:J23 A24:B24 I24:J24 A25:B25 I25:J25 A26:B26 I26:J26 A27:B27 I27:J27 A28:B28 I28:J28 A29:B29 I29:J29 A30:B30 I30:J30 A31:B31 I31:J31 A32:B32 I32:J32 A33:B33 I33:J33 A34:B34 I34:J34 A35:B35 I35:J35 A36:B36 I36:J36 A37:B37 I37:J37 A38:B38 I38:J38 A39:B39 I39:J39 A40:B40 I40:J40 A41:B41 I41:J41 A42:B42 I42:J42 A43:B43 I43:J43 A44:B44 I44:J44 A45:B45 I45:J45 A46:B46 I46:J46 A47:B47 I47:J47 A48:B48 I48:J48 A49:B49 I49:J49 A50:B50 I50:J50 A51:B51 I51:J51 A52:B52 I52:J52 A53:B53 I53:J53 A54:B54 I54:J54 A55:B55 I55:J55 A56:B56 I56:J56 A57:B57 I57:J57 A58:B58 I58:J58 A59:B59 I59:J59 A60:B60 I60:J60 A61:B61 I61:J61 A62:B62 I62:J62 A63:B63 I63:J63 A64:B64 I64:J64 A65:B65 I65:J65 A66:B66 I66:J66 A67:B67 I67:J67 A68:B68 I68:J68 A69:B69 I69:J69 A70:B70 I70:J70 A71:B71 I71:J71 A72:B72 I72:J72 A73:B73 I73:J73 A74:B74 I74:J74 A75:B75 I75:J75 A76:B76 I76:J76 A77:B77 I77:J77 A78:B78 I78:J78 A79:B79 I79:J79 A80:B80 I80:J80 A81:B81 I81:J81 A82:B82 I82:J82 A83:B83 I83:J83 A84:B84 I84:J84 A85:B85 I85:J85 A86:B86 I86:J86 A87:B87 I87:J87 A88:B88 I88:J88 A89:B89 I89:J89 A90:B90 I90:J90 A91:B91 I91:J91 A92:B92 I92:J92 A93:B93 I93:J93 A94:B94 I94:J94 A95:B95 I95:J95 A96:B96 I96:J96 A97:B97 I97:J97 A98:B98 I98:J98 A99:B99 I99:J99 A100:B100 I100:J100 A101:B101 I101:J101 A102:B102 I102:J102 A103:B103 I103:J103 A104:B104 I104:J104 A105:B105 I105:J105 A106:B106 I106:J106 A107:B107 I107:J107 A108:B108 I108:J108 A109:B109 I109:J109 A110:B110 I110:J110 A111:B111 I111:J111 A112:B112 I112:J112 A113:B113 I113:J113 A114:B114 I114:J114 A115:B115 I115:J115 A116:B116 I116:J116 A117:B117 I117:J117 A118:B118 I118:J118 A119:B119 I119:J119 A120:B120 I120:J120 A121:B121 I121:J121 A122:B122 I122:J122 A123:B123 I123:J123 A124:B124 I124:J124 A125:B125 I125:J125 A126:B126 I126:J126 A127:B127 I127:J127 A128:B128 I128:J128 A129:B129 I129:J129 I130:J13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493"/>
  <sheetViews>
    <sheetView showGridLines="0" workbookViewId="0">
      <pane ySplit="4" topLeftCell="A5" activePane="bottomLeft" state="frozenSplit"/>
      <selection pane="bottomLeft" sqref="A1:X24"/>
    </sheetView>
  </sheetViews>
  <sheetFormatPr defaultRowHeight="13.5" x14ac:dyDescent="0.25"/>
  <cols>
    <col min="1" max="1" width="16.625" style="1" customWidth="1"/>
    <col min="2" max="4" width="12.625" style="1" customWidth="1"/>
    <col min="5" max="7" width="25.625" style="1" customWidth="1"/>
    <col min="8" max="15" width="12.625" style="1" customWidth="1"/>
    <col min="16" max="16" width="32.625" style="19" customWidth="1"/>
    <col min="17" max="17" width="26.625" style="1" customWidth="1"/>
    <col min="18" max="18" width="32.625" style="19" customWidth="1"/>
    <col min="19" max="19" width="55.625" style="19" customWidth="1"/>
    <col min="20" max="21" width="17.625" style="1" customWidth="1"/>
    <col min="22" max="22" width="40.625" style="19" customWidth="1"/>
    <col min="23" max="24" width="15.625" style="1" customWidth="1"/>
    <col min="25" max="16384" width="9" style="1"/>
  </cols>
  <sheetData>
    <row r="1" spans="1:24" ht="30" customHeight="1" x14ac:dyDescent="0.25">
      <c r="A1" s="4" t="s">
        <v>177</v>
      </c>
      <c r="B1" s="4"/>
      <c r="C1" s="4"/>
      <c r="D1" s="4"/>
      <c r="E1" s="4"/>
      <c r="F1" s="4"/>
      <c r="G1" s="4"/>
      <c r="H1" s="4"/>
      <c r="I1" s="4"/>
      <c r="J1" s="4"/>
      <c r="K1" s="4"/>
      <c r="L1" s="4"/>
      <c r="M1" s="4"/>
      <c r="N1" s="4"/>
      <c r="O1" s="4"/>
      <c r="P1" s="4"/>
      <c r="Q1" s="4"/>
      <c r="R1" s="4"/>
      <c r="S1" s="4"/>
      <c r="T1" s="4"/>
      <c r="U1" s="4"/>
      <c r="V1" s="4"/>
      <c r="W1" s="4"/>
      <c r="X1" s="4"/>
    </row>
    <row r="2" spans="1:24" ht="24" customHeight="1" x14ac:dyDescent="0.25">
      <c r="A2" s="5" t="s">
        <v>178</v>
      </c>
      <c r="B2" s="5"/>
      <c r="C2" s="5"/>
      <c r="D2" s="5"/>
      <c r="E2" s="5"/>
      <c r="F2" s="5"/>
      <c r="G2" s="5"/>
      <c r="H2" s="5"/>
      <c r="I2" s="5"/>
      <c r="J2" s="5"/>
      <c r="K2" s="5"/>
      <c r="L2" s="5"/>
      <c r="M2" s="5"/>
      <c r="N2" s="5"/>
      <c r="O2" s="5"/>
      <c r="P2" s="5"/>
      <c r="Q2" s="5"/>
      <c r="R2" s="5"/>
      <c r="S2" s="5"/>
      <c r="T2" s="5"/>
      <c r="U2" s="5"/>
      <c r="V2" s="5"/>
      <c r="W2" s="5"/>
      <c r="X2" s="5"/>
    </row>
    <row r="3" spans="1:24" x14ac:dyDescent="0.25">
      <c r="A3" s="6"/>
      <c r="B3" s="6"/>
      <c r="C3" s="6"/>
      <c r="D3" s="6"/>
      <c r="E3" s="6"/>
      <c r="F3" s="6"/>
      <c r="G3" s="6"/>
      <c r="H3" s="6"/>
      <c r="I3" s="6"/>
      <c r="J3" s="6"/>
      <c r="K3" s="6"/>
      <c r="L3" s="6"/>
      <c r="M3" s="6"/>
      <c r="N3" s="6"/>
      <c r="O3" s="6"/>
      <c r="P3" s="17"/>
      <c r="Q3" s="6"/>
      <c r="R3" s="17"/>
      <c r="S3" s="17"/>
      <c r="T3" s="6"/>
      <c r="U3" s="6"/>
      <c r="V3" s="17"/>
      <c r="W3" s="6"/>
      <c r="X3" s="6"/>
    </row>
    <row r="4" spans="1:24" ht="32.1" customHeight="1" x14ac:dyDescent="0.25">
      <c r="A4" s="13" t="s">
        <v>179</v>
      </c>
      <c r="B4" s="13" t="s">
        <v>180</v>
      </c>
      <c r="C4" s="13" t="s">
        <v>181</v>
      </c>
      <c r="D4" s="13" t="s">
        <v>182</v>
      </c>
      <c r="E4" s="13" t="s">
        <v>183</v>
      </c>
      <c r="F4" s="13" t="s">
        <v>184</v>
      </c>
      <c r="G4" s="13" t="s">
        <v>185</v>
      </c>
      <c r="H4" s="13" t="s">
        <v>186</v>
      </c>
      <c r="I4" s="13" t="s">
        <v>187</v>
      </c>
      <c r="J4" s="13" t="s">
        <v>188</v>
      </c>
      <c r="K4" s="13" t="s">
        <v>189</v>
      </c>
      <c r="L4" s="13" t="s">
        <v>190</v>
      </c>
      <c r="M4" s="13" t="s">
        <v>191</v>
      </c>
      <c r="N4" s="13" t="s">
        <v>192</v>
      </c>
      <c r="O4" s="13" t="s">
        <v>193</v>
      </c>
      <c r="P4" s="13" t="s">
        <v>194</v>
      </c>
      <c r="Q4" s="13" t="s">
        <v>195</v>
      </c>
      <c r="R4" s="13" t="s">
        <v>196</v>
      </c>
      <c r="S4" s="13" t="s">
        <v>197</v>
      </c>
      <c r="T4" s="13" t="s">
        <v>23</v>
      </c>
      <c r="U4" s="13" t="s">
        <v>198</v>
      </c>
      <c r="V4" s="13" t="s">
        <v>199</v>
      </c>
      <c r="W4" s="13" t="s">
        <v>200</v>
      </c>
      <c r="X4" s="13" t="s">
        <v>201</v>
      </c>
    </row>
    <row r="5" spans="1:24" ht="54" x14ac:dyDescent="0.25">
      <c r="A5" s="6" t="s">
        <v>202</v>
      </c>
      <c r="B5" s="14">
        <v>46027</v>
      </c>
      <c r="C5" s="14">
        <v>46027</v>
      </c>
      <c r="D5" s="6" t="s">
        <v>203</v>
      </c>
      <c r="E5" s="6" t="s">
        <v>38</v>
      </c>
      <c r="F5" s="6" t="s">
        <v>38</v>
      </c>
      <c r="G5" s="6" t="s">
        <v>204</v>
      </c>
      <c r="H5" s="10">
        <v>235</v>
      </c>
      <c r="I5" s="6"/>
      <c r="J5" s="6"/>
      <c r="K5" s="6" t="s">
        <v>3</v>
      </c>
      <c r="L5" s="6"/>
      <c r="M5" s="10">
        <v>49</v>
      </c>
      <c r="N5" s="6"/>
      <c r="O5" s="6"/>
      <c r="P5" s="17" t="s">
        <v>3</v>
      </c>
      <c r="Q5" s="6" t="s">
        <v>205</v>
      </c>
      <c r="R5" s="17" t="s">
        <v>3</v>
      </c>
      <c r="S5" s="17" t="s">
        <v>206</v>
      </c>
      <c r="T5" s="6" t="s">
        <v>24</v>
      </c>
      <c r="U5" s="6" t="s">
        <v>207</v>
      </c>
      <c r="V5" s="17" t="s">
        <v>3</v>
      </c>
      <c r="W5" s="6">
        <v>275</v>
      </c>
      <c r="X5" s="6" t="s">
        <v>208</v>
      </c>
    </row>
    <row r="6" spans="1:24" ht="54" x14ac:dyDescent="0.25">
      <c r="A6" s="6" t="s">
        <v>209</v>
      </c>
      <c r="B6" s="14">
        <v>46027</v>
      </c>
      <c r="C6" s="14">
        <v>46027</v>
      </c>
      <c r="D6" s="6" t="s">
        <v>210</v>
      </c>
      <c r="E6" s="6" t="s">
        <v>59</v>
      </c>
      <c r="F6" s="6" t="s">
        <v>59</v>
      </c>
      <c r="G6" s="6" t="s">
        <v>204</v>
      </c>
      <c r="H6" s="10">
        <v>300</v>
      </c>
      <c r="I6" s="6"/>
      <c r="J6" s="6"/>
      <c r="K6" s="6" t="s">
        <v>3</v>
      </c>
      <c r="L6" s="6"/>
      <c r="M6" s="10">
        <v>69</v>
      </c>
      <c r="N6" s="6"/>
      <c r="O6" s="6"/>
      <c r="P6" s="17" t="s">
        <v>3</v>
      </c>
      <c r="Q6" s="6" t="s">
        <v>211</v>
      </c>
      <c r="R6" s="17" t="s">
        <v>3</v>
      </c>
      <c r="S6" s="17" t="s">
        <v>212</v>
      </c>
      <c r="T6" s="6" t="s">
        <v>24</v>
      </c>
      <c r="U6" s="6" t="s">
        <v>207</v>
      </c>
      <c r="V6" s="17" t="s">
        <v>3</v>
      </c>
      <c r="W6" s="6">
        <v>274</v>
      </c>
      <c r="X6" s="6" t="s">
        <v>208</v>
      </c>
    </row>
    <row r="7" spans="1:24" ht="54" x14ac:dyDescent="0.25">
      <c r="A7" s="6" t="s">
        <v>213</v>
      </c>
      <c r="B7" s="14">
        <v>46028</v>
      </c>
      <c r="C7" s="14">
        <v>46028</v>
      </c>
      <c r="D7" s="6" t="s">
        <v>214</v>
      </c>
      <c r="E7" s="6" t="s">
        <v>38</v>
      </c>
      <c r="F7" s="6" t="s">
        <v>38</v>
      </c>
      <c r="G7" s="6" t="s">
        <v>204</v>
      </c>
      <c r="H7" s="10">
        <v>293</v>
      </c>
      <c r="I7" s="6"/>
      <c r="J7" s="6"/>
      <c r="K7" s="6" t="s">
        <v>3</v>
      </c>
      <c r="L7" s="6"/>
      <c r="M7" s="10">
        <v>69</v>
      </c>
      <c r="N7" s="6"/>
      <c r="O7" s="6"/>
      <c r="P7" s="17" t="s">
        <v>3</v>
      </c>
      <c r="Q7" s="6" t="s">
        <v>205</v>
      </c>
      <c r="R7" s="17" t="s">
        <v>3</v>
      </c>
      <c r="S7" s="17" t="s">
        <v>215</v>
      </c>
      <c r="T7" s="6" t="s">
        <v>24</v>
      </c>
      <c r="U7" s="6" t="s">
        <v>207</v>
      </c>
      <c r="V7" s="17" t="s">
        <v>3</v>
      </c>
      <c r="W7" s="6">
        <v>278</v>
      </c>
      <c r="X7" s="6" t="s">
        <v>208</v>
      </c>
    </row>
    <row r="8" spans="1:24" ht="54" x14ac:dyDescent="0.25">
      <c r="A8" s="6" t="s">
        <v>216</v>
      </c>
      <c r="B8" s="14">
        <v>46028</v>
      </c>
      <c r="C8" s="14">
        <v>46028</v>
      </c>
      <c r="D8" s="6" t="s">
        <v>217</v>
      </c>
      <c r="E8" s="6" t="s">
        <v>75</v>
      </c>
      <c r="F8" s="6" t="s">
        <v>75</v>
      </c>
      <c r="G8" s="6" t="s">
        <v>218</v>
      </c>
      <c r="H8" s="6"/>
      <c r="I8" s="6"/>
      <c r="J8" s="6"/>
      <c r="K8" s="6" t="s">
        <v>3</v>
      </c>
      <c r="L8" s="6"/>
      <c r="M8" s="6"/>
      <c r="N8" s="6"/>
      <c r="O8" s="6"/>
      <c r="P8" s="17" t="s">
        <v>219</v>
      </c>
      <c r="Q8" s="6" t="s">
        <v>220</v>
      </c>
      <c r="R8" s="17" t="s">
        <v>3</v>
      </c>
      <c r="S8" s="17" t="s">
        <v>221</v>
      </c>
      <c r="T8" s="6" t="s">
        <v>25</v>
      </c>
      <c r="U8" s="6" t="s">
        <v>222</v>
      </c>
      <c r="V8" s="17" t="s">
        <v>223</v>
      </c>
      <c r="W8" s="6">
        <v>276</v>
      </c>
      <c r="X8" s="6" t="s">
        <v>224</v>
      </c>
    </row>
    <row r="9" spans="1:24" ht="27" x14ac:dyDescent="0.25">
      <c r="A9" s="6" t="s">
        <v>225</v>
      </c>
      <c r="B9" s="14">
        <v>46028</v>
      </c>
      <c r="C9" s="14">
        <v>46028</v>
      </c>
      <c r="D9" s="6" t="s">
        <v>226</v>
      </c>
      <c r="E9" s="6" t="s">
        <v>175</v>
      </c>
      <c r="F9" s="6" t="s">
        <v>176</v>
      </c>
      <c r="G9" s="6" t="s">
        <v>204</v>
      </c>
      <c r="H9" s="10">
        <v>113</v>
      </c>
      <c r="I9" s="6"/>
      <c r="J9" s="6"/>
      <c r="K9" s="6" t="s">
        <v>3</v>
      </c>
      <c r="L9" s="6"/>
      <c r="M9" s="10">
        <v>34</v>
      </c>
      <c r="N9" s="6"/>
      <c r="O9" s="6"/>
      <c r="P9" s="17" t="s">
        <v>227</v>
      </c>
      <c r="Q9" s="6" t="s">
        <v>228</v>
      </c>
      <c r="R9" s="17" t="s">
        <v>3</v>
      </c>
      <c r="S9" s="17" t="s">
        <v>229</v>
      </c>
      <c r="T9" s="6" t="s">
        <v>24</v>
      </c>
      <c r="U9" s="6" t="s">
        <v>207</v>
      </c>
      <c r="V9" s="17" t="s">
        <v>3</v>
      </c>
      <c r="W9" s="6">
        <v>277</v>
      </c>
      <c r="X9" s="6" t="s">
        <v>208</v>
      </c>
    </row>
    <row r="10" spans="1:24" ht="54" x14ac:dyDescent="0.25">
      <c r="A10" s="6" t="s">
        <v>230</v>
      </c>
      <c r="B10" s="14">
        <v>46029</v>
      </c>
      <c r="C10" s="14">
        <v>46030</v>
      </c>
      <c r="D10" s="6" t="s">
        <v>231</v>
      </c>
      <c r="E10" s="6" t="s">
        <v>38</v>
      </c>
      <c r="F10" s="6" t="s">
        <v>232</v>
      </c>
      <c r="G10" s="6" t="s">
        <v>204</v>
      </c>
      <c r="H10" s="10">
        <v>224</v>
      </c>
      <c r="I10" s="6"/>
      <c r="J10" s="6"/>
      <c r="K10" s="6" t="s">
        <v>3</v>
      </c>
      <c r="L10" s="6"/>
      <c r="M10" s="10">
        <v>69</v>
      </c>
      <c r="N10" s="6"/>
      <c r="O10" s="6"/>
      <c r="P10" s="17" t="s">
        <v>3</v>
      </c>
      <c r="Q10" s="6" t="s">
        <v>205</v>
      </c>
      <c r="R10" s="17" t="s">
        <v>3</v>
      </c>
      <c r="S10" s="17" t="s">
        <v>233</v>
      </c>
      <c r="T10" s="6" t="s">
        <v>24</v>
      </c>
      <c r="U10" s="6" t="s">
        <v>207</v>
      </c>
      <c r="V10" s="17" t="s">
        <v>3</v>
      </c>
      <c r="W10" s="6">
        <v>280</v>
      </c>
      <c r="X10" s="6" t="s">
        <v>208</v>
      </c>
    </row>
    <row r="11" spans="1:24" ht="54" x14ac:dyDescent="0.25">
      <c r="A11" s="6" t="s">
        <v>234</v>
      </c>
      <c r="B11" s="14">
        <v>46029</v>
      </c>
      <c r="C11" s="14">
        <v>46029</v>
      </c>
      <c r="D11" s="6" t="s">
        <v>235</v>
      </c>
      <c r="E11" s="6" t="s">
        <v>59</v>
      </c>
      <c r="F11" s="6" t="s">
        <v>59</v>
      </c>
      <c r="G11" s="6" t="s">
        <v>236</v>
      </c>
      <c r="H11" s="10">
        <v>240</v>
      </c>
      <c r="I11" s="6"/>
      <c r="J11" s="6"/>
      <c r="K11" s="6" t="s">
        <v>3</v>
      </c>
      <c r="L11" s="10">
        <v>60</v>
      </c>
      <c r="M11" s="6"/>
      <c r="N11" s="6"/>
      <c r="O11" s="6"/>
      <c r="P11" s="17" t="s">
        <v>3</v>
      </c>
      <c r="Q11" s="6" t="s">
        <v>211</v>
      </c>
      <c r="R11" s="17" t="s">
        <v>3</v>
      </c>
      <c r="S11" s="17" t="s">
        <v>237</v>
      </c>
      <c r="T11" s="6" t="s">
        <v>25</v>
      </c>
      <c r="U11" s="6" t="s">
        <v>222</v>
      </c>
      <c r="V11" s="17" t="s">
        <v>238</v>
      </c>
      <c r="W11" s="6">
        <v>279</v>
      </c>
      <c r="X11" s="6" t="s">
        <v>224</v>
      </c>
    </row>
    <row r="12" spans="1:24" ht="54" x14ac:dyDescent="0.25">
      <c r="A12" s="6" t="s">
        <v>239</v>
      </c>
      <c r="B12" s="14">
        <v>46030</v>
      </c>
      <c r="C12" s="14">
        <v>46030</v>
      </c>
      <c r="D12" s="6" t="s">
        <v>240</v>
      </c>
      <c r="E12" s="6" t="s">
        <v>55</v>
      </c>
      <c r="F12" s="6" t="s">
        <v>55</v>
      </c>
      <c r="G12" s="6" t="s">
        <v>204</v>
      </c>
      <c r="H12" s="10">
        <v>360</v>
      </c>
      <c r="I12" s="6"/>
      <c r="J12" s="6"/>
      <c r="K12" s="6" t="s">
        <v>3</v>
      </c>
      <c r="L12" s="6"/>
      <c r="M12" s="10">
        <v>73</v>
      </c>
      <c r="N12" s="6"/>
      <c r="O12" s="6"/>
      <c r="P12" s="17" t="s">
        <v>3</v>
      </c>
      <c r="Q12" s="6" t="s">
        <v>205</v>
      </c>
      <c r="R12" s="17" t="s">
        <v>3</v>
      </c>
      <c r="S12" s="17" t="s">
        <v>241</v>
      </c>
      <c r="T12" s="6" t="s">
        <v>24</v>
      </c>
      <c r="U12" s="6" t="s">
        <v>207</v>
      </c>
      <c r="V12" s="17" t="s">
        <v>3</v>
      </c>
      <c r="W12" s="6">
        <v>281</v>
      </c>
      <c r="X12" s="6" t="s">
        <v>208</v>
      </c>
    </row>
    <row r="13" spans="1:24" ht="54" x14ac:dyDescent="0.25">
      <c r="A13" s="6" t="s">
        <v>242</v>
      </c>
      <c r="B13" s="14">
        <v>46031</v>
      </c>
      <c r="C13" s="14">
        <v>46031</v>
      </c>
      <c r="D13" s="6" t="s">
        <v>243</v>
      </c>
      <c r="E13" s="6" t="s">
        <v>53</v>
      </c>
      <c r="F13" s="6" t="s">
        <v>244</v>
      </c>
      <c r="G13" s="6" t="s">
        <v>204</v>
      </c>
      <c r="H13" s="10">
        <v>400</v>
      </c>
      <c r="I13" s="6"/>
      <c r="J13" s="6"/>
      <c r="K13" s="6" t="s">
        <v>3</v>
      </c>
      <c r="L13" s="6"/>
      <c r="M13" s="10">
        <v>134</v>
      </c>
      <c r="N13" s="6"/>
      <c r="O13" s="6"/>
      <c r="P13" s="17" t="s">
        <v>3</v>
      </c>
      <c r="Q13" s="6" t="s">
        <v>205</v>
      </c>
      <c r="R13" s="17" t="s">
        <v>3</v>
      </c>
      <c r="S13" s="17" t="s">
        <v>245</v>
      </c>
      <c r="T13" s="6" t="s">
        <v>24</v>
      </c>
      <c r="U13" s="6" t="s">
        <v>207</v>
      </c>
      <c r="V13" s="17" t="s">
        <v>3</v>
      </c>
      <c r="W13" s="6">
        <v>282</v>
      </c>
      <c r="X13" s="6" t="s">
        <v>208</v>
      </c>
    </row>
    <row r="14" spans="1:24" ht="54" x14ac:dyDescent="0.25">
      <c r="A14" s="6" t="s">
        <v>246</v>
      </c>
      <c r="B14" s="14">
        <v>46034</v>
      </c>
      <c r="C14" s="14">
        <v>46034</v>
      </c>
      <c r="D14" s="6" t="s">
        <v>247</v>
      </c>
      <c r="E14" s="6" t="s">
        <v>38</v>
      </c>
      <c r="F14" s="6" t="s">
        <v>248</v>
      </c>
      <c r="G14" s="6" t="s">
        <v>204</v>
      </c>
      <c r="H14" s="10">
        <v>212</v>
      </c>
      <c r="I14" s="6"/>
      <c r="J14" s="6"/>
      <c r="K14" s="6" t="s">
        <v>3</v>
      </c>
      <c r="L14" s="6"/>
      <c r="M14" s="10">
        <v>70</v>
      </c>
      <c r="N14" s="6"/>
      <c r="O14" s="6"/>
      <c r="P14" s="17" t="s">
        <v>3</v>
      </c>
      <c r="Q14" s="6" t="s">
        <v>205</v>
      </c>
      <c r="R14" s="17" t="s">
        <v>3</v>
      </c>
      <c r="S14" s="17" t="s">
        <v>249</v>
      </c>
      <c r="T14" s="6" t="s">
        <v>24</v>
      </c>
      <c r="U14" s="6" t="s">
        <v>207</v>
      </c>
      <c r="V14" s="17" t="s">
        <v>3</v>
      </c>
      <c r="W14" s="6">
        <v>283</v>
      </c>
      <c r="X14" s="6" t="s">
        <v>208</v>
      </c>
    </row>
    <row r="15" spans="1:24" ht="54" x14ac:dyDescent="0.25">
      <c r="A15" s="6" t="s">
        <v>250</v>
      </c>
      <c r="B15" s="14">
        <v>46035</v>
      </c>
      <c r="C15" s="14">
        <v>46035</v>
      </c>
      <c r="D15" s="6" t="s">
        <v>251</v>
      </c>
      <c r="E15" s="6" t="s">
        <v>38</v>
      </c>
      <c r="F15" s="6" t="s">
        <v>248</v>
      </c>
      <c r="G15" s="6" t="s">
        <v>204</v>
      </c>
      <c r="H15" s="10">
        <v>390</v>
      </c>
      <c r="I15" s="6"/>
      <c r="J15" s="6"/>
      <c r="K15" s="6" t="s">
        <v>3</v>
      </c>
      <c r="L15" s="6"/>
      <c r="M15" s="10">
        <v>109</v>
      </c>
      <c r="N15" s="6"/>
      <c r="O15" s="6"/>
      <c r="P15" s="17" t="s">
        <v>3</v>
      </c>
      <c r="Q15" s="6" t="s">
        <v>205</v>
      </c>
      <c r="R15" s="17" t="s">
        <v>3</v>
      </c>
      <c r="S15" s="17" t="s">
        <v>252</v>
      </c>
      <c r="T15" s="6" t="s">
        <v>24</v>
      </c>
      <c r="U15" s="6" t="s">
        <v>207</v>
      </c>
      <c r="V15" s="17" t="s">
        <v>3</v>
      </c>
      <c r="W15" s="6">
        <v>286</v>
      </c>
      <c r="X15" s="6" t="s">
        <v>208</v>
      </c>
    </row>
    <row r="16" spans="1:24" ht="40.5" x14ac:dyDescent="0.25">
      <c r="A16" s="6" t="s">
        <v>253</v>
      </c>
      <c r="B16" s="14">
        <v>46035</v>
      </c>
      <c r="C16" s="14">
        <v>46035</v>
      </c>
      <c r="D16" s="6" t="s">
        <v>254</v>
      </c>
      <c r="E16" s="6" t="s">
        <v>53</v>
      </c>
      <c r="F16" s="6" t="s">
        <v>53</v>
      </c>
      <c r="G16" s="6" t="s">
        <v>236</v>
      </c>
      <c r="H16" s="10">
        <v>206</v>
      </c>
      <c r="I16" s="6"/>
      <c r="J16" s="6"/>
      <c r="K16" s="6" t="s">
        <v>3</v>
      </c>
      <c r="L16" s="10">
        <v>90</v>
      </c>
      <c r="M16" s="6"/>
      <c r="N16" s="10">
        <v>4</v>
      </c>
      <c r="O16" s="6"/>
      <c r="P16" s="17" t="s">
        <v>3</v>
      </c>
      <c r="Q16" s="6" t="s">
        <v>211</v>
      </c>
      <c r="R16" s="17" t="s">
        <v>3</v>
      </c>
      <c r="S16" s="17" t="s">
        <v>255</v>
      </c>
      <c r="T16" s="6" t="s">
        <v>24</v>
      </c>
      <c r="U16" s="6" t="s">
        <v>207</v>
      </c>
      <c r="V16" s="17" t="s">
        <v>3</v>
      </c>
      <c r="W16" s="6">
        <v>285</v>
      </c>
      <c r="X16" s="6" t="s">
        <v>208</v>
      </c>
    </row>
    <row r="17" spans="1:24" ht="54" x14ac:dyDescent="0.25">
      <c r="A17" s="6" t="s">
        <v>256</v>
      </c>
      <c r="B17" s="14">
        <v>46036</v>
      </c>
      <c r="C17" s="14">
        <v>46036</v>
      </c>
      <c r="D17" s="6" t="s">
        <v>257</v>
      </c>
      <c r="E17" s="6" t="s">
        <v>49</v>
      </c>
      <c r="F17" s="6" t="s">
        <v>258</v>
      </c>
      <c r="G17" s="6" t="s">
        <v>204</v>
      </c>
      <c r="H17" s="10">
        <v>256</v>
      </c>
      <c r="I17" s="6"/>
      <c r="J17" s="6"/>
      <c r="K17" s="6" t="s">
        <v>3</v>
      </c>
      <c r="L17" s="6"/>
      <c r="M17" s="10">
        <v>40</v>
      </c>
      <c r="N17" s="6"/>
      <c r="O17" s="6"/>
      <c r="P17" s="17" t="s">
        <v>3</v>
      </c>
      <c r="Q17" s="6" t="s">
        <v>205</v>
      </c>
      <c r="R17" s="17" t="s">
        <v>3</v>
      </c>
      <c r="S17" s="17" t="s">
        <v>259</v>
      </c>
      <c r="T17" s="6" t="s">
        <v>24</v>
      </c>
      <c r="U17" s="6" t="s">
        <v>207</v>
      </c>
      <c r="V17" s="17" t="s">
        <v>3</v>
      </c>
      <c r="W17" s="6">
        <v>290</v>
      </c>
      <c r="X17" s="6" t="s">
        <v>208</v>
      </c>
    </row>
    <row r="18" spans="1:24" x14ac:dyDescent="0.25">
      <c r="A18" s="6" t="s">
        <v>260</v>
      </c>
      <c r="B18" s="14">
        <v>46036</v>
      </c>
      <c r="C18" s="14">
        <v>46036</v>
      </c>
      <c r="D18" s="6" t="s">
        <v>261</v>
      </c>
      <c r="E18" s="6" t="s">
        <v>56</v>
      </c>
      <c r="F18" s="6" t="s">
        <v>262</v>
      </c>
      <c r="G18" s="6" t="s">
        <v>263</v>
      </c>
      <c r="H18" s="10">
        <v>120</v>
      </c>
      <c r="I18" s="10">
        <v>100</v>
      </c>
      <c r="J18" s="10">
        <v>100</v>
      </c>
      <c r="K18" s="6" t="s">
        <v>264</v>
      </c>
      <c r="L18" s="6"/>
      <c r="M18" s="6"/>
      <c r="N18" s="6"/>
      <c r="O18" s="6"/>
      <c r="P18" s="17" t="s">
        <v>3</v>
      </c>
      <c r="Q18" s="6" t="s">
        <v>265</v>
      </c>
      <c r="R18" s="17" t="s">
        <v>3</v>
      </c>
      <c r="S18" s="17" t="s">
        <v>266</v>
      </c>
      <c r="T18" s="6" t="s">
        <v>25</v>
      </c>
      <c r="U18" s="6" t="s">
        <v>222</v>
      </c>
      <c r="V18" s="17" t="s">
        <v>267</v>
      </c>
      <c r="W18" s="6">
        <v>291</v>
      </c>
      <c r="X18" s="6" t="s">
        <v>224</v>
      </c>
    </row>
    <row r="19" spans="1:24" ht="54" x14ac:dyDescent="0.25">
      <c r="A19" s="6" t="s">
        <v>268</v>
      </c>
      <c r="B19" s="14">
        <v>46037</v>
      </c>
      <c r="C19" s="14">
        <v>46037</v>
      </c>
      <c r="D19" s="6" t="s">
        <v>269</v>
      </c>
      <c r="E19" s="6" t="s">
        <v>38</v>
      </c>
      <c r="F19" s="6" t="s">
        <v>38</v>
      </c>
      <c r="G19" s="6" t="s">
        <v>236</v>
      </c>
      <c r="H19" s="10">
        <v>100</v>
      </c>
      <c r="I19" s="6"/>
      <c r="J19" s="6"/>
      <c r="K19" s="6" t="s">
        <v>3</v>
      </c>
      <c r="L19" s="10">
        <v>35</v>
      </c>
      <c r="M19" s="6"/>
      <c r="N19" s="6"/>
      <c r="O19" s="6"/>
      <c r="P19" s="17" t="s">
        <v>3</v>
      </c>
      <c r="Q19" s="6" t="s">
        <v>211</v>
      </c>
      <c r="R19" s="17" t="s">
        <v>3</v>
      </c>
      <c r="S19" s="17" t="s">
        <v>270</v>
      </c>
      <c r="T19" s="6" t="s">
        <v>24</v>
      </c>
      <c r="U19" s="6" t="s">
        <v>207</v>
      </c>
      <c r="V19" s="17" t="s">
        <v>3</v>
      </c>
      <c r="W19" s="6">
        <v>294</v>
      </c>
      <c r="X19" s="6" t="s">
        <v>208</v>
      </c>
    </row>
    <row r="20" spans="1:24" ht="54" x14ac:dyDescent="0.25">
      <c r="A20" s="6" t="s">
        <v>271</v>
      </c>
      <c r="B20" s="14">
        <v>46037</v>
      </c>
      <c r="C20" s="14">
        <v>46037</v>
      </c>
      <c r="D20" s="6" t="s">
        <v>272</v>
      </c>
      <c r="E20" s="6" t="s">
        <v>49</v>
      </c>
      <c r="F20" s="6" t="s">
        <v>258</v>
      </c>
      <c r="G20" s="6" t="s">
        <v>204</v>
      </c>
      <c r="H20" s="10">
        <v>117</v>
      </c>
      <c r="I20" s="6"/>
      <c r="J20" s="6"/>
      <c r="K20" s="6" t="s">
        <v>3</v>
      </c>
      <c r="L20" s="6"/>
      <c r="M20" s="10">
        <v>29</v>
      </c>
      <c r="N20" s="6"/>
      <c r="O20" s="6"/>
      <c r="P20" s="17" t="s">
        <v>3</v>
      </c>
      <c r="Q20" s="6" t="s">
        <v>205</v>
      </c>
      <c r="R20" s="17" t="s">
        <v>3</v>
      </c>
      <c r="S20" s="17" t="s">
        <v>273</v>
      </c>
      <c r="T20" s="6" t="s">
        <v>24</v>
      </c>
      <c r="U20" s="6" t="s">
        <v>207</v>
      </c>
      <c r="V20" s="17" t="s">
        <v>3</v>
      </c>
      <c r="W20" s="6">
        <v>293</v>
      </c>
      <c r="X20" s="6" t="s">
        <v>208</v>
      </c>
    </row>
    <row r="21" spans="1:24" x14ac:dyDescent="0.25">
      <c r="A21" s="6" t="s">
        <v>274</v>
      </c>
      <c r="B21" s="14">
        <v>46037</v>
      </c>
      <c r="C21" s="14">
        <v>46037</v>
      </c>
      <c r="D21" s="6" t="s">
        <v>275</v>
      </c>
      <c r="E21" s="6" t="s">
        <v>56</v>
      </c>
      <c r="F21" s="6" t="s">
        <v>56</v>
      </c>
      <c r="G21" s="6" t="s">
        <v>276</v>
      </c>
      <c r="H21" s="10">
        <v>400</v>
      </c>
      <c r="I21" s="6"/>
      <c r="J21" s="6"/>
      <c r="K21" s="6" t="s">
        <v>277</v>
      </c>
      <c r="L21" s="6"/>
      <c r="M21" s="6"/>
      <c r="N21" s="10">
        <v>8</v>
      </c>
      <c r="O21" s="6"/>
      <c r="P21" s="17" t="s">
        <v>3</v>
      </c>
      <c r="Q21" s="6" t="s">
        <v>220</v>
      </c>
      <c r="R21" s="17" t="s">
        <v>3</v>
      </c>
      <c r="S21" s="17" t="s">
        <v>278</v>
      </c>
      <c r="T21" s="6" t="s">
        <v>24</v>
      </c>
      <c r="U21" s="6" t="s">
        <v>207</v>
      </c>
      <c r="V21" s="17" t="s">
        <v>3</v>
      </c>
      <c r="W21" s="6">
        <v>292</v>
      </c>
      <c r="X21" s="6" t="s">
        <v>208</v>
      </c>
    </row>
    <row r="22" spans="1:24" ht="54" x14ac:dyDescent="0.25">
      <c r="A22" s="6" t="s">
        <v>279</v>
      </c>
      <c r="B22" s="14">
        <v>46038</v>
      </c>
      <c r="C22" s="14">
        <v>46038</v>
      </c>
      <c r="D22" s="6" t="s">
        <v>280</v>
      </c>
      <c r="E22" s="6" t="s">
        <v>55</v>
      </c>
      <c r="F22" s="6" t="s">
        <v>55</v>
      </c>
      <c r="G22" s="6" t="s">
        <v>204</v>
      </c>
      <c r="H22" s="10">
        <v>377</v>
      </c>
      <c r="I22" s="6"/>
      <c r="J22" s="6"/>
      <c r="K22" s="6" t="s">
        <v>3</v>
      </c>
      <c r="L22" s="6"/>
      <c r="M22" s="10">
        <v>97</v>
      </c>
      <c r="N22" s="6"/>
      <c r="O22" s="6"/>
      <c r="P22" s="17" t="s">
        <v>3</v>
      </c>
      <c r="Q22" s="6" t="s">
        <v>205</v>
      </c>
      <c r="R22" s="17" t="s">
        <v>3</v>
      </c>
      <c r="S22" s="17" t="s">
        <v>281</v>
      </c>
      <c r="T22" s="6" t="s">
        <v>24</v>
      </c>
      <c r="U22" s="6" t="s">
        <v>207</v>
      </c>
      <c r="V22" s="17" t="s">
        <v>3</v>
      </c>
      <c r="W22" s="6">
        <v>295</v>
      </c>
      <c r="X22" s="6" t="s">
        <v>208</v>
      </c>
    </row>
    <row r="23" spans="1:24" ht="54" x14ac:dyDescent="0.25">
      <c r="A23" s="6" t="s">
        <v>282</v>
      </c>
      <c r="B23" s="14">
        <v>46041</v>
      </c>
      <c r="C23" s="14">
        <v>46042</v>
      </c>
      <c r="D23" s="6" t="s">
        <v>283</v>
      </c>
      <c r="E23" s="6" t="s">
        <v>55</v>
      </c>
      <c r="F23" s="6" t="s">
        <v>55</v>
      </c>
      <c r="G23" s="6" t="s">
        <v>204</v>
      </c>
      <c r="H23" s="10">
        <v>347</v>
      </c>
      <c r="I23" s="6"/>
      <c r="J23" s="6"/>
      <c r="K23" s="6" t="s">
        <v>3</v>
      </c>
      <c r="L23" s="6"/>
      <c r="M23" s="10">
        <v>87</v>
      </c>
      <c r="N23" s="6"/>
      <c r="O23" s="6"/>
      <c r="P23" s="17" t="s">
        <v>3</v>
      </c>
      <c r="Q23" s="6" t="s">
        <v>205</v>
      </c>
      <c r="R23" s="17" t="s">
        <v>3</v>
      </c>
      <c r="S23" s="17" t="s">
        <v>284</v>
      </c>
      <c r="T23" s="6" t="s">
        <v>24</v>
      </c>
      <c r="U23" s="6" t="s">
        <v>207</v>
      </c>
      <c r="V23" s="17" t="s">
        <v>3</v>
      </c>
      <c r="W23" s="6">
        <v>296</v>
      </c>
      <c r="X23" s="6" t="s">
        <v>208</v>
      </c>
    </row>
    <row r="24" spans="1:24" ht="54" x14ac:dyDescent="0.25">
      <c r="A24" s="6" t="s">
        <v>285</v>
      </c>
      <c r="B24" s="14">
        <v>46042</v>
      </c>
      <c r="C24" s="14">
        <v>46043</v>
      </c>
      <c r="D24" s="6" t="s">
        <v>286</v>
      </c>
      <c r="E24" s="6" t="s">
        <v>55</v>
      </c>
      <c r="F24" s="6" t="s">
        <v>55</v>
      </c>
      <c r="G24" s="6" t="s">
        <v>204</v>
      </c>
      <c r="H24" s="10">
        <v>274</v>
      </c>
      <c r="I24" s="6"/>
      <c r="J24" s="6"/>
      <c r="K24" s="6" t="s">
        <v>3</v>
      </c>
      <c r="L24" s="6"/>
      <c r="M24" s="10">
        <v>66</v>
      </c>
      <c r="N24" s="6"/>
      <c r="O24" s="6"/>
      <c r="P24" s="17" t="s">
        <v>3</v>
      </c>
      <c r="Q24" s="6" t="s">
        <v>205</v>
      </c>
      <c r="R24" s="17" t="s">
        <v>3</v>
      </c>
      <c r="S24" s="17" t="s">
        <v>287</v>
      </c>
      <c r="T24" s="6" t="s">
        <v>24</v>
      </c>
      <c r="U24" s="6" t="s">
        <v>207</v>
      </c>
      <c r="V24" s="17" t="s">
        <v>3</v>
      </c>
      <c r="W24" s="6">
        <v>298</v>
      </c>
      <c r="X24" s="6" t="s">
        <v>208</v>
      </c>
    </row>
    <row r="25" spans="1:24" ht="67.5" x14ac:dyDescent="0.25">
      <c r="A25" s="6" t="s">
        <v>288</v>
      </c>
      <c r="B25" s="14">
        <v>46044</v>
      </c>
      <c r="C25" s="14">
        <v>46044</v>
      </c>
      <c r="D25" s="6" t="s">
        <v>289</v>
      </c>
      <c r="E25" s="6" t="s">
        <v>38</v>
      </c>
      <c r="F25" s="6" t="s">
        <v>38</v>
      </c>
      <c r="G25" s="6" t="s">
        <v>236</v>
      </c>
      <c r="H25" s="10">
        <v>155</v>
      </c>
      <c r="I25" s="6"/>
      <c r="J25" s="6"/>
      <c r="K25" s="6" t="s">
        <v>3</v>
      </c>
      <c r="L25" s="10">
        <v>65</v>
      </c>
      <c r="M25" s="6"/>
      <c r="N25" s="6"/>
      <c r="O25" s="6"/>
      <c r="P25" s="17" t="s">
        <v>3</v>
      </c>
      <c r="Q25" s="6" t="s">
        <v>211</v>
      </c>
      <c r="R25" s="17" t="s">
        <v>290</v>
      </c>
      <c r="S25" s="17" t="s">
        <v>291</v>
      </c>
      <c r="T25" s="6" t="s">
        <v>24</v>
      </c>
      <c r="U25" s="6" t="s">
        <v>207</v>
      </c>
      <c r="V25" s="17" t="s">
        <v>3</v>
      </c>
      <c r="W25" s="6">
        <v>307</v>
      </c>
      <c r="X25" s="6" t="s">
        <v>208</v>
      </c>
    </row>
    <row r="26" spans="1:24" ht="27" x14ac:dyDescent="0.25">
      <c r="A26" s="6" t="s">
        <v>292</v>
      </c>
      <c r="B26" s="14">
        <v>46044</v>
      </c>
      <c r="C26" s="14">
        <v>46044</v>
      </c>
      <c r="D26" s="6" t="s">
        <v>293</v>
      </c>
      <c r="E26" s="6" t="s">
        <v>49</v>
      </c>
      <c r="F26" s="6" t="s">
        <v>294</v>
      </c>
      <c r="G26" s="6" t="s">
        <v>236</v>
      </c>
      <c r="H26" s="10">
        <v>90</v>
      </c>
      <c r="I26" s="6"/>
      <c r="J26" s="6"/>
      <c r="K26" s="6" t="s">
        <v>3</v>
      </c>
      <c r="L26" s="6"/>
      <c r="M26" s="6"/>
      <c r="N26" s="6"/>
      <c r="O26" s="6"/>
      <c r="P26" s="17" t="s">
        <v>3</v>
      </c>
      <c r="Q26" s="6" t="s">
        <v>228</v>
      </c>
      <c r="R26" s="17" t="s">
        <v>3</v>
      </c>
      <c r="S26" s="17" t="s">
        <v>295</v>
      </c>
      <c r="T26" s="6" t="s">
        <v>24</v>
      </c>
      <c r="U26" s="6" t="s">
        <v>207</v>
      </c>
      <c r="V26" s="17" t="s">
        <v>3</v>
      </c>
      <c r="W26" s="6">
        <v>306</v>
      </c>
      <c r="X26" s="6" t="s">
        <v>208</v>
      </c>
    </row>
    <row r="27" spans="1:24" ht="67.5" x14ac:dyDescent="0.25">
      <c r="A27" s="6" t="s">
        <v>296</v>
      </c>
      <c r="B27" s="14">
        <v>46045</v>
      </c>
      <c r="C27" s="14">
        <v>46045</v>
      </c>
      <c r="D27" s="6" t="s">
        <v>297</v>
      </c>
      <c r="E27" s="6" t="s">
        <v>38</v>
      </c>
      <c r="F27" s="6" t="s">
        <v>38</v>
      </c>
      <c r="G27" s="6" t="s">
        <v>236</v>
      </c>
      <c r="H27" s="10">
        <v>160</v>
      </c>
      <c r="I27" s="6"/>
      <c r="J27" s="6"/>
      <c r="K27" s="6" t="s">
        <v>3</v>
      </c>
      <c r="L27" s="10">
        <v>70</v>
      </c>
      <c r="M27" s="6"/>
      <c r="N27" s="6"/>
      <c r="O27" s="6"/>
      <c r="P27" s="17" t="s">
        <v>3</v>
      </c>
      <c r="Q27" s="6" t="s">
        <v>211</v>
      </c>
      <c r="R27" s="17" t="s">
        <v>298</v>
      </c>
      <c r="S27" s="17" t="s">
        <v>299</v>
      </c>
      <c r="T27" s="6" t="s">
        <v>24</v>
      </c>
      <c r="U27" s="6" t="s">
        <v>207</v>
      </c>
      <c r="V27" s="17" t="s">
        <v>3</v>
      </c>
      <c r="W27" s="6">
        <v>310</v>
      </c>
      <c r="X27" s="6" t="s">
        <v>208</v>
      </c>
    </row>
    <row r="28" spans="1:24" ht="67.5" x14ac:dyDescent="0.25">
      <c r="A28" s="6" t="s">
        <v>300</v>
      </c>
      <c r="B28" s="14">
        <v>46045</v>
      </c>
      <c r="C28" s="14">
        <v>46045</v>
      </c>
      <c r="D28" s="6" t="s">
        <v>301</v>
      </c>
      <c r="E28" s="6" t="s">
        <v>38</v>
      </c>
      <c r="F28" s="6" t="s">
        <v>38</v>
      </c>
      <c r="G28" s="6" t="s">
        <v>236</v>
      </c>
      <c r="H28" s="10">
        <v>160</v>
      </c>
      <c r="I28" s="6"/>
      <c r="J28" s="6"/>
      <c r="K28" s="6" t="s">
        <v>3</v>
      </c>
      <c r="L28" s="10">
        <v>70</v>
      </c>
      <c r="M28" s="6"/>
      <c r="N28" s="6"/>
      <c r="O28" s="6"/>
      <c r="P28" s="17" t="s">
        <v>3</v>
      </c>
      <c r="Q28" s="6" t="s">
        <v>211</v>
      </c>
      <c r="R28" s="17" t="s">
        <v>302</v>
      </c>
      <c r="S28" s="17" t="s">
        <v>303</v>
      </c>
      <c r="T28" s="6" t="s">
        <v>25</v>
      </c>
      <c r="U28" s="6" t="s">
        <v>222</v>
      </c>
      <c r="V28" s="17" t="s">
        <v>304</v>
      </c>
      <c r="W28" s="6">
        <v>311</v>
      </c>
      <c r="X28" s="6" t="s">
        <v>224</v>
      </c>
    </row>
    <row r="29" spans="1:24" ht="27" x14ac:dyDescent="0.25">
      <c r="A29" s="6" t="s">
        <v>305</v>
      </c>
      <c r="B29" s="14">
        <v>46045</v>
      </c>
      <c r="C29" s="14">
        <v>46045</v>
      </c>
      <c r="D29" s="6" t="s">
        <v>306</v>
      </c>
      <c r="E29" s="6" t="s">
        <v>49</v>
      </c>
      <c r="F29" s="6" t="s">
        <v>294</v>
      </c>
      <c r="G29" s="6" t="s">
        <v>236</v>
      </c>
      <c r="H29" s="10">
        <v>102</v>
      </c>
      <c r="I29" s="6"/>
      <c r="J29" s="6"/>
      <c r="K29" s="6" t="s">
        <v>3</v>
      </c>
      <c r="L29" s="6"/>
      <c r="M29" s="6"/>
      <c r="N29" s="6"/>
      <c r="O29" s="6"/>
      <c r="P29" s="17" t="s">
        <v>3</v>
      </c>
      <c r="Q29" s="6" t="s">
        <v>228</v>
      </c>
      <c r="R29" s="17" t="s">
        <v>3</v>
      </c>
      <c r="S29" s="17" t="s">
        <v>307</v>
      </c>
      <c r="T29" s="6" t="s">
        <v>24</v>
      </c>
      <c r="U29" s="6" t="s">
        <v>207</v>
      </c>
      <c r="V29" s="17" t="s">
        <v>3</v>
      </c>
      <c r="W29" s="6">
        <v>308</v>
      </c>
      <c r="X29" s="6" t="s">
        <v>208</v>
      </c>
    </row>
    <row r="30" spans="1:24" ht="54" x14ac:dyDescent="0.25">
      <c r="A30" s="6" t="s">
        <v>308</v>
      </c>
      <c r="B30" s="14">
        <v>46045</v>
      </c>
      <c r="C30" s="14">
        <v>46045</v>
      </c>
      <c r="D30" s="6" t="s">
        <v>309</v>
      </c>
      <c r="E30" s="6" t="s">
        <v>53</v>
      </c>
      <c r="F30" s="6" t="s">
        <v>244</v>
      </c>
      <c r="G30" s="6" t="s">
        <v>204</v>
      </c>
      <c r="H30" s="6"/>
      <c r="I30" s="6"/>
      <c r="J30" s="6"/>
      <c r="K30" s="6" t="s">
        <v>3</v>
      </c>
      <c r="L30" s="6"/>
      <c r="M30" s="10">
        <v>170</v>
      </c>
      <c r="N30" s="6"/>
      <c r="O30" s="6"/>
      <c r="P30" s="17" t="s">
        <v>3</v>
      </c>
      <c r="Q30" s="6" t="s">
        <v>205</v>
      </c>
      <c r="R30" s="17" t="s">
        <v>3</v>
      </c>
      <c r="S30" s="17" t="s">
        <v>310</v>
      </c>
      <c r="T30" s="6" t="s">
        <v>25</v>
      </c>
      <c r="U30" s="6" t="s">
        <v>222</v>
      </c>
      <c r="V30" s="17" t="s">
        <v>223</v>
      </c>
      <c r="W30" s="6">
        <v>309</v>
      </c>
      <c r="X30" s="6" t="s">
        <v>224</v>
      </c>
    </row>
    <row r="31" spans="1:24" ht="67.5" x14ac:dyDescent="0.25">
      <c r="A31" s="6" t="s">
        <v>311</v>
      </c>
      <c r="B31" s="14">
        <v>46046</v>
      </c>
      <c r="C31" s="14">
        <v>46046</v>
      </c>
      <c r="D31" s="6" t="s">
        <v>312</v>
      </c>
      <c r="E31" s="6" t="s">
        <v>38</v>
      </c>
      <c r="F31" s="6" t="s">
        <v>38</v>
      </c>
      <c r="G31" s="6" t="s">
        <v>236</v>
      </c>
      <c r="H31" s="10">
        <v>107</v>
      </c>
      <c r="I31" s="6"/>
      <c r="J31" s="6"/>
      <c r="K31" s="6" t="s">
        <v>3</v>
      </c>
      <c r="L31" s="10">
        <v>51</v>
      </c>
      <c r="M31" s="6"/>
      <c r="N31" s="6"/>
      <c r="O31" s="6"/>
      <c r="P31" s="17" t="s">
        <v>3</v>
      </c>
      <c r="Q31" s="6" t="s">
        <v>313</v>
      </c>
      <c r="R31" s="17" t="s">
        <v>314</v>
      </c>
      <c r="S31" s="17" t="s">
        <v>315</v>
      </c>
      <c r="T31" s="6" t="s">
        <v>24</v>
      </c>
      <c r="U31" s="6" t="s">
        <v>207</v>
      </c>
      <c r="V31" s="17" t="s">
        <v>3</v>
      </c>
      <c r="W31" s="6">
        <v>312</v>
      </c>
      <c r="X31" s="6" t="s">
        <v>208</v>
      </c>
    </row>
    <row r="32" spans="1:24" ht="27" x14ac:dyDescent="0.25">
      <c r="A32" s="6" t="s">
        <v>316</v>
      </c>
      <c r="B32" s="14">
        <v>46048</v>
      </c>
      <c r="C32" s="14">
        <v>46048</v>
      </c>
      <c r="D32" s="6" t="s">
        <v>317</v>
      </c>
      <c r="E32" s="6" t="s">
        <v>49</v>
      </c>
      <c r="F32" s="6" t="s">
        <v>294</v>
      </c>
      <c r="G32" s="6" t="s">
        <v>236</v>
      </c>
      <c r="H32" s="10">
        <v>113</v>
      </c>
      <c r="I32" s="6"/>
      <c r="J32" s="6"/>
      <c r="K32" s="6" t="s">
        <v>3</v>
      </c>
      <c r="L32" s="6"/>
      <c r="M32" s="6"/>
      <c r="N32" s="6"/>
      <c r="O32" s="6"/>
      <c r="P32" s="17" t="s">
        <v>3</v>
      </c>
      <c r="Q32" s="6" t="s">
        <v>228</v>
      </c>
      <c r="R32" s="17" t="s">
        <v>3</v>
      </c>
      <c r="S32" s="17" t="s">
        <v>318</v>
      </c>
      <c r="T32" s="6" t="s">
        <v>24</v>
      </c>
      <c r="U32" s="6" t="s">
        <v>207</v>
      </c>
      <c r="V32" s="17" t="s">
        <v>3</v>
      </c>
      <c r="W32" s="6">
        <v>313</v>
      </c>
      <c r="X32" s="6" t="s">
        <v>208</v>
      </c>
    </row>
    <row r="33" spans="1:24" ht="54" x14ac:dyDescent="0.25">
      <c r="A33" s="6" t="s">
        <v>319</v>
      </c>
      <c r="B33" s="14">
        <v>46048</v>
      </c>
      <c r="C33" s="14">
        <v>46048</v>
      </c>
      <c r="D33" s="6" t="s">
        <v>320</v>
      </c>
      <c r="E33" s="6" t="s">
        <v>55</v>
      </c>
      <c r="F33" s="6" t="s">
        <v>55</v>
      </c>
      <c r="G33" s="6" t="s">
        <v>204</v>
      </c>
      <c r="H33" s="10">
        <v>279</v>
      </c>
      <c r="I33" s="6"/>
      <c r="J33" s="6"/>
      <c r="K33" s="6" t="s">
        <v>3</v>
      </c>
      <c r="L33" s="6"/>
      <c r="M33" s="10">
        <v>49</v>
      </c>
      <c r="N33" s="6"/>
      <c r="O33" s="6"/>
      <c r="P33" s="17" t="s">
        <v>3</v>
      </c>
      <c r="Q33" s="6" t="s">
        <v>205</v>
      </c>
      <c r="R33" s="17" t="s">
        <v>3</v>
      </c>
      <c r="S33" s="17" t="s">
        <v>321</v>
      </c>
      <c r="T33" s="6" t="s">
        <v>24</v>
      </c>
      <c r="U33" s="6" t="s">
        <v>207</v>
      </c>
      <c r="V33" s="17" t="s">
        <v>3</v>
      </c>
      <c r="W33" s="6">
        <v>314</v>
      </c>
      <c r="X33" s="6" t="s">
        <v>208</v>
      </c>
    </row>
    <row r="34" spans="1:24" ht="40.5" x14ac:dyDescent="0.25">
      <c r="A34" s="6" t="s">
        <v>322</v>
      </c>
      <c r="B34" s="14">
        <v>46050</v>
      </c>
      <c r="C34" s="14">
        <v>46050</v>
      </c>
      <c r="D34" s="6" t="s">
        <v>323</v>
      </c>
      <c r="E34" s="6" t="s">
        <v>49</v>
      </c>
      <c r="F34" s="6" t="s">
        <v>324</v>
      </c>
      <c r="G34" s="6" t="s">
        <v>236</v>
      </c>
      <c r="H34" s="10">
        <v>70</v>
      </c>
      <c r="I34" s="6"/>
      <c r="J34" s="6"/>
      <c r="K34" s="6" t="s">
        <v>3</v>
      </c>
      <c r="L34" s="6"/>
      <c r="M34" s="6"/>
      <c r="N34" s="6"/>
      <c r="O34" s="6"/>
      <c r="P34" s="17" t="s">
        <v>3</v>
      </c>
      <c r="Q34" s="6" t="s">
        <v>228</v>
      </c>
      <c r="R34" s="17" t="s">
        <v>3</v>
      </c>
      <c r="S34" s="17" t="s">
        <v>325</v>
      </c>
      <c r="T34" s="6" t="s">
        <v>24</v>
      </c>
      <c r="U34" s="6" t="s">
        <v>207</v>
      </c>
      <c r="V34" s="17" t="s">
        <v>3</v>
      </c>
      <c r="W34" s="6">
        <v>317</v>
      </c>
      <c r="X34" s="6" t="s">
        <v>208</v>
      </c>
    </row>
    <row r="35" spans="1:24" ht="40.5" x14ac:dyDescent="0.25">
      <c r="A35" s="6" t="s">
        <v>326</v>
      </c>
      <c r="B35" s="14">
        <v>46050</v>
      </c>
      <c r="C35" s="14">
        <v>46050</v>
      </c>
      <c r="D35" s="6" t="s">
        <v>323</v>
      </c>
      <c r="E35" s="6" t="s">
        <v>49</v>
      </c>
      <c r="F35" s="6" t="s">
        <v>324</v>
      </c>
      <c r="G35" s="6" t="s">
        <v>236</v>
      </c>
      <c r="H35" s="10">
        <v>70</v>
      </c>
      <c r="I35" s="6"/>
      <c r="J35" s="6"/>
      <c r="K35" s="6" t="s">
        <v>3</v>
      </c>
      <c r="L35" s="6"/>
      <c r="M35" s="6"/>
      <c r="N35" s="6"/>
      <c r="O35" s="6"/>
      <c r="P35" s="17" t="s">
        <v>3</v>
      </c>
      <c r="Q35" s="6" t="s">
        <v>228</v>
      </c>
      <c r="R35" s="17" t="s">
        <v>3</v>
      </c>
      <c r="S35" s="17" t="s">
        <v>325</v>
      </c>
      <c r="T35" s="6" t="s">
        <v>24</v>
      </c>
      <c r="U35" s="6" t="s">
        <v>207</v>
      </c>
      <c r="V35" s="17" t="s">
        <v>3</v>
      </c>
      <c r="W35" s="6">
        <v>317</v>
      </c>
      <c r="X35" s="6" t="s">
        <v>208</v>
      </c>
    </row>
    <row r="36" spans="1:24" ht="40.5" x14ac:dyDescent="0.25">
      <c r="A36" s="6" t="s">
        <v>327</v>
      </c>
      <c r="B36" s="14">
        <v>46050</v>
      </c>
      <c r="C36" s="14">
        <v>46050</v>
      </c>
      <c r="D36" s="6" t="s">
        <v>328</v>
      </c>
      <c r="E36" s="6" t="s">
        <v>91</v>
      </c>
      <c r="F36" s="6" t="s">
        <v>91</v>
      </c>
      <c r="G36" s="6" t="s">
        <v>204</v>
      </c>
      <c r="H36" s="6"/>
      <c r="I36" s="6"/>
      <c r="J36" s="6"/>
      <c r="K36" s="6" t="s">
        <v>3</v>
      </c>
      <c r="L36" s="6"/>
      <c r="M36" s="10">
        <v>28</v>
      </c>
      <c r="N36" s="6"/>
      <c r="O36" s="6"/>
      <c r="P36" s="17" t="s">
        <v>3</v>
      </c>
      <c r="Q36" s="6" t="s">
        <v>205</v>
      </c>
      <c r="R36" s="17" t="s">
        <v>3</v>
      </c>
      <c r="S36" s="17" t="s">
        <v>329</v>
      </c>
      <c r="T36" s="6" t="s">
        <v>25</v>
      </c>
      <c r="U36" s="6" t="s">
        <v>222</v>
      </c>
      <c r="V36" s="17" t="s">
        <v>223</v>
      </c>
      <c r="W36" s="6">
        <v>316</v>
      </c>
      <c r="X36" s="6" t="s">
        <v>224</v>
      </c>
    </row>
    <row r="37" spans="1:24" ht="54" x14ac:dyDescent="0.25">
      <c r="A37" s="6" t="s">
        <v>330</v>
      </c>
      <c r="B37" s="14">
        <v>46050</v>
      </c>
      <c r="C37" s="14">
        <v>46050</v>
      </c>
      <c r="D37" s="6" t="s">
        <v>331</v>
      </c>
      <c r="E37" s="6" t="s">
        <v>53</v>
      </c>
      <c r="F37" s="6" t="s">
        <v>332</v>
      </c>
      <c r="G37" s="6" t="s">
        <v>236</v>
      </c>
      <c r="H37" s="10">
        <v>290</v>
      </c>
      <c r="I37" s="6"/>
      <c r="J37" s="6"/>
      <c r="K37" s="6" t="s">
        <v>3</v>
      </c>
      <c r="L37" s="10">
        <v>85</v>
      </c>
      <c r="M37" s="6"/>
      <c r="N37" s="6"/>
      <c r="O37" s="6"/>
      <c r="P37" s="17" t="s">
        <v>3</v>
      </c>
      <c r="Q37" s="6" t="s">
        <v>211</v>
      </c>
      <c r="R37" s="17" t="s">
        <v>3</v>
      </c>
      <c r="S37" s="17" t="s">
        <v>333</v>
      </c>
      <c r="T37" s="6" t="s">
        <v>24</v>
      </c>
      <c r="U37" s="6" t="s">
        <v>207</v>
      </c>
      <c r="V37" s="17" t="s">
        <v>3</v>
      </c>
      <c r="W37" s="6">
        <v>315</v>
      </c>
      <c r="X37" s="6" t="s">
        <v>208</v>
      </c>
    </row>
    <row r="38" spans="1:24" ht="54" x14ac:dyDescent="0.25">
      <c r="A38" s="6" t="s">
        <v>334</v>
      </c>
      <c r="B38" s="14">
        <v>46051</v>
      </c>
      <c r="C38" s="14">
        <v>46051</v>
      </c>
      <c r="D38" s="6" t="s">
        <v>335</v>
      </c>
      <c r="E38" s="6" t="s">
        <v>55</v>
      </c>
      <c r="F38" s="6" t="s">
        <v>55</v>
      </c>
      <c r="G38" s="6" t="s">
        <v>204</v>
      </c>
      <c r="H38" s="10">
        <v>331</v>
      </c>
      <c r="I38" s="6"/>
      <c r="J38" s="6"/>
      <c r="K38" s="6" t="s">
        <v>3</v>
      </c>
      <c r="L38" s="6"/>
      <c r="M38" s="10">
        <v>77</v>
      </c>
      <c r="N38" s="6"/>
      <c r="O38" s="6"/>
      <c r="P38" s="17" t="s">
        <v>3</v>
      </c>
      <c r="Q38" s="6" t="s">
        <v>205</v>
      </c>
      <c r="R38" s="17" t="s">
        <v>3</v>
      </c>
      <c r="S38" s="17" t="s">
        <v>336</v>
      </c>
      <c r="T38" s="6" t="s">
        <v>24</v>
      </c>
      <c r="U38" s="6" t="s">
        <v>207</v>
      </c>
      <c r="V38" s="17" t="s">
        <v>3</v>
      </c>
      <c r="W38" s="6">
        <v>319</v>
      </c>
      <c r="X38" s="6" t="s">
        <v>208</v>
      </c>
    </row>
    <row r="39" spans="1:24" ht="54" x14ac:dyDescent="0.25">
      <c r="A39" s="6" t="s">
        <v>337</v>
      </c>
      <c r="B39" s="14">
        <v>46051</v>
      </c>
      <c r="C39" s="14">
        <v>46051</v>
      </c>
      <c r="D39" s="6" t="s">
        <v>338</v>
      </c>
      <c r="E39" s="6" t="s">
        <v>53</v>
      </c>
      <c r="F39" s="6" t="s">
        <v>332</v>
      </c>
      <c r="G39" s="6" t="s">
        <v>236</v>
      </c>
      <c r="H39" s="10">
        <v>110</v>
      </c>
      <c r="I39" s="6"/>
      <c r="J39" s="6"/>
      <c r="K39" s="6" t="s">
        <v>3</v>
      </c>
      <c r="L39" s="10">
        <v>30</v>
      </c>
      <c r="M39" s="6"/>
      <c r="N39" s="6"/>
      <c r="O39" s="6"/>
      <c r="P39" s="17" t="s">
        <v>3</v>
      </c>
      <c r="Q39" s="6" t="s">
        <v>211</v>
      </c>
      <c r="R39" s="17" t="s">
        <v>3</v>
      </c>
      <c r="S39" s="17" t="s">
        <v>339</v>
      </c>
      <c r="T39" s="6" t="s">
        <v>24</v>
      </c>
      <c r="U39" s="6" t="s">
        <v>207</v>
      </c>
      <c r="V39" s="17" t="s">
        <v>3</v>
      </c>
      <c r="W39" s="6">
        <v>318</v>
      </c>
      <c r="X39" s="6" t="s">
        <v>208</v>
      </c>
    </row>
    <row r="40" spans="1:24" ht="67.5" x14ac:dyDescent="0.25">
      <c r="A40" s="6" t="s">
        <v>340</v>
      </c>
      <c r="B40" s="14">
        <v>46052</v>
      </c>
      <c r="C40" s="14">
        <v>46052</v>
      </c>
      <c r="D40" s="6" t="s">
        <v>341</v>
      </c>
      <c r="E40" s="6" t="s">
        <v>55</v>
      </c>
      <c r="F40" s="6" t="s">
        <v>55</v>
      </c>
      <c r="G40" s="6" t="s">
        <v>204</v>
      </c>
      <c r="H40" s="10">
        <v>264</v>
      </c>
      <c r="I40" s="6"/>
      <c r="J40" s="6"/>
      <c r="K40" s="6" t="s">
        <v>3</v>
      </c>
      <c r="L40" s="6"/>
      <c r="M40" s="10">
        <v>68</v>
      </c>
      <c r="N40" s="6"/>
      <c r="O40" s="6"/>
      <c r="P40" s="17" t="s">
        <v>3</v>
      </c>
      <c r="Q40" s="6" t="s">
        <v>205</v>
      </c>
      <c r="R40" s="17" t="s">
        <v>3</v>
      </c>
      <c r="S40" s="17" t="s">
        <v>342</v>
      </c>
      <c r="T40" s="6" t="s">
        <v>24</v>
      </c>
      <c r="U40" s="6" t="s">
        <v>207</v>
      </c>
      <c r="V40" s="17" t="s">
        <v>3</v>
      </c>
      <c r="W40" s="6">
        <v>320</v>
      </c>
      <c r="X40" s="6" t="s">
        <v>208</v>
      </c>
    </row>
    <row r="41" spans="1:24" ht="54" x14ac:dyDescent="0.25">
      <c r="A41" s="6" t="s">
        <v>343</v>
      </c>
      <c r="B41" s="14">
        <v>46053</v>
      </c>
      <c r="C41" s="14">
        <v>46053</v>
      </c>
      <c r="D41" s="6" t="s">
        <v>344</v>
      </c>
      <c r="E41" s="6" t="s">
        <v>38</v>
      </c>
      <c r="F41" s="6" t="s">
        <v>248</v>
      </c>
      <c r="G41" s="6" t="s">
        <v>204</v>
      </c>
      <c r="H41" s="10">
        <v>305</v>
      </c>
      <c r="I41" s="6"/>
      <c r="J41" s="6"/>
      <c r="K41" s="6" t="s">
        <v>3</v>
      </c>
      <c r="L41" s="6"/>
      <c r="M41" s="10">
        <v>94</v>
      </c>
      <c r="N41" s="6"/>
      <c r="O41" s="6"/>
      <c r="P41" s="17" t="s">
        <v>3</v>
      </c>
      <c r="Q41" s="6" t="s">
        <v>205</v>
      </c>
      <c r="R41" s="17" t="s">
        <v>3</v>
      </c>
      <c r="S41" s="17" t="s">
        <v>345</v>
      </c>
      <c r="T41" s="6" t="s">
        <v>24</v>
      </c>
      <c r="U41" s="6" t="s">
        <v>207</v>
      </c>
      <c r="V41" s="17" t="s">
        <v>3</v>
      </c>
      <c r="W41" s="6">
        <v>321</v>
      </c>
      <c r="X41" s="6" t="s">
        <v>208</v>
      </c>
    </row>
    <row r="42" spans="1:24" ht="54" x14ac:dyDescent="0.25">
      <c r="A42" s="6" t="s">
        <v>346</v>
      </c>
      <c r="B42" s="14">
        <v>46055</v>
      </c>
      <c r="C42" s="14">
        <v>46056</v>
      </c>
      <c r="D42" s="6" t="s">
        <v>347</v>
      </c>
      <c r="E42" s="6" t="s">
        <v>38</v>
      </c>
      <c r="F42" s="6" t="s">
        <v>248</v>
      </c>
      <c r="G42" s="6" t="s">
        <v>263</v>
      </c>
      <c r="H42" s="10">
        <v>203</v>
      </c>
      <c r="I42" s="6"/>
      <c r="J42" s="6"/>
      <c r="K42" s="6" t="s">
        <v>3</v>
      </c>
      <c r="L42" s="6"/>
      <c r="M42" s="10">
        <v>71</v>
      </c>
      <c r="N42" s="6"/>
      <c r="O42" s="6"/>
      <c r="P42" s="17" t="s">
        <v>3</v>
      </c>
      <c r="Q42" s="6" t="s">
        <v>205</v>
      </c>
      <c r="R42" s="17" t="s">
        <v>3</v>
      </c>
      <c r="S42" s="17" t="s">
        <v>348</v>
      </c>
      <c r="T42" s="6" t="s">
        <v>25</v>
      </c>
      <c r="U42" s="6" t="s">
        <v>222</v>
      </c>
      <c r="V42" s="17" t="s">
        <v>267</v>
      </c>
      <c r="W42" s="6">
        <v>323</v>
      </c>
      <c r="X42" s="6" t="s">
        <v>224</v>
      </c>
    </row>
    <row r="43" spans="1:24" ht="54" x14ac:dyDescent="0.25">
      <c r="A43" s="6" t="s">
        <v>349</v>
      </c>
      <c r="B43" s="14">
        <v>46056</v>
      </c>
      <c r="C43" s="14">
        <v>46056</v>
      </c>
      <c r="D43" s="6" t="s">
        <v>350</v>
      </c>
      <c r="E43" s="6" t="s">
        <v>38</v>
      </c>
      <c r="F43" s="6" t="s">
        <v>248</v>
      </c>
      <c r="G43" s="6" t="s">
        <v>204</v>
      </c>
      <c r="H43" s="10">
        <v>343</v>
      </c>
      <c r="I43" s="6"/>
      <c r="J43" s="6"/>
      <c r="K43" s="6" t="s">
        <v>3</v>
      </c>
      <c r="L43" s="6"/>
      <c r="M43" s="10">
        <v>76</v>
      </c>
      <c r="N43" s="6"/>
      <c r="O43" s="6"/>
      <c r="P43" s="17" t="s">
        <v>3</v>
      </c>
      <c r="Q43" s="6" t="s">
        <v>205</v>
      </c>
      <c r="R43" s="17" t="s">
        <v>351</v>
      </c>
      <c r="S43" s="17" t="s">
        <v>352</v>
      </c>
      <c r="T43" s="6" t="s">
        <v>25</v>
      </c>
      <c r="U43" s="6" t="s">
        <v>222</v>
      </c>
      <c r="V43" s="17" t="s">
        <v>353</v>
      </c>
      <c r="W43" s="6">
        <v>324</v>
      </c>
      <c r="X43" s="6" t="s">
        <v>224</v>
      </c>
    </row>
    <row r="44" spans="1:24" ht="54" x14ac:dyDescent="0.25">
      <c r="A44" s="6" t="s">
        <v>354</v>
      </c>
      <c r="B44" s="14">
        <v>46056</v>
      </c>
      <c r="C44" s="14">
        <v>46085</v>
      </c>
      <c r="D44" s="6" t="s">
        <v>355</v>
      </c>
      <c r="E44" s="6" t="s">
        <v>72</v>
      </c>
      <c r="F44" s="6" t="s">
        <v>72</v>
      </c>
      <c r="G44" s="6" t="s">
        <v>204</v>
      </c>
      <c r="H44" s="10">
        <v>90</v>
      </c>
      <c r="I44" s="6"/>
      <c r="J44" s="6"/>
      <c r="K44" s="6" t="s">
        <v>3</v>
      </c>
      <c r="L44" s="6"/>
      <c r="M44" s="10">
        <v>17</v>
      </c>
      <c r="N44" s="6"/>
      <c r="O44" s="6"/>
      <c r="P44" s="17" t="s">
        <v>3</v>
      </c>
      <c r="Q44" s="6" t="s">
        <v>205</v>
      </c>
      <c r="R44" s="17" t="s">
        <v>3</v>
      </c>
      <c r="S44" s="17" t="s">
        <v>356</v>
      </c>
      <c r="T44" s="6" t="s">
        <v>25</v>
      </c>
      <c r="U44" s="6" t="s">
        <v>222</v>
      </c>
      <c r="V44" s="17" t="s">
        <v>357</v>
      </c>
      <c r="W44" s="6">
        <v>474</v>
      </c>
      <c r="X44" s="6" t="s">
        <v>224</v>
      </c>
    </row>
    <row r="45" spans="1:24" ht="54" x14ac:dyDescent="0.25">
      <c r="A45" s="6" t="s">
        <v>358</v>
      </c>
      <c r="B45" s="14">
        <v>46056</v>
      </c>
      <c r="C45" s="14">
        <v>46056</v>
      </c>
      <c r="D45" s="6" t="s">
        <v>359</v>
      </c>
      <c r="E45" s="6" t="s">
        <v>121</v>
      </c>
      <c r="F45" s="6" t="s">
        <v>121</v>
      </c>
      <c r="G45" s="6" t="s">
        <v>204</v>
      </c>
      <c r="H45" s="10">
        <v>213</v>
      </c>
      <c r="I45" s="6"/>
      <c r="J45" s="6"/>
      <c r="K45" s="6" t="s">
        <v>3</v>
      </c>
      <c r="L45" s="6"/>
      <c r="M45" s="10">
        <v>120</v>
      </c>
      <c r="N45" s="6"/>
      <c r="O45" s="6"/>
      <c r="P45" s="17" t="s">
        <v>3</v>
      </c>
      <c r="Q45" s="6" t="s">
        <v>211</v>
      </c>
      <c r="R45" s="17" t="s">
        <v>3</v>
      </c>
      <c r="S45" s="17" t="s">
        <v>360</v>
      </c>
      <c r="T45" s="6" t="s">
        <v>24</v>
      </c>
      <c r="U45" s="6" t="s">
        <v>207</v>
      </c>
      <c r="V45" s="17" t="s">
        <v>3</v>
      </c>
      <c r="W45" s="6">
        <v>327</v>
      </c>
      <c r="X45" s="6" t="s">
        <v>208</v>
      </c>
    </row>
    <row r="46" spans="1:24" ht="67.5" x14ac:dyDescent="0.25">
      <c r="A46" s="6" t="s">
        <v>361</v>
      </c>
      <c r="B46" s="14">
        <v>46057</v>
      </c>
      <c r="C46" s="14">
        <v>46057</v>
      </c>
      <c r="D46" s="6" t="s">
        <v>362</v>
      </c>
      <c r="E46" s="6" t="s">
        <v>40</v>
      </c>
      <c r="F46" s="6" t="s">
        <v>40</v>
      </c>
      <c r="G46" s="6" t="s">
        <v>204</v>
      </c>
      <c r="H46" s="10">
        <v>249</v>
      </c>
      <c r="I46" s="6"/>
      <c r="J46" s="6"/>
      <c r="K46" s="6" t="s">
        <v>3</v>
      </c>
      <c r="L46" s="6"/>
      <c r="M46" s="10">
        <v>85</v>
      </c>
      <c r="N46" s="6"/>
      <c r="O46" s="6"/>
      <c r="P46" s="17" t="s">
        <v>3</v>
      </c>
      <c r="Q46" s="6" t="s">
        <v>211</v>
      </c>
      <c r="R46" s="17" t="s">
        <v>363</v>
      </c>
      <c r="S46" s="17" t="s">
        <v>364</v>
      </c>
      <c r="T46" s="6" t="s">
        <v>25</v>
      </c>
      <c r="U46" s="6" t="s">
        <v>222</v>
      </c>
      <c r="V46" s="17" t="s">
        <v>353</v>
      </c>
      <c r="W46" s="6">
        <v>329</v>
      </c>
      <c r="X46" s="6" t="s">
        <v>224</v>
      </c>
    </row>
    <row r="47" spans="1:24" ht="67.5" x14ac:dyDescent="0.25">
      <c r="A47" s="6" t="s">
        <v>365</v>
      </c>
      <c r="B47" s="14">
        <v>46057</v>
      </c>
      <c r="C47" s="14">
        <v>46057</v>
      </c>
      <c r="D47" s="6" t="s">
        <v>366</v>
      </c>
      <c r="E47" s="6" t="s">
        <v>40</v>
      </c>
      <c r="F47" s="6" t="s">
        <v>40</v>
      </c>
      <c r="G47" s="6" t="s">
        <v>204</v>
      </c>
      <c r="H47" s="10">
        <v>249</v>
      </c>
      <c r="I47" s="6"/>
      <c r="J47" s="6"/>
      <c r="K47" s="6" t="s">
        <v>3</v>
      </c>
      <c r="L47" s="6"/>
      <c r="M47" s="10">
        <v>85</v>
      </c>
      <c r="N47" s="6"/>
      <c r="O47" s="6"/>
      <c r="P47" s="17" t="s">
        <v>3</v>
      </c>
      <c r="Q47" s="6" t="s">
        <v>211</v>
      </c>
      <c r="R47" s="17" t="s">
        <v>367</v>
      </c>
      <c r="S47" s="17" t="s">
        <v>368</v>
      </c>
      <c r="T47" s="6" t="s">
        <v>25</v>
      </c>
      <c r="U47" s="6" t="s">
        <v>222</v>
      </c>
      <c r="V47" s="17" t="s">
        <v>369</v>
      </c>
      <c r="W47" s="6">
        <v>332</v>
      </c>
      <c r="X47" s="6" t="s">
        <v>224</v>
      </c>
    </row>
    <row r="48" spans="1:24" ht="54" x14ac:dyDescent="0.25">
      <c r="A48" s="6" t="s">
        <v>370</v>
      </c>
      <c r="B48" s="14">
        <v>46057</v>
      </c>
      <c r="C48" s="14">
        <v>46057</v>
      </c>
      <c r="D48" s="6" t="s">
        <v>371</v>
      </c>
      <c r="E48" s="6" t="s">
        <v>53</v>
      </c>
      <c r="F48" s="6" t="s">
        <v>244</v>
      </c>
      <c r="G48" s="6" t="s">
        <v>204</v>
      </c>
      <c r="H48" s="10">
        <v>495</v>
      </c>
      <c r="I48" s="6"/>
      <c r="J48" s="6"/>
      <c r="K48" s="6" t="s">
        <v>3</v>
      </c>
      <c r="L48" s="6"/>
      <c r="M48" s="10">
        <v>177</v>
      </c>
      <c r="N48" s="6"/>
      <c r="O48" s="6"/>
      <c r="P48" s="17" t="s">
        <v>3</v>
      </c>
      <c r="Q48" s="6" t="s">
        <v>205</v>
      </c>
      <c r="R48" s="17" t="s">
        <v>3</v>
      </c>
      <c r="S48" s="17" t="s">
        <v>372</v>
      </c>
      <c r="T48" s="6" t="s">
        <v>24</v>
      </c>
      <c r="U48" s="6" t="s">
        <v>207</v>
      </c>
      <c r="V48" s="17" t="s">
        <v>3</v>
      </c>
      <c r="W48" s="6">
        <v>333</v>
      </c>
      <c r="X48" s="6" t="s">
        <v>208</v>
      </c>
    </row>
    <row r="49" spans="1:24" ht="67.5" x14ac:dyDescent="0.25">
      <c r="A49" s="6" t="s">
        <v>373</v>
      </c>
      <c r="B49" s="14">
        <v>46058</v>
      </c>
      <c r="C49" s="14">
        <v>46059</v>
      </c>
      <c r="D49" s="6" t="s">
        <v>374</v>
      </c>
      <c r="E49" s="6" t="s">
        <v>38</v>
      </c>
      <c r="F49" s="6" t="s">
        <v>38</v>
      </c>
      <c r="G49" s="6" t="s">
        <v>236</v>
      </c>
      <c r="H49" s="10">
        <v>72</v>
      </c>
      <c r="I49" s="6"/>
      <c r="J49" s="6"/>
      <c r="K49" s="6" t="s">
        <v>3</v>
      </c>
      <c r="L49" s="10">
        <v>4</v>
      </c>
      <c r="M49" s="6"/>
      <c r="N49" s="6"/>
      <c r="O49" s="6"/>
      <c r="P49" s="17" t="s">
        <v>3</v>
      </c>
      <c r="Q49" s="6" t="s">
        <v>313</v>
      </c>
      <c r="R49" s="17" t="s">
        <v>375</v>
      </c>
      <c r="S49" s="17" t="s">
        <v>376</v>
      </c>
      <c r="T49" s="6" t="s">
        <v>24</v>
      </c>
      <c r="U49" s="6" t="s">
        <v>207</v>
      </c>
      <c r="V49" s="17" t="s">
        <v>3</v>
      </c>
      <c r="W49" s="6">
        <v>335</v>
      </c>
      <c r="X49" s="6" t="s">
        <v>208</v>
      </c>
    </row>
    <row r="50" spans="1:24" ht="54" x14ac:dyDescent="0.25">
      <c r="A50" s="6" t="s">
        <v>377</v>
      </c>
      <c r="B50" s="14">
        <v>46058</v>
      </c>
      <c r="C50" s="14">
        <v>46058</v>
      </c>
      <c r="D50" s="6" t="s">
        <v>378</v>
      </c>
      <c r="E50" s="6" t="s">
        <v>122</v>
      </c>
      <c r="F50" s="6" t="s">
        <v>122</v>
      </c>
      <c r="G50" s="6" t="s">
        <v>263</v>
      </c>
      <c r="H50" s="10">
        <v>59</v>
      </c>
      <c r="I50" s="6"/>
      <c r="J50" s="6"/>
      <c r="K50" s="6" t="s">
        <v>3</v>
      </c>
      <c r="L50" s="6"/>
      <c r="M50" s="10">
        <v>33</v>
      </c>
      <c r="N50" s="6"/>
      <c r="O50" s="6"/>
      <c r="P50" s="17" t="s">
        <v>3</v>
      </c>
      <c r="Q50" s="6" t="s">
        <v>205</v>
      </c>
      <c r="R50" s="17" t="s">
        <v>3</v>
      </c>
      <c r="S50" s="17" t="s">
        <v>379</v>
      </c>
      <c r="T50" s="6" t="s">
        <v>25</v>
      </c>
      <c r="U50" s="6" t="s">
        <v>222</v>
      </c>
      <c r="V50" s="17" t="s">
        <v>267</v>
      </c>
      <c r="W50" s="6">
        <v>334</v>
      </c>
      <c r="X50" s="6" t="s">
        <v>224</v>
      </c>
    </row>
    <row r="51" spans="1:24" ht="67.5" x14ac:dyDescent="0.25">
      <c r="A51" s="6" t="s">
        <v>380</v>
      </c>
      <c r="B51" s="14">
        <v>46059</v>
      </c>
      <c r="C51" s="14">
        <v>46059</v>
      </c>
      <c r="D51" s="6" t="s">
        <v>381</v>
      </c>
      <c r="E51" s="6" t="s">
        <v>38</v>
      </c>
      <c r="F51" s="6" t="s">
        <v>382</v>
      </c>
      <c r="G51" s="6" t="s">
        <v>236</v>
      </c>
      <c r="H51" s="10">
        <v>80</v>
      </c>
      <c r="I51" s="6"/>
      <c r="J51" s="6"/>
      <c r="K51" s="6" t="s">
        <v>3</v>
      </c>
      <c r="L51" s="10">
        <v>5</v>
      </c>
      <c r="M51" s="6"/>
      <c r="N51" s="6"/>
      <c r="O51" s="6"/>
      <c r="P51" s="17" t="s">
        <v>3</v>
      </c>
      <c r="Q51" s="6" t="s">
        <v>313</v>
      </c>
      <c r="R51" s="17" t="s">
        <v>383</v>
      </c>
      <c r="S51" s="17" t="s">
        <v>384</v>
      </c>
      <c r="T51" s="6" t="s">
        <v>24</v>
      </c>
      <c r="U51" s="6" t="s">
        <v>207</v>
      </c>
      <c r="V51" s="17" t="s">
        <v>3</v>
      </c>
      <c r="W51" s="6">
        <v>337</v>
      </c>
      <c r="X51" s="6" t="s">
        <v>208</v>
      </c>
    </row>
    <row r="52" spans="1:24" ht="67.5" x14ac:dyDescent="0.25">
      <c r="A52" s="6" t="s">
        <v>385</v>
      </c>
      <c r="B52" s="14">
        <v>46059</v>
      </c>
      <c r="C52" s="14">
        <v>46059</v>
      </c>
      <c r="D52" s="6" t="s">
        <v>386</v>
      </c>
      <c r="E52" s="6" t="s">
        <v>38</v>
      </c>
      <c r="F52" s="6" t="s">
        <v>38</v>
      </c>
      <c r="G52" s="6" t="s">
        <v>236</v>
      </c>
      <c r="H52" s="10">
        <v>217</v>
      </c>
      <c r="I52" s="6"/>
      <c r="J52" s="6"/>
      <c r="K52" s="6" t="s">
        <v>3</v>
      </c>
      <c r="L52" s="10">
        <v>105</v>
      </c>
      <c r="M52" s="6"/>
      <c r="N52" s="6"/>
      <c r="O52" s="6"/>
      <c r="P52" s="17" t="s">
        <v>3</v>
      </c>
      <c r="Q52" s="6" t="s">
        <v>211</v>
      </c>
      <c r="R52" s="17" t="s">
        <v>3</v>
      </c>
      <c r="S52" s="17" t="s">
        <v>387</v>
      </c>
      <c r="T52" s="6" t="s">
        <v>24</v>
      </c>
      <c r="U52" s="6" t="s">
        <v>207</v>
      </c>
      <c r="V52" s="17" t="s">
        <v>3</v>
      </c>
      <c r="W52" s="6">
        <v>338</v>
      </c>
      <c r="X52" s="6" t="s">
        <v>208</v>
      </c>
    </row>
    <row r="53" spans="1:24" ht="54" x14ac:dyDescent="0.25">
      <c r="A53" s="6" t="s">
        <v>388</v>
      </c>
      <c r="B53" s="14">
        <v>46059</v>
      </c>
      <c r="C53" s="14">
        <v>46059</v>
      </c>
      <c r="D53" s="6" t="s">
        <v>389</v>
      </c>
      <c r="E53" s="6" t="s">
        <v>72</v>
      </c>
      <c r="F53" s="6" t="s">
        <v>72</v>
      </c>
      <c r="G53" s="6" t="s">
        <v>204</v>
      </c>
      <c r="H53" s="10">
        <v>411</v>
      </c>
      <c r="I53" s="6"/>
      <c r="J53" s="6"/>
      <c r="K53" s="6" t="s">
        <v>3</v>
      </c>
      <c r="L53" s="6"/>
      <c r="M53" s="6"/>
      <c r="N53" s="6"/>
      <c r="O53" s="6"/>
      <c r="P53" s="17" t="s">
        <v>3</v>
      </c>
      <c r="Q53" s="6" t="s">
        <v>205</v>
      </c>
      <c r="R53" s="17" t="s">
        <v>3</v>
      </c>
      <c r="S53" s="17" t="s">
        <v>390</v>
      </c>
      <c r="T53" s="6" t="s">
        <v>24</v>
      </c>
      <c r="U53" s="6" t="s">
        <v>207</v>
      </c>
      <c r="V53" s="17" t="s">
        <v>3</v>
      </c>
      <c r="W53" s="6">
        <v>339</v>
      </c>
      <c r="X53" s="6" t="s">
        <v>208</v>
      </c>
    </row>
    <row r="54" spans="1:24" ht="40.5" x14ac:dyDescent="0.25">
      <c r="A54" s="6" t="s">
        <v>391</v>
      </c>
      <c r="B54" s="14">
        <v>46059</v>
      </c>
      <c r="C54" s="14">
        <v>46059</v>
      </c>
      <c r="D54" s="6" t="s">
        <v>392</v>
      </c>
      <c r="E54" s="6" t="s">
        <v>47</v>
      </c>
      <c r="F54" s="6" t="s">
        <v>393</v>
      </c>
      <c r="G54" s="6" t="s">
        <v>204</v>
      </c>
      <c r="H54" s="10">
        <v>190</v>
      </c>
      <c r="I54" s="6"/>
      <c r="J54" s="6"/>
      <c r="K54" s="6" t="s">
        <v>3</v>
      </c>
      <c r="L54" s="6"/>
      <c r="M54" s="6"/>
      <c r="N54" s="6"/>
      <c r="O54" s="6"/>
      <c r="P54" s="17" t="s">
        <v>3</v>
      </c>
      <c r="Q54" s="6" t="s">
        <v>228</v>
      </c>
      <c r="R54" s="17" t="s">
        <v>3</v>
      </c>
      <c r="S54" s="17" t="s">
        <v>394</v>
      </c>
      <c r="T54" s="6" t="s">
        <v>24</v>
      </c>
      <c r="U54" s="6" t="s">
        <v>207</v>
      </c>
      <c r="V54" s="17" t="s">
        <v>3</v>
      </c>
      <c r="W54" s="6">
        <v>336</v>
      </c>
      <c r="X54" s="6" t="s">
        <v>208</v>
      </c>
    </row>
    <row r="55" spans="1:24" ht="40.5" x14ac:dyDescent="0.25">
      <c r="A55" s="6" t="s">
        <v>395</v>
      </c>
      <c r="B55" s="14">
        <v>46059</v>
      </c>
      <c r="C55" s="14">
        <v>46059</v>
      </c>
      <c r="D55" s="6" t="s">
        <v>392</v>
      </c>
      <c r="E55" s="6" t="s">
        <v>47</v>
      </c>
      <c r="F55" s="6" t="s">
        <v>393</v>
      </c>
      <c r="G55" s="6" t="s">
        <v>204</v>
      </c>
      <c r="H55" s="10">
        <v>170</v>
      </c>
      <c r="I55" s="6"/>
      <c r="J55" s="6"/>
      <c r="K55" s="6" t="s">
        <v>3</v>
      </c>
      <c r="L55" s="6"/>
      <c r="M55" s="6"/>
      <c r="N55" s="6"/>
      <c r="O55" s="6"/>
      <c r="P55" s="17" t="s">
        <v>3</v>
      </c>
      <c r="Q55" s="6" t="s">
        <v>228</v>
      </c>
      <c r="R55" s="17" t="s">
        <v>3</v>
      </c>
      <c r="S55" s="17" t="s">
        <v>394</v>
      </c>
      <c r="T55" s="6" t="s">
        <v>24</v>
      </c>
      <c r="U55" s="6" t="s">
        <v>207</v>
      </c>
      <c r="V55" s="17" t="s">
        <v>3</v>
      </c>
      <c r="W55" s="6">
        <v>336</v>
      </c>
      <c r="X55" s="6" t="s">
        <v>208</v>
      </c>
    </row>
    <row r="56" spans="1:24" ht="81" x14ac:dyDescent="0.25">
      <c r="A56" s="6" t="s">
        <v>396</v>
      </c>
      <c r="B56" s="14">
        <v>46060</v>
      </c>
      <c r="C56" s="14">
        <v>46060</v>
      </c>
      <c r="D56" s="6" t="s">
        <v>397</v>
      </c>
      <c r="E56" s="6" t="s">
        <v>38</v>
      </c>
      <c r="F56" s="6" t="s">
        <v>38</v>
      </c>
      <c r="G56" s="6" t="s">
        <v>236</v>
      </c>
      <c r="H56" s="10">
        <v>150</v>
      </c>
      <c r="I56" s="6"/>
      <c r="J56" s="6"/>
      <c r="K56" s="6" t="s">
        <v>3</v>
      </c>
      <c r="L56" s="10">
        <v>75</v>
      </c>
      <c r="M56" s="6"/>
      <c r="N56" s="6"/>
      <c r="O56" s="6"/>
      <c r="P56" s="17" t="s">
        <v>3</v>
      </c>
      <c r="Q56" s="6" t="s">
        <v>211</v>
      </c>
      <c r="R56" s="17" t="s">
        <v>398</v>
      </c>
      <c r="S56" s="17" t="s">
        <v>399</v>
      </c>
      <c r="T56" s="6" t="s">
        <v>24</v>
      </c>
      <c r="U56" s="6" t="s">
        <v>207</v>
      </c>
      <c r="V56" s="17" t="s">
        <v>3</v>
      </c>
      <c r="W56" s="6">
        <v>340</v>
      </c>
      <c r="X56" s="6" t="s">
        <v>208</v>
      </c>
    </row>
    <row r="57" spans="1:24" ht="67.5" x14ac:dyDescent="0.25">
      <c r="A57" s="6" t="s">
        <v>400</v>
      </c>
      <c r="B57" s="14">
        <v>46060</v>
      </c>
      <c r="C57" s="14">
        <v>46060</v>
      </c>
      <c r="D57" s="6" t="s">
        <v>401</v>
      </c>
      <c r="E57" s="6" t="s">
        <v>38</v>
      </c>
      <c r="F57" s="6" t="s">
        <v>38</v>
      </c>
      <c r="G57" s="6" t="s">
        <v>236</v>
      </c>
      <c r="H57" s="10">
        <v>195</v>
      </c>
      <c r="I57" s="6"/>
      <c r="J57" s="6"/>
      <c r="K57" s="6" t="s">
        <v>3</v>
      </c>
      <c r="L57" s="10">
        <v>78</v>
      </c>
      <c r="M57" s="6"/>
      <c r="N57" s="6"/>
      <c r="O57" s="6"/>
      <c r="P57" s="17" t="s">
        <v>3</v>
      </c>
      <c r="Q57" s="6" t="s">
        <v>313</v>
      </c>
      <c r="R57" s="17" t="s">
        <v>402</v>
      </c>
      <c r="S57" s="17" t="s">
        <v>403</v>
      </c>
      <c r="T57" s="6" t="s">
        <v>25</v>
      </c>
      <c r="U57" s="6" t="s">
        <v>222</v>
      </c>
      <c r="V57" s="17" t="s">
        <v>404</v>
      </c>
      <c r="W57" s="6">
        <v>342</v>
      </c>
      <c r="X57" s="6" t="s">
        <v>224</v>
      </c>
    </row>
    <row r="58" spans="1:24" ht="67.5" x14ac:dyDescent="0.25">
      <c r="A58" s="6" t="s">
        <v>405</v>
      </c>
      <c r="B58" s="14">
        <v>46061</v>
      </c>
      <c r="C58" s="14">
        <v>46061</v>
      </c>
      <c r="D58" s="6" t="s">
        <v>406</v>
      </c>
      <c r="E58" s="6" t="s">
        <v>38</v>
      </c>
      <c r="F58" s="6" t="s">
        <v>38</v>
      </c>
      <c r="G58" s="6" t="s">
        <v>407</v>
      </c>
      <c r="H58" s="10">
        <v>105</v>
      </c>
      <c r="I58" s="6"/>
      <c r="J58" s="6"/>
      <c r="K58" s="6" t="s">
        <v>3</v>
      </c>
      <c r="L58" s="10">
        <v>2</v>
      </c>
      <c r="M58" s="6"/>
      <c r="N58" s="6"/>
      <c r="O58" s="6"/>
      <c r="P58" s="17" t="s">
        <v>408</v>
      </c>
      <c r="Q58" s="6" t="s">
        <v>313</v>
      </c>
      <c r="R58" s="17" t="s">
        <v>409</v>
      </c>
      <c r="S58" s="17" t="s">
        <v>410</v>
      </c>
      <c r="T58" s="6" t="s">
        <v>24</v>
      </c>
      <c r="U58" s="6" t="s">
        <v>207</v>
      </c>
      <c r="V58" s="17" t="s">
        <v>3</v>
      </c>
      <c r="W58" s="6">
        <v>344</v>
      </c>
      <c r="X58" s="6" t="s">
        <v>208</v>
      </c>
    </row>
    <row r="59" spans="1:24" ht="67.5" x14ac:dyDescent="0.25">
      <c r="A59" s="6" t="s">
        <v>411</v>
      </c>
      <c r="B59" s="14">
        <v>46061</v>
      </c>
      <c r="C59" s="14">
        <v>46061</v>
      </c>
      <c r="D59" s="6" t="s">
        <v>406</v>
      </c>
      <c r="E59" s="6" t="s">
        <v>38</v>
      </c>
      <c r="F59" s="6" t="s">
        <v>38</v>
      </c>
      <c r="G59" s="6" t="s">
        <v>407</v>
      </c>
      <c r="H59" s="10">
        <v>30</v>
      </c>
      <c r="I59" s="6"/>
      <c r="J59" s="6"/>
      <c r="K59" s="6" t="s">
        <v>3</v>
      </c>
      <c r="L59" s="10">
        <v>2</v>
      </c>
      <c r="M59" s="6"/>
      <c r="N59" s="6"/>
      <c r="O59" s="6"/>
      <c r="P59" s="17" t="s">
        <v>408</v>
      </c>
      <c r="Q59" s="6" t="s">
        <v>313</v>
      </c>
      <c r="R59" s="17" t="s">
        <v>409</v>
      </c>
      <c r="S59" s="17" t="s">
        <v>410</v>
      </c>
      <c r="T59" s="6" t="s">
        <v>24</v>
      </c>
      <c r="U59" s="6" t="s">
        <v>207</v>
      </c>
      <c r="V59" s="17" t="s">
        <v>3</v>
      </c>
      <c r="W59" s="6">
        <v>344</v>
      </c>
      <c r="X59" s="6" t="s">
        <v>208</v>
      </c>
    </row>
    <row r="60" spans="1:24" ht="54" x14ac:dyDescent="0.25">
      <c r="A60" s="6" t="s">
        <v>412</v>
      </c>
      <c r="B60" s="14">
        <v>46062</v>
      </c>
      <c r="C60" s="14">
        <v>46062</v>
      </c>
      <c r="D60" s="6" t="s">
        <v>413</v>
      </c>
      <c r="E60" s="6" t="s">
        <v>40</v>
      </c>
      <c r="F60" s="6" t="s">
        <v>414</v>
      </c>
      <c r="G60" s="6" t="s">
        <v>204</v>
      </c>
      <c r="H60" s="10">
        <v>345</v>
      </c>
      <c r="I60" s="6"/>
      <c r="J60" s="6"/>
      <c r="K60" s="6" t="s">
        <v>3</v>
      </c>
      <c r="L60" s="6"/>
      <c r="M60" s="10">
        <v>56</v>
      </c>
      <c r="N60" s="6"/>
      <c r="O60" s="6"/>
      <c r="P60" s="17" t="s">
        <v>3</v>
      </c>
      <c r="Q60" s="6" t="s">
        <v>205</v>
      </c>
      <c r="R60" s="17" t="s">
        <v>3</v>
      </c>
      <c r="S60" s="17" t="s">
        <v>415</v>
      </c>
      <c r="T60" s="6" t="s">
        <v>24</v>
      </c>
      <c r="U60" s="6" t="s">
        <v>207</v>
      </c>
      <c r="V60" s="17" t="s">
        <v>3</v>
      </c>
      <c r="W60" s="6">
        <v>345</v>
      </c>
      <c r="X60" s="6" t="s">
        <v>208</v>
      </c>
    </row>
    <row r="61" spans="1:24" ht="54" x14ac:dyDescent="0.25">
      <c r="A61" s="6" t="s">
        <v>416</v>
      </c>
      <c r="B61" s="14">
        <v>46063</v>
      </c>
      <c r="C61" s="14">
        <v>46063</v>
      </c>
      <c r="D61" s="6" t="s">
        <v>417</v>
      </c>
      <c r="E61" s="6" t="s">
        <v>73</v>
      </c>
      <c r="F61" s="6" t="s">
        <v>73</v>
      </c>
      <c r="G61" s="6" t="s">
        <v>263</v>
      </c>
      <c r="H61" s="10">
        <v>384</v>
      </c>
      <c r="I61" s="6"/>
      <c r="J61" s="6"/>
      <c r="K61" s="6" t="s">
        <v>3</v>
      </c>
      <c r="L61" s="6"/>
      <c r="M61" s="10">
        <v>71</v>
      </c>
      <c r="N61" s="6"/>
      <c r="O61" s="6"/>
      <c r="P61" s="17" t="s">
        <v>3</v>
      </c>
      <c r="Q61" s="6" t="s">
        <v>205</v>
      </c>
      <c r="R61" s="17" t="s">
        <v>3</v>
      </c>
      <c r="S61" s="17" t="s">
        <v>418</v>
      </c>
      <c r="T61" s="6" t="s">
        <v>25</v>
      </c>
      <c r="U61" s="6" t="s">
        <v>222</v>
      </c>
      <c r="V61" s="17" t="s">
        <v>267</v>
      </c>
      <c r="W61" s="6">
        <v>348</v>
      </c>
      <c r="X61" s="6" t="s">
        <v>224</v>
      </c>
    </row>
    <row r="62" spans="1:24" ht="54" x14ac:dyDescent="0.25">
      <c r="A62" s="6" t="s">
        <v>419</v>
      </c>
      <c r="B62" s="14">
        <v>46063</v>
      </c>
      <c r="C62" s="14">
        <v>46063</v>
      </c>
      <c r="D62" s="6" t="s">
        <v>420</v>
      </c>
      <c r="E62" s="6" t="s">
        <v>40</v>
      </c>
      <c r="F62" s="6" t="s">
        <v>40</v>
      </c>
      <c r="G62" s="6" t="s">
        <v>236</v>
      </c>
      <c r="H62" s="10">
        <v>172</v>
      </c>
      <c r="I62" s="6"/>
      <c r="J62" s="6"/>
      <c r="K62" s="6" t="s">
        <v>3</v>
      </c>
      <c r="L62" s="10">
        <v>40</v>
      </c>
      <c r="M62" s="6"/>
      <c r="N62" s="6"/>
      <c r="O62" s="6"/>
      <c r="P62" s="17" t="s">
        <v>3</v>
      </c>
      <c r="Q62" s="6" t="s">
        <v>211</v>
      </c>
      <c r="R62" s="17" t="s">
        <v>421</v>
      </c>
      <c r="S62" s="17" t="s">
        <v>422</v>
      </c>
      <c r="T62" s="6" t="s">
        <v>24</v>
      </c>
      <c r="U62" s="6" t="s">
        <v>207</v>
      </c>
      <c r="V62" s="17" t="s">
        <v>3</v>
      </c>
      <c r="W62" s="6">
        <v>346</v>
      </c>
      <c r="X62" s="6" t="s">
        <v>208</v>
      </c>
    </row>
    <row r="63" spans="1:24" ht="54" x14ac:dyDescent="0.25">
      <c r="A63" s="6" t="s">
        <v>423</v>
      </c>
      <c r="B63" s="14">
        <v>46063</v>
      </c>
      <c r="C63" s="14">
        <v>46063</v>
      </c>
      <c r="D63" s="6" t="s">
        <v>424</v>
      </c>
      <c r="E63" s="6" t="s">
        <v>40</v>
      </c>
      <c r="F63" s="6" t="s">
        <v>40</v>
      </c>
      <c r="G63" s="6" t="s">
        <v>236</v>
      </c>
      <c r="H63" s="10">
        <v>172</v>
      </c>
      <c r="I63" s="6"/>
      <c r="J63" s="6"/>
      <c r="K63" s="6" t="s">
        <v>3</v>
      </c>
      <c r="L63" s="10">
        <v>40</v>
      </c>
      <c r="M63" s="6"/>
      <c r="N63" s="6"/>
      <c r="O63" s="6"/>
      <c r="P63" s="17" t="s">
        <v>3</v>
      </c>
      <c r="Q63" s="6" t="s">
        <v>211</v>
      </c>
      <c r="R63" s="17" t="s">
        <v>425</v>
      </c>
      <c r="S63" s="17" t="s">
        <v>426</v>
      </c>
      <c r="T63" s="6" t="s">
        <v>25</v>
      </c>
      <c r="U63" s="6" t="s">
        <v>222</v>
      </c>
      <c r="V63" s="17" t="s">
        <v>427</v>
      </c>
      <c r="W63" s="6">
        <v>347</v>
      </c>
      <c r="X63" s="6" t="s">
        <v>224</v>
      </c>
    </row>
    <row r="64" spans="1:24" ht="54" x14ac:dyDescent="0.25">
      <c r="A64" s="6" t="s">
        <v>428</v>
      </c>
      <c r="B64" s="14">
        <v>46063</v>
      </c>
      <c r="C64" s="14">
        <v>46063</v>
      </c>
      <c r="D64" s="6" t="s">
        <v>429</v>
      </c>
      <c r="E64" s="6" t="s">
        <v>159</v>
      </c>
      <c r="F64" s="6" t="s">
        <v>159</v>
      </c>
      <c r="G64" s="6" t="s">
        <v>263</v>
      </c>
      <c r="H64" s="10">
        <v>175</v>
      </c>
      <c r="I64" s="6"/>
      <c r="J64" s="6"/>
      <c r="K64" s="6" t="s">
        <v>3</v>
      </c>
      <c r="L64" s="6"/>
      <c r="M64" s="6"/>
      <c r="N64" s="6"/>
      <c r="O64" s="6"/>
      <c r="P64" s="17" t="s">
        <v>3</v>
      </c>
      <c r="Q64" s="6" t="s">
        <v>313</v>
      </c>
      <c r="R64" s="17" t="s">
        <v>3</v>
      </c>
      <c r="S64" s="17" t="s">
        <v>430</v>
      </c>
      <c r="T64" s="6" t="s">
        <v>25</v>
      </c>
      <c r="U64" s="6" t="s">
        <v>222</v>
      </c>
      <c r="V64" s="17" t="s">
        <v>267</v>
      </c>
      <c r="W64" s="6">
        <v>349</v>
      </c>
      <c r="X64" s="6" t="s">
        <v>224</v>
      </c>
    </row>
    <row r="65" spans="1:24" ht="81" x14ac:dyDescent="0.25">
      <c r="A65" s="6" t="s">
        <v>431</v>
      </c>
      <c r="B65" s="14">
        <v>46064</v>
      </c>
      <c r="C65" s="14">
        <v>46064</v>
      </c>
      <c r="D65" s="6" t="s">
        <v>432</v>
      </c>
      <c r="E65" s="6" t="s">
        <v>38</v>
      </c>
      <c r="F65" s="6" t="s">
        <v>38</v>
      </c>
      <c r="G65" s="6" t="s">
        <v>236</v>
      </c>
      <c r="H65" s="10">
        <v>110</v>
      </c>
      <c r="I65" s="6"/>
      <c r="J65" s="6"/>
      <c r="K65" s="6" t="s">
        <v>3</v>
      </c>
      <c r="L65" s="10">
        <v>57</v>
      </c>
      <c r="M65" s="6"/>
      <c r="N65" s="6"/>
      <c r="O65" s="6"/>
      <c r="P65" s="17" t="s">
        <v>3</v>
      </c>
      <c r="Q65" s="6" t="s">
        <v>313</v>
      </c>
      <c r="R65" s="17" t="s">
        <v>433</v>
      </c>
      <c r="S65" s="17" t="s">
        <v>434</v>
      </c>
      <c r="T65" s="6" t="s">
        <v>24</v>
      </c>
      <c r="U65" s="6" t="s">
        <v>207</v>
      </c>
      <c r="V65" s="17" t="s">
        <v>3</v>
      </c>
      <c r="W65" s="6">
        <v>352</v>
      </c>
      <c r="X65" s="6" t="s">
        <v>208</v>
      </c>
    </row>
    <row r="66" spans="1:24" ht="54" x14ac:dyDescent="0.25">
      <c r="A66" s="6" t="s">
        <v>435</v>
      </c>
      <c r="B66" s="14">
        <v>46064</v>
      </c>
      <c r="C66" s="14">
        <v>46064</v>
      </c>
      <c r="D66" s="6" t="s">
        <v>436</v>
      </c>
      <c r="E66" s="6" t="s">
        <v>73</v>
      </c>
      <c r="F66" s="6" t="s">
        <v>73</v>
      </c>
      <c r="G66" s="6" t="s">
        <v>263</v>
      </c>
      <c r="H66" s="10">
        <v>345</v>
      </c>
      <c r="I66" s="6"/>
      <c r="J66" s="6"/>
      <c r="K66" s="6" t="s">
        <v>3</v>
      </c>
      <c r="L66" s="6"/>
      <c r="M66" s="10">
        <v>61</v>
      </c>
      <c r="N66" s="6"/>
      <c r="O66" s="6"/>
      <c r="P66" s="17" t="s">
        <v>3</v>
      </c>
      <c r="Q66" s="6" t="s">
        <v>205</v>
      </c>
      <c r="R66" s="17" t="s">
        <v>3</v>
      </c>
      <c r="S66" s="17" t="s">
        <v>437</v>
      </c>
      <c r="T66" s="6" t="s">
        <v>25</v>
      </c>
      <c r="U66" s="6" t="s">
        <v>222</v>
      </c>
      <c r="V66" s="17" t="s">
        <v>267</v>
      </c>
      <c r="W66" s="6">
        <v>353</v>
      </c>
      <c r="X66" s="6" t="s">
        <v>224</v>
      </c>
    </row>
    <row r="67" spans="1:24" ht="54" x14ac:dyDescent="0.25">
      <c r="A67" s="6" t="s">
        <v>438</v>
      </c>
      <c r="B67" s="14">
        <v>46064</v>
      </c>
      <c r="C67" s="14">
        <v>46064</v>
      </c>
      <c r="D67" s="6" t="s">
        <v>439</v>
      </c>
      <c r="E67" s="6" t="s">
        <v>40</v>
      </c>
      <c r="F67" s="6" t="s">
        <v>40</v>
      </c>
      <c r="G67" s="6" t="s">
        <v>236</v>
      </c>
      <c r="H67" s="10">
        <v>232</v>
      </c>
      <c r="I67" s="6"/>
      <c r="J67" s="6"/>
      <c r="K67" s="6" t="s">
        <v>3</v>
      </c>
      <c r="L67" s="10">
        <v>55</v>
      </c>
      <c r="M67" s="6"/>
      <c r="N67" s="6"/>
      <c r="O67" s="6"/>
      <c r="P67" s="17" t="s">
        <v>3</v>
      </c>
      <c r="Q67" s="6" t="s">
        <v>211</v>
      </c>
      <c r="R67" s="17" t="s">
        <v>440</v>
      </c>
      <c r="S67" s="17" t="s">
        <v>441</v>
      </c>
      <c r="T67" s="6" t="s">
        <v>24</v>
      </c>
      <c r="U67" s="6" t="s">
        <v>207</v>
      </c>
      <c r="V67" s="17" t="s">
        <v>3</v>
      </c>
      <c r="W67" s="6">
        <v>350</v>
      </c>
      <c r="X67" s="6" t="s">
        <v>208</v>
      </c>
    </row>
    <row r="68" spans="1:24" ht="54" x14ac:dyDescent="0.25">
      <c r="A68" s="6" t="s">
        <v>442</v>
      </c>
      <c r="B68" s="14">
        <v>46064</v>
      </c>
      <c r="C68" s="14">
        <v>46064</v>
      </c>
      <c r="D68" s="6" t="s">
        <v>443</v>
      </c>
      <c r="E68" s="6" t="s">
        <v>40</v>
      </c>
      <c r="F68" s="6" t="s">
        <v>40</v>
      </c>
      <c r="G68" s="6" t="s">
        <v>236</v>
      </c>
      <c r="H68" s="10">
        <v>232</v>
      </c>
      <c r="I68" s="6"/>
      <c r="J68" s="6"/>
      <c r="K68" s="6" t="s">
        <v>3</v>
      </c>
      <c r="L68" s="10">
        <v>55</v>
      </c>
      <c r="M68" s="6"/>
      <c r="N68" s="6"/>
      <c r="O68" s="6"/>
      <c r="P68" s="17" t="s">
        <v>3</v>
      </c>
      <c r="Q68" s="6" t="s">
        <v>211</v>
      </c>
      <c r="R68" s="17" t="s">
        <v>444</v>
      </c>
      <c r="S68" s="17" t="s">
        <v>445</v>
      </c>
      <c r="T68" s="6" t="s">
        <v>25</v>
      </c>
      <c r="U68" s="6" t="s">
        <v>222</v>
      </c>
      <c r="V68" s="17" t="s">
        <v>446</v>
      </c>
      <c r="W68" s="6">
        <v>351</v>
      </c>
      <c r="X68" s="6" t="s">
        <v>224</v>
      </c>
    </row>
    <row r="69" spans="1:24" ht="81" x14ac:dyDescent="0.25">
      <c r="A69" s="6" t="s">
        <v>447</v>
      </c>
      <c r="B69" s="14">
        <v>46065</v>
      </c>
      <c r="C69" s="14">
        <v>46065</v>
      </c>
      <c r="D69" s="6" t="s">
        <v>448</v>
      </c>
      <c r="E69" s="6" t="s">
        <v>38</v>
      </c>
      <c r="F69" s="6" t="s">
        <v>38</v>
      </c>
      <c r="G69" s="6" t="s">
        <v>236</v>
      </c>
      <c r="H69" s="10">
        <v>60</v>
      </c>
      <c r="I69" s="6"/>
      <c r="J69" s="6"/>
      <c r="K69" s="6" t="s">
        <v>3</v>
      </c>
      <c r="L69" s="10">
        <v>31</v>
      </c>
      <c r="M69" s="6"/>
      <c r="N69" s="6"/>
      <c r="O69" s="6"/>
      <c r="P69" s="17" t="s">
        <v>3</v>
      </c>
      <c r="Q69" s="6" t="s">
        <v>313</v>
      </c>
      <c r="R69" s="17" t="s">
        <v>449</v>
      </c>
      <c r="S69" s="17" t="s">
        <v>450</v>
      </c>
      <c r="T69" s="6" t="s">
        <v>24</v>
      </c>
      <c r="U69" s="6" t="s">
        <v>207</v>
      </c>
      <c r="V69" s="17" t="s">
        <v>3</v>
      </c>
      <c r="W69" s="6">
        <v>358</v>
      </c>
      <c r="X69" s="6" t="s">
        <v>208</v>
      </c>
    </row>
    <row r="70" spans="1:24" ht="67.5" x14ac:dyDescent="0.25">
      <c r="A70" s="6" t="s">
        <v>451</v>
      </c>
      <c r="B70" s="14">
        <v>46065</v>
      </c>
      <c r="C70" s="14">
        <v>46065</v>
      </c>
      <c r="D70" s="6" t="s">
        <v>452</v>
      </c>
      <c r="E70" s="6" t="s">
        <v>38</v>
      </c>
      <c r="F70" s="6" t="s">
        <v>248</v>
      </c>
      <c r="G70" s="6" t="s">
        <v>204</v>
      </c>
      <c r="H70" s="10">
        <v>215</v>
      </c>
      <c r="I70" s="6"/>
      <c r="J70" s="6"/>
      <c r="K70" s="6" t="s">
        <v>453</v>
      </c>
      <c r="L70" s="6"/>
      <c r="M70" s="10">
        <v>60</v>
      </c>
      <c r="N70" s="6"/>
      <c r="O70" s="6"/>
      <c r="P70" s="17" t="s">
        <v>3</v>
      </c>
      <c r="Q70" s="6" t="s">
        <v>205</v>
      </c>
      <c r="R70" s="17" t="s">
        <v>454</v>
      </c>
      <c r="S70" s="17" t="s">
        <v>455</v>
      </c>
      <c r="T70" s="6" t="s">
        <v>25</v>
      </c>
      <c r="U70" s="6" t="s">
        <v>222</v>
      </c>
      <c r="V70" s="17" t="s">
        <v>404</v>
      </c>
      <c r="W70" s="6">
        <v>362</v>
      </c>
      <c r="X70" s="6" t="s">
        <v>224</v>
      </c>
    </row>
    <row r="71" spans="1:24" ht="54" x14ac:dyDescent="0.25">
      <c r="A71" s="6" t="s">
        <v>456</v>
      </c>
      <c r="B71" s="14">
        <v>46065</v>
      </c>
      <c r="C71" s="14">
        <v>46065</v>
      </c>
      <c r="D71" s="6" t="s">
        <v>457</v>
      </c>
      <c r="E71" s="6" t="s">
        <v>40</v>
      </c>
      <c r="F71" s="6" t="s">
        <v>40</v>
      </c>
      <c r="G71" s="6" t="s">
        <v>236</v>
      </c>
      <c r="H71" s="10">
        <v>135</v>
      </c>
      <c r="I71" s="6"/>
      <c r="J71" s="6"/>
      <c r="K71" s="6" t="s">
        <v>3</v>
      </c>
      <c r="L71" s="10">
        <v>40</v>
      </c>
      <c r="M71" s="6"/>
      <c r="N71" s="6"/>
      <c r="O71" s="6"/>
      <c r="P71" s="17" t="s">
        <v>3</v>
      </c>
      <c r="Q71" s="6" t="s">
        <v>211</v>
      </c>
      <c r="R71" s="17" t="s">
        <v>458</v>
      </c>
      <c r="S71" s="17" t="s">
        <v>459</v>
      </c>
      <c r="T71" s="6" t="s">
        <v>24</v>
      </c>
      <c r="U71" s="6" t="s">
        <v>207</v>
      </c>
      <c r="V71" s="17" t="s">
        <v>3</v>
      </c>
      <c r="W71" s="6">
        <v>365</v>
      </c>
      <c r="X71" s="6" t="s">
        <v>208</v>
      </c>
    </row>
    <row r="72" spans="1:24" ht="54" x14ac:dyDescent="0.25">
      <c r="A72" s="6" t="s">
        <v>460</v>
      </c>
      <c r="B72" s="14">
        <v>46065</v>
      </c>
      <c r="C72" s="14">
        <v>46065</v>
      </c>
      <c r="D72" s="6" t="s">
        <v>461</v>
      </c>
      <c r="E72" s="6" t="s">
        <v>40</v>
      </c>
      <c r="F72" s="6" t="s">
        <v>40</v>
      </c>
      <c r="G72" s="6" t="s">
        <v>236</v>
      </c>
      <c r="H72" s="10">
        <v>135</v>
      </c>
      <c r="I72" s="6"/>
      <c r="J72" s="6"/>
      <c r="K72" s="6" t="s">
        <v>3</v>
      </c>
      <c r="L72" s="10">
        <v>40</v>
      </c>
      <c r="M72" s="6"/>
      <c r="N72" s="6"/>
      <c r="O72" s="6"/>
      <c r="P72" s="17" t="s">
        <v>3</v>
      </c>
      <c r="Q72" s="6" t="s">
        <v>211</v>
      </c>
      <c r="R72" s="17" t="s">
        <v>462</v>
      </c>
      <c r="S72" s="17" t="s">
        <v>463</v>
      </c>
      <c r="T72" s="6" t="s">
        <v>25</v>
      </c>
      <c r="U72" s="6" t="s">
        <v>222</v>
      </c>
      <c r="V72" s="17" t="s">
        <v>464</v>
      </c>
      <c r="W72" s="6">
        <v>366</v>
      </c>
      <c r="X72" s="6" t="s">
        <v>224</v>
      </c>
    </row>
    <row r="73" spans="1:24" ht="27" x14ac:dyDescent="0.25">
      <c r="A73" s="6" t="s">
        <v>465</v>
      </c>
      <c r="B73" s="14">
        <v>46065</v>
      </c>
      <c r="C73" s="14">
        <v>46065</v>
      </c>
      <c r="D73" s="6" t="s">
        <v>466</v>
      </c>
      <c r="E73" s="6" t="s">
        <v>124</v>
      </c>
      <c r="F73" s="6" t="s">
        <v>124</v>
      </c>
      <c r="G73" s="6" t="s">
        <v>263</v>
      </c>
      <c r="H73" s="10">
        <v>427</v>
      </c>
      <c r="I73" s="6"/>
      <c r="J73" s="6"/>
      <c r="K73" s="6" t="s">
        <v>467</v>
      </c>
      <c r="L73" s="6"/>
      <c r="M73" s="6"/>
      <c r="N73" s="6"/>
      <c r="O73" s="6"/>
      <c r="P73" s="17" t="s">
        <v>3</v>
      </c>
      <c r="Q73" s="6" t="s">
        <v>468</v>
      </c>
      <c r="R73" s="17" t="s">
        <v>469</v>
      </c>
      <c r="S73" s="17" t="s">
        <v>470</v>
      </c>
      <c r="T73" s="6" t="s">
        <v>25</v>
      </c>
      <c r="U73" s="6" t="s">
        <v>222</v>
      </c>
      <c r="V73" s="17" t="s">
        <v>267</v>
      </c>
      <c r="W73" s="6">
        <v>359</v>
      </c>
      <c r="X73" s="6" t="s">
        <v>224</v>
      </c>
    </row>
    <row r="74" spans="1:24" x14ac:dyDescent="0.25">
      <c r="A74" s="6" t="s">
        <v>471</v>
      </c>
      <c r="B74" s="14">
        <v>46065</v>
      </c>
      <c r="C74" s="14">
        <v>46065</v>
      </c>
      <c r="D74" s="6" t="s">
        <v>472</v>
      </c>
      <c r="E74" s="6" t="s">
        <v>45</v>
      </c>
      <c r="F74" s="6" t="s">
        <v>3</v>
      </c>
      <c r="G74" s="6" t="s">
        <v>263</v>
      </c>
      <c r="H74" s="10">
        <v>427</v>
      </c>
      <c r="I74" s="6"/>
      <c r="J74" s="6"/>
      <c r="K74" s="6" t="s">
        <v>3</v>
      </c>
      <c r="L74" s="6"/>
      <c r="M74" s="6"/>
      <c r="N74" s="6"/>
      <c r="O74" s="6"/>
      <c r="P74" s="17" t="s">
        <v>3</v>
      </c>
      <c r="Q74" s="6" t="s">
        <v>468</v>
      </c>
      <c r="R74" s="17" t="s">
        <v>3</v>
      </c>
      <c r="S74" s="17" t="s">
        <v>473</v>
      </c>
      <c r="T74" s="6" t="s">
        <v>26</v>
      </c>
      <c r="U74" s="6" t="s">
        <v>222</v>
      </c>
      <c r="V74" s="17" t="s">
        <v>474</v>
      </c>
      <c r="W74" s="6">
        <v>361</v>
      </c>
      <c r="X74" s="6" t="s">
        <v>224</v>
      </c>
    </row>
    <row r="75" spans="1:24" ht="54" x14ac:dyDescent="0.25">
      <c r="A75" s="6" t="s">
        <v>475</v>
      </c>
      <c r="B75" s="14">
        <v>46066</v>
      </c>
      <c r="C75" s="14">
        <v>46066</v>
      </c>
      <c r="D75" s="6" t="s">
        <v>476</v>
      </c>
      <c r="E75" s="6" t="s">
        <v>38</v>
      </c>
      <c r="F75" s="6" t="s">
        <v>248</v>
      </c>
      <c r="G75" s="6" t="s">
        <v>263</v>
      </c>
      <c r="H75" s="10">
        <v>264</v>
      </c>
      <c r="I75" s="6"/>
      <c r="J75" s="6"/>
      <c r="K75" s="6" t="s">
        <v>3</v>
      </c>
      <c r="L75" s="6"/>
      <c r="M75" s="10">
        <v>61</v>
      </c>
      <c r="N75" s="6"/>
      <c r="O75" s="6"/>
      <c r="P75" s="17" t="s">
        <v>3</v>
      </c>
      <c r="Q75" s="6" t="s">
        <v>205</v>
      </c>
      <c r="R75" s="17" t="s">
        <v>477</v>
      </c>
      <c r="S75" s="17" t="s">
        <v>478</v>
      </c>
      <c r="T75" s="6" t="s">
        <v>25</v>
      </c>
      <c r="U75" s="6" t="s">
        <v>222</v>
      </c>
      <c r="V75" s="17" t="s">
        <v>479</v>
      </c>
      <c r="W75" s="6">
        <v>371</v>
      </c>
      <c r="X75" s="6" t="s">
        <v>224</v>
      </c>
    </row>
    <row r="76" spans="1:24" ht="67.5" x14ac:dyDescent="0.25">
      <c r="A76" s="6" t="s">
        <v>480</v>
      </c>
      <c r="B76" s="14">
        <v>46066</v>
      </c>
      <c r="C76" s="14">
        <v>46066</v>
      </c>
      <c r="D76" s="6" t="s">
        <v>481</v>
      </c>
      <c r="E76" s="6" t="s">
        <v>40</v>
      </c>
      <c r="F76" s="6" t="s">
        <v>40</v>
      </c>
      <c r="G76" s="6" t="s">
        <v>236</v>
      </c>
      <c r="H76" s="10">
        <v>235</v>
      </c>
      <c r="I76" s="6"/>
      <c r="J76" s="6"/>
      <c r="K76" s="6" t="s">
        <v>3</v>
      </c>
      <c r="L76" s="10">
        <v>60</v>
      </c>
      <c r="M76" s="6"/>
      <c r="N76" s="6"/>
      <c r="O76" s="6"/>
      <c r="P76" s="17" t="s">
        <v>3</v>
      </c>
      <c r="Q76" s="6" t="s">
        <v>211</v>
      </c>
      <c r="R76" s="17" t="s">
        <v>482</v>
      </c>
      <c r="S76" s="17" t="s">
        <v>483</v>
      </c>
      <c r="T76" s="6" t="s">
        <v>24</v>
      </c>
      <c r="U76" s="6" t="s">
        <v>207</v>
      </c>
      <c r="V76" s="17" t="s">
        <v>3</v>
      </c>
      <c r="W76" s="6">
        <v>368</v>
      </c>
      <c r="X76" s="6" t="s">
        <v>208</v>
      </c>
    </row>
    <row r="77" spans="1:24" ht="54" x14ac:dyDescent="0.25">
      <c r="A77" s="6" t="s">
        <v>484</v>
      </c>
      <c r="B77" s="14">
        <v>46066</v>
      </c>
      <c r="C77" s="14">
        <v>46072</v>
      </c>
      <c r="D77" s="6" t="s">
        <v>485</v>
      </c>
      <c r="E77" s="6" t="s">
        <v>91</v>
      </c>
      <c r="F77" s="6" t="s">
        <v>91</v>
      </c>
      <c r="G77" s="6" t="s">
        <v>236</v>
      </c>
      <c r="H77" s="10">
        <v>55</v>
      </c>
      <c r="I77" s="6"/>
      <c r="J77" s="6"/>
      <c r="K77" s="6" t="s">
        <v>3</v>
      </c>
      <c r="L77" s="10">
        <v>19</v>
      </c>
      <c r="M77" s="6"/>
      <c r="N77" s="6"/>
      <c r="O77" s="6"/>
      <c r="P77" s="17" t="s">
        <v>3</v>
      </c>
      <c r="Q77" s="6" t="s">
        <v>313</v>
      </c>
      <c r="R77" s="17" t="s">
        <v>3</v>
      </c>
      <c r="S77" s="17" t="s">
        <v>486</v>
      </c>
      <c r="T77" s="6" t="s">
        <v>24</v>
      </c>
      <c r="U77" s="6" t="s">
        <v>207</v>
      </c>
      <c r="V77" s="17" t="s">
        <v>3</v>
      </c>
      <c r="W77" s="6">
        <v>387</v>
      </c>
      <c r="X77" s="6" t="s">
        <v>208</v>
      </c>
    </row>
    <row r="78" spans="1:24" ht="54" x14ac:dyDescent="0.25">
      <c r="A78" s="6" t="s">
        <v>487</v>
      </c>
      <c r="B78" s="14">
        <v>46066</v>
      </c>
      <c r="C78" s="14">
        <v>46066</v>
      </c>
      <c r="D78" s="6" t="s">
        <v>488</v>
      </c>
      <c r="E78" s="6" t="s">
        <v>47</v>
      </c>
      <c r="F78" s="6" t="s">
        <v>489</v>
      </c>
      <c r="G78" s="6" t="s">
        <v>263</v>
      </c>
      <c r="H78" s="10">
        <v>78</v>
      </c>
      <c r="I78" s="6"/>
      <c r="J78" s="6"/>
      <c r="K78" s="6" t="s">
        <v>3</v>
      </c>
      <c r="L78" s="6"/>
      <c r="M78" s="6"/>
      <c r="N78" s="6"/>
      <c r="O78" s="6"/>
      <c r="P78" s="17" t="s">
        <v>3</v>
      </c>
      <c r="Q78" s="6" t="s">
        <v>228</v>
      </c>
      <c r="R78" s="17" t="s">
        <v>490</v>
      </c>
      <c r="S78" s="17" t="s">
        <v>491</v>
      </c>
      <c r="T78" s="6" t="s">
        <v>25</v>
      </c>
      <c r="U78" s="6" t="s">
        <v>222</v>
      </c>
      <c r="V78" s="17" t="s">
        <v>267</v>
      </c>
      <c r="W78" s="6">
        <v>367</v>
      </c>
      <c r="X78" s="6" t="s">
        <v>224</v>
      </c>
    </row>
    <row r="79" spans="1:24" ht="27" x14ac:dyDescent="0.25">
      <c r="A79" s="6" t="s">
        <v>492</v>
      </c>
      <c r="B79" s="14">
        <v>46066</v>
      </c>
      <c r="C79" s="14">
        <v>46066</v>
      </c>
      <c r="D79" s="6" t="s">
        <v>493</v>
      </c>
      <c r="E79" s="6" t="s">
        <v>47</v>
      </c>
      <c r="F79" s="6" t="s">
        <v>489</v>
      </c>
      <c r="G79" s="6" t="s">
        <v>236</v>
      </c>
      <c r="H79" s="10">
        <v>100</v>
      </c>
      <c r="I79" s="6"/>
      <c r="J79" s="6"/>
      <c r="K79" s="6" t="s">
        <v>3</v>
      </c>
      <c r="L79" s="6"/>
      <c r="M79" s="6"/>
      <c r="N79" s="6"/>
      <c r="O79" s="6"/>
      <c r="P79" s="17" t="s">
        <v>3</v>
      </c>
      <c r="Q79" s="6" t="s">
        <v>228</v>
      </c>
      <c r="R79" s="17" t="s">
        <v>494</v>
      </c>
      <c r="S79" s="17" t="s">
        <v>495</v>
      </c>
      <c r="T79" s="6" t="s">
        <v>24</v>
      </c>
      <c r="U79" s="6" t="s">
        <v>207</v>
      </c>
      <c r="V79" s="17" t="s">
        <v>3</v>
      </c>
      <c r="W79" s="6">
        <v>369</v>
      </c>
      <c r="X79" s="6" t="s">
        <v>208</v>
      </c>
    </row>
    <row r="80" spans="1:24" ht="54" x14ac:dyDescent="0.25">
      <c r="A80" s="6" t="s">
        <v>496</v>
      </c>
      <c r="B80" s="14">
        <v>46066</v>
      </c>
      <c r="C80" s="14">
        <v>46066</v>
      </c>
      <c r="D80" s="6" t="s">
        <v>497</v>
      </c>
      <c r="E80" s="6" t="s">
        <v>53</v>
      </c>
      <c r="F80" s="6" t="s">
        <v>498</v>
      </c>
      <c r="G80" s="6" t="s">
        <v>236</v>
      </c>
      <c r="H80" s="10">
        <v>168</v>
      </c>
      <c r="I80" s="6"/>
      <c r="J80" s="6"/>
      <c r="K80" s="6" t="s">
        <v>3</v>
      </c>
      <c r="L80" s="10">
        <v>49</v>
      </c>
      <c r="M80" s="6"/>
      <c r="N80" s="6"/>
      <c r="O80" s="6"/>
      <c r="P80" s="17" t="s">
        <v>3</v>
      </c>
      <c r="Q80" s="6" t="s">
        <v>313</v>
      </c>
      <c r="R80" s="17" t="s">
        <v>499</v>
      </c>
      <c r="S80" s="17" t="s">
        <v>500</v>
      </c>
      <c r="T80" s="6" t="s">
        <v>24</v>
      </c>
      <c r="U80" s="6" t="s">
        <v>207</v>
      </c>
      <c r="V80" s="17" t="s">
        <v>3</v>
      </c>
      <c r="W80" s="6">
        <v>370</v>
      </c>
      <c r="X80" s="6" t="s">
        <v>208</v>
      </c>
    </row>
    <row r="81" spans="1:24" ht="40.5" x14ac:dyDescent="0.25">
      <c r="A81" s="6" t="s">
        <v>501</v>
      </c>
      <c r="B81" s="14">
        <v>46067</v>
      </c>
      <c r="C81" s="14">
        <v>46068</v>
      </c>
      <c r="D81" s="6" t="s">
        <v>502</v>
      </c>
      <c r="E81" s="6" t="s">
        <v>142</v>
      </c>
      <c r="F81" s="6" t="s">
        <v>142</v>
      </c>
      <c r="G81" s="6" t="s">
        <v>204</v>
      </c>
      <c r="H81" s="6"/>
      <c r="I81" s="6"/>
      <c r="J81" s="6"/>
      <c r="K81" s="6" t="s">
        <v>3</v>
      </c>
      <c r="L81" s="6"/>
      <c r="M81" s="10">
        <v>49</v>
      </c>
      <c r="N81" s="6"/>
      <c r="O81" s="6"/>
      <c r="P81" s="17" t="s">
        <v>3</v>
      </c>
      <c r="Q81" s="6" t="s">
        <v>205</v>
      </c>
      <c r="R81" s="17" t="s">
        <v>3</v>
      </c>
      <c r="S81" s="17" t="s">
        <v>503</v>
      </c>
      <c r="T81" s="6" t="s">
        <v>25</v>
      </c>
      <c r="U81" s="6" t="s">
        <v>222</v>
      </c>
      <c r="V81" s="17" t="s">
        <v>223</v>
      </c>
      <c r="W81" s="6">
        <v>375</v>
      </c>
      <c r="X81" s="6" t="s">
        <v>224</v>
      </c>
    </row>
    <row r="82" spans="1:24" ht="54" x14ac:dyDescent="0.25">
      <c r="A82" s="6" t="s">
        <v>504</v>
      </c>
      <c r="B82" s="14">
        <v>46067</v>
      </c>
      <c r="C82" s="14">
        <v>46067</v>
      </c>
      <c r="D82" s="6" t="s">
        <v>505</v>
      </c>
      <c r="E82" s="6" t="s">
        <v>53</v>
      </c>
      <c r="F82" s="6" t="s">
        <v>498</v>
      </c>
      <c r="G82" s="6" t="s">
        <v>506</v>
      </c>
      <c r="H82" s="10">
        <v>168</v>
      </c>
      <c r="I82" s="6"/>
      <c r="J82" s="6"/>
      <c r="K82" s="6" t="s">
        <v>3</v>
      </c>
      <c r="L82" s="10">
        <v>50</v>
      </c>
      <c r="M82" s="6"/>
      <c r="N82" s="6"/>
      <c r="O82" s="6"/>
      <c r="P82" s="17" t="s">
        <v>3</v>
      </c>
      <c r="Q82" s="6" t="s">
        <v>313</v>
      </c>
      <c r="R82" s="17" t="s">
        <v>507</v>
      </c>
      <c r="S82" s="17" t="s">
        <v>508</v>
      </c>
      <c r="T82" s="6" t="s">
        <v>24</v>
      </c>
      <c r="U82" s="6" t="s">
        <v>207</v>
      </c>
      <c r="V82" s="17" t="s">
        <v>3</v>
      </c>
      <c r="W82" s="6">
        <v>373</v>
      </c>
      <c r="X82" s="6" t="s">
        <v>208</v>
      </c>
    </row>
    <row r="83" spans="1:24" ht="54" x14ac:dyDescent="0.25">
      <c r="A83" s="6" t="s">
        <v>509</v>
      </c>
      <c r="B83" s="14">
        <v>46067</v>
      </c>
      <c r="C83" s="14">
        <v>46067</v>
      </c>
      <c r="D83" s="6" t="s">
        <v>505</v>
      </c>
      <c r="E83" s="6" t="s">
        <v>53</v>
      </c>
      <c r="F83" s="6" t="s">
        <v>498</v>
      </c>
      <c r="G83" s="6" t="s">
        <v>506</v>
      </c>
      <c r="H83" s="10">
        <v>15</v>
      </c>
      <c r="I83" s="6"/>
      <c r="J83" s="6"/>
      <c r="K83" s="6" t="s">
        <v>3</v>
      </c>
      <c r="L83" s="10">
        <v>50</v>
      </c>
      <c r="M83" s="6"/>
      <c r="N83" s="6"/>
      <c r="O83" s="6"/>
      <c r="P83" s="17" t="s">
        <v>3</v>
      </c>
      <c r="Q83" s="6" t="s">
        <v>313</v>
      </c>
      <c r="R83" s="17" t="s">
        <v>507</v>
      </c>
      <c r="S83" s="17" t="s">
        <v>508</v>
      </c>
      <c r="T83" s="6" t="s">
        <v>24</v>
      </c>
      <c r="U83" s="6" t="s">
        <v>207</v>
      </c>
      <c r="V83" s="17" t="s">
        <v>3</v>
      </c>
      <c r="W83" s="6">
        <v>373</v>
      </c>
      <c r="X83" s="6" t="s">
        <v>208</v>
      </c>
    </row>
    <row r="84" spans="1:24" ht="54" x14ac:dyDescent="0.25">
      <c r="A84" s="6" t="s">
        <v>510</v>
      </c>
      <c r="B84" s="14">
        <v>46068</v>
      </c>
      <c r="C84" s="14">
        <v>46068</v>
      </c>
      <c r="D84" s="6" t="s">
        <v>511</v>
      </c>
      <c r="E84" s="6" t="s">
        <v>53</v>
      </c>
      <c r="F84" s="6" t="s">
        <v>498</v>
      </c>
      <c r="G84" s="6" t="s">
        <v>236</v>
      </c>
      <c r="H84" s="10">
        <v>168</v>
      </c>
      <c r="I84" s="6"/>
      <c r="J84" s="6"/>
      <c r="K84" s="6" t="s">
        <v>3</v>
      </c>
      <c r="L84" s="10">
        <v>49</v>
      </c>
      <c r="M84" s="6"/>
      <c r="N84" s="6"/>
      <c r="O84" s="6"/>
      <c r="P84" s="17" t="s">
        <v>3</v>
      </c>
      <c r="Q84" s="6" t="s">
        <v>313</v>
      </c>
      <c r="R84" s="17" t="s">
        <v>512</v>
      </c>
      <c r="S84" s="17" t="s">
        <v>513</v>
      </c>
      <c r="T84" s="6" t="s">
        <v>24</v>
      </c>
      <c r="U84" s="6" t="s">
        <v>207</v>
      </c>
      <c r="V84" s="17" t="s">
        <v>3</v>
      </c>
      <c r="W84" s="6">
        <v>374</v>
      </c>
      <c r="X84" s="6" t="s">
        <v>208</v>
      </c>
    </row>
    <row r="85" spans="1:24" ht="67.5" x14ac:dyDescent="0.25">
      <c r="A85" s="6" t="s">
        <v>514</v>
      </c>
      <c r="B85" s="14">
        <v>46069</v>
      </c>
      <c r="C85" s="14">
        <v>46069</v>
      </c>
      <c r="D85" s="6" t="s">
        <v>515</v>
      </c>
      <c r="E85" s="6" t="s">
        <v>40</v>
      </c>
      <c r="F85" s="6" t="s">
        <v>40</v>
      </c>
      <c r="G85" s="6" t="s">
        <v>236</v>
      </c>
      <c r="H85" s="10">
        <v>207</v>
      </c>
      <c r="I85" s="6"/>
      <c r="J85" s="6"/>
      <c r="K85" s="6" t="s">
        <v>3</v>
      </c>
      <c r="L85" s="10">
        <v>65</v>
      </c>
      <c r="M85" s="6"/>
      <c r="N85" s="6"/>
      <c r="O85" s="6"/>
      <c r="P85" s="17" t="s">
        <v>3</v>
      </c>
      <c r="Q85" s="6" t="s">
        <v>211</v>
      </c>
      <c r="R85" s="17" t="s">
        <v>516</v>
      </c>
      <c r="S85" s="17" t="s">
        <v>517</v>
      </c>
      <c r="T85" s="6" t="s">
        <v>24</v>
      </c>
      <c r="U85" s="6" t="s">
        <v>207</v>
      </c>
      <c r="V85" s="17" t="s">
        <v>3</v>
      </c>
      <c r="W85" s="6">
        <v>376</v>
      </c>
      <c r="X85" s="6" t="s">
        <v>208</v>
      </c>
    </row>
    <row r="86" spans="1:24" ht="67.5" x14ac:dyDescent="0.25">
      <c r="A86" s="6" t="s">
        <v>518</v>
      </c>
      <c r="B86" s="14">
        <v>46069</v>
      </c>
      <c r="C86" s="14">
        <v>46069</v>
      </c>
      <c r="D86" s="6" t="s">
        <v>519</v>
      </c>
      <c r="E86" s="6" t="s">
        <v>40</v>
      </c>
      <c r="F86" s="6" t="s">
        <v>40</v>
      </c>
      <c r="G86" s="6" t="s">
        <v>236</v>
      </c>
      <c r="H86" s="10">
        <v>207</v>
      </c>
      <c r="I86" s="6"/>
      <c r="J86" s="6"/>
      <c r="K86" s="6" t="s">
        <v>3</v>
      </c>
      <c r="L86" s="10">
        <v>65</v>
      </c>
      <c r="M86" s="6"/>
      <c r="N86" s="6"/>
      <c r="O86" s="6"/>
      <c r="P86" s="17" t="s">
        <v>3</v>
      </c>
      <c r="Q86" s="6" t="s">
        <v>211</v>
      </c>
      <c r="R86" s="17" t="s">
        <v>520</v>
      </c>
      <c r="S86" s="17" t="s">
        <v>521</v>
      </c>
      <c r="T86" s="6" t="s">
        <v>25</v>
      </c>
      <c r="U86" s="6" t="s">
        <v>222</v>
      </c>
      <c r="V86" s="17" t="s">
        <v>522</v>
      </c>
      <c r="W86" s="6">
        <v>377</v>
      </c>
      <c r="X86" s="6" t="s">
        <v>224</v>
      </c>
    </row>
    <row r="87" spans="1:24" ht="67.5" x14ac:dyDescent="0.25">
      <c r="A87" s="6" t="s">
        <v>523</v>
      </c>
      <c r="B87" s="14">
        <v>46069</v>
      </c>
      <c r="C87" s="14">
        <v>46070</v>
      </c>
      <c r="D87" s="6" t="s">
        <v>524</v>
      </c>
      <c r="E87" s="6" t="s">
        <v>67</v>
      </c>
      <c r="F87" s="6" t="s">
        <v>67</v>
      </c>
      <c r="G87" s="6" t="s">
        <v>204</v>
      </c>
      <c r="H87" s="10">
        <v>175</v>
      </c>
      <c r="I87" s="6"/>
      <c r="J87" s="6"/>
      <c r="K87" s="6" t="s">
        <v>3</v>
      </c>
      <c r="L87" s="6"/>
      <c r="M87" s="10">
        <v>107</v>
      </c>
      <c r="N87" s="6"/>
      <c r="O87" s="6"/>
      <c r="P87" s="17" t="s">
        <v>3</v>
      </c>
      <c r="Q87" s="6" t="s">
        <v>313</v>
      </c>
      <c r="R87" s="17" t="s">
        <v>3</v>
      </c>
      <c r="S87" s="17" t="s">
        <v>525</v>
      </c>
      <c r="T87" s="6" t="s">
        <v>24</v>
      </c>
      <c r="U87" s="6" t="s">
        <v>207</v>
      </c>
      <c r="V87" s="17" t="s">
        <v>3</v>
      </c>
      <c r="W87" s="6">
        <v>378</v>
      </c>
      <c r="X87" s="6" t="s">
        <v>208</v>
      </c>
    </row>
    <row r="88" spans="1:24" ht="67.5" x14ac:dyDescent="0.25">
      <c r="A88" s="6" t="s">
        <v>526</v>
      </c>
      <c r="B88" s="14">
        <v>46070</v>
      </c>
      <c r="C88" s="14">
        <v>46071</v>
      </c>
      <c r="D88" s="6" t="s">
        <v>527</v>
      </c>
      <c r="E88" s="6" t="s">
        <v>67</v>
      </c>
      <c r="F88" s="6" t="s">
        <v>67</v>
      </c>
      <c r="G88" s="6" t="s">
        <v>236</v>
      </c>
      <c r="H88" s="10">
        <v>175</v>
      </c>
      <c r="I88" s="6"/>
      <c r="J88" s="6"/>
      <c r="K88" s="6" t="s">
        <v>3</v>
      </c>
      <c r="L88" s="10">
        <v>87</v>
      </c>
      <c r="M88" s="6"/>
      <c r="N88" s="6"/>
      <c r="O88" s="6"/>
      <c r="P88" s="17" t="s">
        <v>3</v>
      </c>
      <c r="Q88" s="6" t="s">
        <v>313</v>
      </c>
      <c r="R88" s="17" t="s">
        <v>3</v>
      </c>
      <c r="S88" s="17" t="s">
        <v>528</v>
      </c>
      <c r="T88" s="6" t="s">
        <v>24</v>
      </c>
      <c r="U88" s="6" t="s">
        <v>207</v>
      </c>
      <c r="V88" s="17" t="s">
        <v>3</v>
      </c>
      <c r="W88" s="6">
        <v>382</v>
      </c>
      <c r="X88" s="6" t="s">
        <v>208</v>
      </c>
    </row>
    <row r="89" spans="1:24" ht="67.5" x14ac:dyDescent="0.25">
      <c r="A89" s="6" t="s">
        <v>529</v>
      </c>
      <c r="B89" s="14">
        <v>46071</v>
      </c>
      <c r="C89" s="14">
        <v>46071</v>
      </c>
      <c r="D89" s="6" t="s">
        <v>530</v>
      </c>
      <c r="E89" s="6" t="s">
        <v>40</v>
      </c>
      <c r="F89" s="6" t="s">
        <v>40</v>
      </c>
      <c r="G89" s="6" t="s">
        <v>236</v>
      </c>
      <c r="H89" s="10">
        <v>89</v>
      </c>
      <c r="I89" s="6"/>
      <c r="J89" s="6"/>
      <c r="K89" s="6" t="s">
        <v>3</v>
      </c>
      <c r="L89" s="10">
        <v>60</v>
      </c>
      <c r="M89" s="6"/>
      <c r="N89" s="6"/>
      <c r="O89" s="6"/>
      <c r="P89" s="17" t="s">
        <v>3</v>
      </c>
      <c r="Q89" s="6" t="s">
        <v>211</v>
      </c>
      <c r="R89" s="17" t="s">
        <v>531</v>
      </c>
      <c r="S89" s="17" t="s">
        <v>532</v>
      </c>
      <c r="T89" s="6" t="s">
        <v>24</v>
      </c>
      <c r="U89" s="6" t="s">
        <v>207</v>
      </c>
      <c r="V89" s="17" t="s">
        <v>3</v>
      </c>
      <c r="W89" s="6">
        <v>383</v>
      </c>
      <c r="X89" s="6" t="s">
        <v>208</v>
      </c>
    </row>
    <row r="90" spans="1:24" ht="67.5" x14ac:dyDescent="0.25">
      <c r="A90" s="6" t="s">
        <v>533</v>
      </c>
      <c r="B90" s="14">
        <v>46071</v>
      </c>
      <c r="C90" s="14">
        <v>46071</v>
      </c>
      <c r="D90" s="6" t="s">
        <v>530</v>
      </c>
      <c r="E90" s="6" t="s">
        <v>40</v>
      </c>
      <c r="F90" s="6" t="s">
        <v>40</v>
      </c>
      <c r="G90" s="6" t="s">
        <v>236</v>
      </c>
      <c r="H90" s="10">
        <v>155</v>
      </c>
      <c r="I90" s="6"/>
      <c r="J90" s="6"/>
      <c r="K90" s="6" t="s">
        <v>3</v>
      </c>
      <c r="L90" s="10">
        <v>60</v>
      </c>
      <c r="M90" s="6"/>
      <c r="N90" s="6"/>
      <c r="O90" s="6"/>
      <c r="P90" s="17" t="s">
        <v>3</v>
      </c>
      <c r="Q90" s="6" t="s">
        <v>211</v>
      </c>
      <c r="R90" s="17" t="s">
        <v>531</v>
      </c>
      <c r="S90" s="17" t="s">
        <v>532</v>
      </c>
      <c r="T90" s="6" t="s">
        <v>24</v>
      </c>
      <c r="U90" s="6" t="s">
        <v>207</v>
      </c>
      <c r="V90" s="17" t="s">
        <v>3</v>
      </c>
      <c r="W90" s="6">
        <v>383</v>
      </c>
      <c r="X90" s="6" t="s">
        <v>208</v>
      </c>
    </row>
    <row r="91" spans="1:24" ht="67.5" x14ac:dyDescent="0.25">
      <c r="A91" s="6" t="s">
        <v>534</v>
      </c>
      <c r="B91" s="14">
        <v>46071</v>
      </c>
      <c r="C91" s="14">
        <v>46071</v>
      </c>
      <c r="D91" s="6" t="s">
        <v>535</v>
      </c>
      <c r="E91" s="6" t="s">
        <v>40</v>
      </c>
      <c r="F91" s="6" t="s">
        <v>40</v>
      </c>
      <c r="G91" s="6" t="s">
        <v>236</v>
      </c>
      <c r="H91" s="10">
        <v>89</v>
      </c>
      <c r="I91" s="6"/>
      <c r="J91" s="6"/>
      <c r="K91" s="6" t="s">
        <v>3</v>
      </c>
      <c r="L91" s="10">
        <v>60</v>
      </c>
      <c r="M91" s="6"/>
      <c r="N91" s="6"/>
      <c r="O91" s="6"/>
      <c r="P91" s="17" t="s">
        <v>3</v>
      </c>
      <c r="Q91" s="6" t="s">
        <v>211</v>
      </c>
      <c r="R91" s="17" t="s">
        <v>536</v>
      </c>
      <c r="S91" s="17" t="s">
        <v>537</v>
      </c>
      <c r="T91" s="6" t="s">
        <v>25</v>
      </c>
      <c r="U91" s="6" t="s">
        <v>222</v>
      </c>
      <c r="V91" s="17" t="s">
        <v>538</v>
      </c>
      <c r="W91" s="6">
        <v>384</v>
      </c>
      <c r="X91" s="6" t="s">
        <v>224</v>
      </c>
    </row>
    <row r="92" spans="1:24" ht="67.5" x14ac:dyDescent="0.25">
      <c r="A92" s="6" t="s">
        <v>539</v>
      </c>
      <c r="B92" s="14">
        <v>46071</v>
      </c>
      <c r="C92" s="14">
        <v>46071</v>
      </c>
      <c r="D92" s="6" t="s">
        <v>535</v>
      </c>
      <c r="E92" s="6" t="s">
        <v>40</v>
      </c>
      <c r="F92" s="6" t="s">
        <v>40</v>
      </c>
      <c r="G92" s="6" t="s">
        <v>236</v>
      </c>
      <c r="H92" s="10">
        <v>155</v>
      </c>
      <c r="I92" s="6"/>
      <c r="J92" s="6"/>
      <c r="K92" s="6" t="s">
        <v>3</v>
      </c>
      <c r="L92" s="10">
        <v>60</v>
      </c>
      <c r="M92" s="6"/>
      <c r="N92" s="6"/>
      <c r="O92" s="6"/>
      <c r="P92" s="17" t="s">
        <v>3</v>
      </c>
      <c r="Q92" s="6" t="s">
        <v>211</v>
      </c>
      <c r="R92" s="17" t="s">
        <v>536</v>
      </c>
      <c r="S92" s="17" t="s">
        <v>537</v>
      </c>
      <c r="T92" s="6" t="s">
        <v>25</v>
      </c>
      <c r="U92" s="6" t="s">
        <v>222</v>
      </c>
      <c r="V92" s="17" t="s">
        <v>538</v>
      </c>
      <c r="W92" s="6">
        <v>384</v>
      </c>
      <c r="X92" s="6" t="s">
        <v>224</v>
      </c>
    </row>
    <row r="93" spans="1:24" ht="148.5" x14ac:dyDescent="0.25">
      <c r="A93" s="6" t="s">
        <v>540</v>
      </c>
      <c r="B93" s="14">
        <v>46071</v>
      </c>
      <c r="C93" s="14">
        <v>46071</v>
      </c>
      <c r="D93" s="6" t="s">
        <v>541</v>
      </c>
      <c r="E93" s="6" t="s">
        <v>45</v>
      </c>
      <c r="F93" s="6" t="s">
        <v>3</v>
      </c>
      <c r="G93" s="6" t="s">
        <v>204</v>
      </c>
      <c r="H93" s="10">
        <v>330</v>
      </c>
      <c r="I93" s="6"/>
      <c r="J93" s="6"/>
      <c r="K93" s="6" t="s">
        <v>3</v>
      </c>
      <c r="L93" s="6"/>
      <c r="M93" s="10">
        <v>312</v>
      </c>
      <c r="N93" s="6"/>
      <c r="O93" s="6"/>
      <c r="P93" s="17" t="s">
        <v>3</v>
      </c>
      <c r="Q93" s="6" t="s">
        <v>205</v>
      </c>
      <c r="R93" s="17" t="s">
        <v>3</v>
      </c>
      <c r="S93" s="17" t="s">
        <v>542</v>
      </c>
      <c r="T93" s="6" t="s">
        <v>26</v>
      </c>
      <c r="U93" s="6" t="s">
        <v>222</v>
      </c>
      <c r="V93" s="17" t="s">
        <v>543</v>
      </c>
      <c r="W93" s="6">
        <v>379</v>
      </c>
      <c r="X93" s="6" t="s">
        <v>224</v>
      </c>
    </row>
    <row r="94" spans="1:24" ht="148.5" x14ac:dyDescent="0.25">
      <c r="A94" s="6" t="s">
        <v>544</v>
      </c>
      <c r="B94" s="14">
        <v>46071</v>
      </c>
      <c r="C94" s="14">
        <v>46071</v>
      </c>
      <c r="D94" s="6" t="s">
        <v>541</v>
      </c>
      <c r="E94" s="6" t="s">
        <v>45</v>
      </c>
      <c r="F94" s="6" t="s">
        <v>3</v>
      </c>
      <c r="G94" s="6" t="s">
        <v>204</v>
      </c>
      <c r="H94" s="10">
        <v>200</v>
      </c>
      <c r="I94" s="6"/>
      <c r="J94" s="6"/>
      <c r="K94" s="6" t="s">
        <v>3</v>
      </c>
      <c r="L94" s="6"/>
      <c r="M94" s="10">
        <v>312</v>
      </c>
      <c r="N94" s="6"/>
      <c r="O94" s="6"/>
      <c r="P94" s="17" t="s">
        <v>3</v>
      </c>
      <c r="Q94" s="6" t="s">
        <v>205</v>
      </c>
      <c r="R94" s="17" t="s">
        <v>3</v>
      </c>
      <c r="S94" s="17" t="s">
        <v>542</v>
      </c>
      <c r="T94" s="6" t="s">
        <v>26</v>
      </c>
      <c r="U94" s="6" t="s">
        <v>222</v>
      </c>
      <c r="V94" s="17" t="s">
        <v>543</v>
      </c>
      <c r="W94" s="6">
        <v>379</v>
      </c>
      <c r="X94" s="6" t="s">
        <v>224</v>
      </c>
    </row>
    <row r="95" spans="1:24" ht="148.5" x14ac:dyDescent="0.25">
      <c r="A95" s="6" t="s">
        <v>545</v>
      </c>
      <c r="B95" s="14">
        <v>46071</v>
      </c>
      <c r="C95" s="14">
        <v>46071</v>
      </c>
      <c r="D95" s="6" t="s">
        <v>541</v>
      </c>
      <c r="E95" s="6" t="s">
        <v>45</v>
      </c>
      <c r="F95" s="6" t="s">
        <v>3</v>
      </c>
      <c r="G95" s="6" t="s">
        <v>204</v>
      </c>
      <c r="H95" s="10">
        <v>200</v>
      </c>
      <c r="I95" s="6"/>
      <c r="J95" s="6"/>
      <c r="K95" s="6" t="s">
        <v>3</v>
      </c>
      <c r="L95" s="6"/>
      <c r="M95" s="10">
        <v>312</v>
      </c>
      <c r="N95" s="6"/>
      <c r="O95" s="6"/>
      <c r="P95" s="17" t="s">
        <v>3</v>
      </c>
      <c r="Q95" s="6" t="s">
        <v>205</v>
      </c>
      <c r="R95" s="17" t="s">
        <v>3</v>
      </c>
      <c r="S95" s="17" t="s">
        <v>542</v>
      </c>
      <c r="T95" s="6" t="s">
        <v>26</v>
      </c>
      <c r="U95" s="6" t="s">
        <v>222</v>
      </c>
      <c r="V95" s="17" t="s">
        <v>543</v>
      </c>
      <c r="W95" s="6">
        <v>379</v>
      </c>
      <c r="X95" s="6" t="s">
        <v>224</v>
      </c>
    </row>
    <row r="96" spans="1:24" ht="40.5" x14ac:dyDescent="0.25">
      <c r="A96" s="6" t="s">
        <v>546</v>
      </c>
      <c r="B96" s="14">
        <v>46071</v>
      </c>
      <c r="C96" s="14">
        <v>46072</v>
      </c>
      <c r="D96" s="6" t="s">
        <v>547</v>
      </c>
      <c r="E96" s="6" t="s">
        <v>47</v>
      </c>
      <c r="F96" s="6" t="s">
        <v>489</v>
      </c>
      <c r="G96" s="6" t="s">
        <v>236</v>
      </c>
      <c r="H96" s="10">
        <v>80</v>
      </c>
      <c r="I96" s="6"/>
      <c r="J96" s="6"/>
      <c r="K96" s="6" t="s">
        <v>3</v>
      </c>
      <c r="L96" s="6"/>
      <c r="M96" s="6"/>
      <c r="N96" s="6"/>
      <c r="O96" s="6"/>
      <c r="P96" s="17" t="s">
        <v>3</v>
      </c>
      <c r="Q96" s="6" t="s">
        <v>228</v>
      </c>
      <c r="R96" s="17" t="s">
        <v>548</v>
      </c>
      <c r="S96" s="17" t="s">
        <v>549</v>
      </c>
      <c r="T96" s="6" t="s">
        <v>24</v>
      </c>
      <c r="U96" s="6" t="s">
        <v>207</v>
      </c>
      <c r="V96" s="17" t="s">
        <v>3</v>
      </c>
      <c r="W96" s="6">
        <v>386</v>
      </c>
      <c r="X96" s="6" t="s">
        <v>208</v>
      </c>
    </row>
    <row r="97" spans="1:24" ht="54" x14ac:dyDescent="0.25">
      <c r="A97" s="6" t="s">
        <v>550</v>
      </c>
      <c r="B97" s="14">
        <v>46071</v>
      </c>
      <c r="C97" s="14">
        <v>46071</v>
      </c>
      <c r="D97" s="6" t="s">
        <v>551</v>
      </c>
      <c r="E97" s="6" t="s">
        <v>100</v>
      </c>
      <c r="F97" s="6" t="s">
        <v>100</v>
      </c>
      <c r="G97" s="6" t="s">
        <v>236</v>
      </c>
      <c r="H97" s="10">
        <v>70</v>
      </c>
      <c r="I97" s="6"/>
      <c r="J97" s="6"/>
      <c r="K97" s="6" t="s">
        <v>3</v>
      </c>
      <c r="L97" s="10">
        <v>35</v>
      </c>
      <c r="M97" s="6"/>
      <c r="N97" s="6"/>
      <c r="O97" s="6"/>
      <c r="P97" s="17" t="s">
        <v>3</v>
      </c>
      <c r="Q97" s="6" t="s">
        <v>313</v>
      </c>
      <c r="R97" s="17" t="s">
        <v>3</v>
      </c>
      <c r="S97" s="17" t="s">
        <v>552</v>
      </c>
      <c r="T97" s="6" t="s">
        <v>24</v>
      </c>
      <c r="U97" s="6" t="s">
        <v>207</v>
      </c>
      <c r="V97" s="17" t="s">
        <v>3</v>
      </c>
      <c r="W97" s="6">
        <v>385</v>
      </c>
      <c r="X97" s="6" t="s">
        <v>208</v>
      </c>
    </row>
    <row r="98" spans="1:24" ht="67.5" x14ac:dyDescent="0.25">
      <c r="A98" s="6" t="s">
        <v>553</v>
      </c>
      <c r="B98" s="14">
        <v>46072</v>
      </c>
      <c r="C98" s="14">
        <v>46073</v>
      </c>
      <c r="D98" s="6" t="s">
        <v>554</v>
      </c>
      <c r="E98" s="6" t="s">
        <v>40</v>
      </c>
      <c r="F98" s="6" t="s">
        <v>40</v>
      </c>
      <c r="G98" s="6" t="s">
        <v>236</v>
      </c>
      <c r="H98" s="10">
        <v>150</v>
      </c>
      <c r="I98" s="6"/>
      <c r="J98" s="6"/>
      <c r="K98" s="6" t="s">
        <v>3</v>
      </c>
      <c r="L98" s="10">
        <v>45</v>
      </c>
      <c r="M98" s="6"/>
      <c r="N98" s="6"/>
      <c r="O98" s="6"/>
      <c r="P98" s="17" t="s">
        <v>3</v>
      </c>
      <c r="Q98" s="6" t="s">
        <v>211</v>
      </c>
      <c r="R98" s="17" t="s">
        <v>555</v>
      </c>
      <c r="S98" s="17" t="s">
        <v>556</v>
      </c>
      <c r="T98" s="6" t="s">
        <v>24</v>
      </c>
      <c r="U98" s="6" t="s">
        <v>207</v>
      </c>
      <c r="V98" s="17" t="s">
        <v>3</v>
      </c>
      <c r="W98" s="6">
        <v>389</v>
      </c>
      <c r="X98" s="6" t="s">
        <v>208</v>
      </c>
    </row>
    <row r="99" spans="1:24" ht="67.5" x14ac:dyDescent="0.25">
      <c r="A99" s="6" t="s">
        <v>557</v>
      </c>
      <c r="B99" s="14">
        <v>46072</v>
      </c>
      <c r="C99" s="14">
        <v>46073</v>
      </c>
      <c r="D99" s="6" t="s">
        <v>558</v>
      </c>
      <c r="E99" s="6" t="s">
        <v>40</v>
      </c>
      <c r="F99" s="6" t="s">
        <v>40</v>
      </c>
      <c r="G99" s="6" t="s">
        <v>236</v>
      </c>
      <c r="H99" s="10">
        <v>150</v>
      </c>
      <c r="I99" s="6"/>
      <c r="J99" s="6"/>
      <c r="K99" s="6" t="s">
        <v>3</v>
      </c>
      <c r="L99" s="10">
        <v>45</v>
      </c>
      <c r="M99" s="6"/>
      <c r="N99" s="6"/>
      <c r="O99" s="6"/>
      <c r="P99" s="17" t="s">
        <v>3</v>
      </c>
      <c r="Q99" s="6" t="s">
        <v>211</v>
      </c>
      <c r="R99" s="17" t="s">
        <v>559</v>
      </c>
      <c r="S99" s="17" t="s">
        <v>560</v>
      </c>
      <c r="T99" s="6" t="s">
        <v>25</v>
      </c>
      <c r="U99" s="6" t="s">
        <v>222</v>
      </c>
      <c r="V99" s="17" t="s">
        <v>561</v>
      </c>
      <c r="W99" s="6">
        <v>390</v>
      </c>
      <c r="X99" s="6" t="s">
        <v>224</v>
      </c>
    </row>
    <row r="100" spans="1:24" ht="40.5" x14ac:dyDescent="0.25">
      <c r="A100" s="6" t="s">
        <v>562</v>
      </c>
      <c r="B100" s="14">
        <v>46072</v>
      </c>
      <c r="C100" s="14">
        <v>46073</v>
      </c>
      <c r="D100" s="6" t="s">
        <v>563</v>
      </c>
      <c r="E100" s="6" t="s">
        <v>45</v>
      </c>
      <c r="F100" s="6" t="s">
        <v>3</v>
      </c>
      <c r="G100" s="6" t="s">
        <v>236</v>
      </c>
      <c r="H100" s="10">
        <v>45</v>
      </c>
      <c r="I100" s="6"/>
      <c r="J100" s="6"/>
      <c r="K100" s="6" t="s">
        <v>3</v>
      </c>
      <c r="L100" s="6"/>
      <c r="M100" s="6"/>
      <c r="N100" s="6"/>
      <c r="O100" s="6"/>
      <c r="P100" s="17" t="s">
        <v>3</v>
      </c>
      <c r="Q100" s="6" t="s">
        <v>228</v>
      </c>
      <c r="R100" s="17" t="s">
        <v>564</v>
      </c>
      <c r="S100" s="17" t="s">
        <v>565</v>
      </c>
      <c r="T100" s="6" t="s">
        <v>26</v>
      </c>
      <c r="U100" s="6" t="s">
        <v>222</v>
      </c>
      <c r="V100" s="17" t="s">
        <v>543</v>
      </c>
      <c r="W100" s="6">
        <v>391</v>
      </c>
      <c r="X100" s="6" t="s">
        <v>224</v>
      </c>
    </row>
    <row r="101" spans="1:24" ht="40.5" x14ac:dyDescent="0.25">
      <c r="A101" s="6" t="s">
        <v>566</v>
      </c>
      <c r="B101" s="14">
        <v>46072</v>
      </c>
      <c r="C101" s="14">
        <v>46073</v>
      </c>
      <c r="D101" s="6" t="s">
        <v>563</v>
      </c>
      <c r="E101" s="6" t="s">
        <v>45</v>
      </c>
      <c r="F101" s="6" t="s">
        <v>3</v>
      </c>
      <c r="G101" s="6" t="s">
        <v>506</v>
      </c>
      <c r="H101" s="10">
        <v>60</v>
      </c>
      <c r="I101" s="6"/>
      <c r="J101" s="6"/>
      <c r="K101" s="6" t="s">
        <v>3</v>
      </c>
      <c r="L101" s="6"/>
      <c r="M101" s="6"/>
      <c r="N101" s="6"/>
      <c r="O101" s="6"/>
      <c r="P101" s="17" t="s">
        <v>3</v>
      </c>
      <c r="Q101" s="6" t="s">
        <v>228</v>
      </c>
      <c r="R101" s="17" t="s">
        <v>564</v>
      </c>
      <c r="S101" s="17" t="s">
        <v>565</v>
      </c>
      <c r="T101" s="6" t="s">
        <v>26</v>
      </c>
      <c r="U101" s="6" t="s">
        <v>222</v>
      </c>
      <c r="V101" s="17" t="s">
        <v>543</v>
      </c>
      <c r="W101" s="6">
        <v>391</v>
      </c>
      <c r="X101" s="6" t="s">
        <v>224</v>
      </c>
    </row>
    <row r="102" spans="1:24" ht="54" x14ac:dyDescent="0.25">
      <c r="A102" s="6" t="s">
        <v>567</v>
      </c>
      <c r="B102" s="14">
        <v>46072</v>
      </c>
      <c r="C102" s="14">
        <v>46072</v>
      </c>
      <c r="D102" s="6" t="s">
        <v>568</v>
      </c>
      <c r="E102" s="6" t="s">
        <v>68</v>
      </c>
      <c r="F102" s="6" t="s">
        <v>68</v>
      </c>
      <c r="G102" s="6" t="s">
        <v>236</v>
      </c>
      <c r="H102" s="10">
        <v>160</v>
      </c>
      <c r="I102" s="6"/>
      <c r="J102" s="6"/>
      <c r="K102" s="6" t="s">
        <v>3</v>
      </c>
      <c r="L102" s="10">
        <v>55</v>
      </c>
      <c r="M102" s="6"/>
      <c r="N102" s="6"/>
      <c r="O102" s="6"/>
      <c r="P102" s="17" t="s">
        <v>3</v>
      </c>
      <c r="Q102" s="6" t="s">
        <v>313</v>
      </c>
      <c r="R102" s="17" t="s">
        <v>569</v>
      </c>
      <c r="S102" s="17" t="s">
        <v>570</v>
      </c>
      <c r="T102" s="6" t="s">
        <v>24</v>
      </c>
      <c r="U102" s="6" t="s">
        <v>207</v>
      </c>
      <c r="V102" s="17" t="s">
        <v>3</v>
      </c>
      <c r="W102" s="6">
        <v>388</v>
      </c>
      <c r="X102" s="6" t="s">
        <v>208</v>
      </c>
    </row>
    <row r="103" spans="1:24" ht="67.5" x14ac:dyDescent="0.25">
      <c r="A103" s="6" t="s">
        <v>571</v>
      </c>
      <c r="B103" s="14">
        <v>46073</v>
      </c>
      <c r="C103" s="14">
        <v>46073</v>
      </c>
      <c r="D103" s="6" t="s">
        <v>572</v>
      </c>
      <c r="E103" s="6" t="s">
        <v>40</v>
      </c>
      <c r="F103" s="6" t="s">
        <v>40</v>
      </c>
      <c r="G103" s="6" t="s">
        <v>236</v>
      </c>
      <c r="H103" s="10">
        <v>190</v>
      </c>
      <c r="I103" s="6"/>
      <c r="J103" s="6"/>
      <c r="K103" s="6" t="s">
        <v>3</v>
      </c>
      <c r="L103" s="10">
        <v>60</v>
      </c>
      <c r="M103" s="6"/>
      <c r="N103" s="6"/>
      <c r="O103" s="6"/>
      <c r="P103" s="17" t="s">
        <v>3</v>
      </c>
      <c r="Q103" s="6" t="s">
        <v>211</v>
      </c>
      <c r="R103" s="17" t="s">
        <v>573</v>
      </c>
      <c r="S103" s="17" t="s">
        <v>574</v>
      </c>
      <c r="T103" s="6" t="s">
        <v>24</v>
      </c>
      <c r="U103" s="6" t="s">
        <v>207</v>
      </c>
      <c r="V103" s="17" t="s">
        <v>3</v>
      </c>
      <c r="W103" s="6">
        <v>393</v>
      </c>
      <c r="X103" s="6" t="s">
        <v>208</v>
      </c>
    </row>
    <row r="104" spans="1:24" ht="67.5" x14ac:dyDescent="0.25">
      <c r="A104" s="6" t="s">
        <v>575</v>
      </c>
      <c r="B104" s="14">
        <v>46073</v>
      </c>
      <c r="C104" s="14">
        <v>46073</v>
      </c>
      <c r="D104" s="6" t="s">
        <v>576</v>
      </c>
      <c r="E104" s="6" t="s">
        <v>40</v>
      </c>
      <c r="F104" s="6" t="s">
        <v>40</v>
      </c>
      <c r="G104" s="6" t="s">
        <v>236</v>
      </c>
      <c r="H104" s="10">
        <v>190</v>
      </c>
      <c r="I104" s="6"/>
      <c r="J104" s="6"/>
      <c r="K104" s="6" t="s">
        <v>3</v>
      </c>
      <c r="L104" s="10">
        <v>60</v>
      </c>
      <c r="M104" s="6"/>
      <c r="N104" s="6"/>
      <c r="O104" s="6"/>
      <c r="P104" s="17" t="s">
        <v>3</v>
      </c>
      <c r="Q104" s="6" t="s">
        <v>211</v>
      </c>
      <c r="R104" s="17" t="s">
        <v>577</v>
      </c>
      <c r="S104" s="17" t="s">
        <v>578</v>
      </c>
      <c r="T104" s="6" t="s">
        <v>25</v>
      </c>
      <c r="U104" s="6" t="s">
        <v>222</v>
      </c>
      <c r="V104" s="17" t="s">
        <v>579</v>
      </c>
      <c r="W104" s="6">
        <v>394</v>
      </c>
      <c r="X104" s="6" t="s">
        <v>224</v>
      </c>
    </row>
    <row r="105" spans="1:24" ht="54" x14ac:dyDescent="0.25">
      <c r="A105" s="6" t="s">
        <v>580</v>
      </c>
      <c r="B105" s="14">
        <v>46073</v>
      </c>
      <c r="C105" s="14">
        <v>46073</v>
      </c>
      <c r="D105" s="6" t="s">
        <v>581</v>
      </c>
      <c r="E105" s="6" t="s">
        <v>45</v>
      </c>
      <c r="F105" s="6" t="s">
        <v>3</v>
      </c>
      <c r="G105" s="6" t="s">
        <v>236</v>
      </c>
      <c r="H105" s="10">
        <v>60</v>
      </c>
      <c r="I105" s="6"/>
      <c r="J105" s="6"/>
      <c r="K105" s="6" t="s">
        <v>3</v>
      </c>
      <c r="L105" s="6"/>
      <c r="M105" s="6"/>
      <c r="N105" s="6"/>
      <c r="O105" s="6"/>
      <c r="P105" s="17" t="s">
        <v>3</v>
      </c>
      <c r="Q105" s="6" t="s">
        <v>228</v>
      </c>
      <c r="R105" s="17" t="s">
        <v>582</v>
      </c>
      <c r="S105" s="17" t="s">
        <v>583</v>
      </c>
      <c r="T105" s="6" t="s">
        <v>26</v>
      </c>
      <c r="U105" s="6" t="s">
        <v>222</v>
      </c>
      <c r="V105" s="17" t="s">
        <v>543</v>
      </c>
      <c r="W105" s="6">
        <v>392</v>
      </c>
      <c r="X105" s="6" t="s">
        <v>224</v>
      </c>
    </row>
    <row r="106" spans="1:24" ht="54" x14ac:dyDescent="0.25">
      <c r="A106" s="6" t="s">
        <v>584</v>
      </c>
      <c r="B106" s="14">
        <v>46073</v>
      </c>
      <c r="C106" s="14">
        <v>46073</v>
      </c>
      <c r="D106" s="6" t="s">
        <v>581</v>
      </c>
      <c r="E106" s="6" t="s">
        <v>45</v>
      </c>
      <c r="F106" s="6" t="s">
        <v>3</v>
      </c>
      <c r="G106" s="6" t="s">
        <v>236</v>
      </c>
      <c r="H106" s="10">
        <v>15</v>
      </c>
      <c r="I106" s="6"/>
      <c r="J106" s="6"/>
      <c r="K106" s="6" t="s">
        <v>3</v>
      </c>
      <c r="L106" s="6"/>
      <c r="M106" s="6"/>
      <c r="N106" s="6"/>
      <c r="O106" s="6"/>
      <c r="P106" s="17" t="s">
        <v>3</v>
      </c>
      <c r="Q106" s="6" t="s">
        <v>228</v>
      </c>
      <c r="R106" s="17" t="s">
        <v>582</v>
      </c>
      <c r="S106" s="17" t="s">
        <v>583</v>
      </c>
      <c r="T106" s="6" t="s">
        <v>26</v>
      </c>
      <c r="U106" s="6" t="s">
        <v>222</v>
      </c>
      <c r="V106" s="17" t="s">
        <v>543</v>
      </c>
      <c r="W106" s="6">
        <v>392</v>
      </c>
      <c r="X106" s="6" t="s">
        <v>224</v>
      </c>
    </row>
    <row r="107" spans="1:24" ht="54" x14ac:dyDescent="0.25">
      <c r="A107" s="6" t="s">
        <v>585</v>
      </c>
      <c r="B107" s="14">
        <v>46073</v>
      </c>
      <c r="C107" s="14">
        <v>46073</v>
      </c>
      <c r="D107" s="6" t="s">
        <v>581</v>
      </c>
      <c r="E107" s="6" t="s">
        <v>45</v>
      </c>
      <c r="F107" s="6" t="s">
        <v>3</v>
      </c>
      <c r="G107" s="6" t="s">
        <v>506</v>
      </c>
      <c r="H107" s="10">
        <v>38</v>
      </c>
      <c r="I107" s="6"/>
      <c r="J107" s="6"/>
      <c r="K107" s="6" t="s">
        <v>3</v>
      </c>
      <c r="L107" s="6"/>
      <c r="M107" s="6"/>
      <c r="N107" s="6"/>
      <c r="O107" s="6"/>
      <c r="P107" s="17" t="s">
        <v>3</v>
      </c>
      <c r="Q107" s="6" t="s">
        <v>228</v>
      </c>
      <c r="R107" s="17" t="s">
        <v>582</v>
      </c>
      <c r="S107" s="17" t="s">
        <v>583</v>
      </c>
      <c r="T107" s="6" t="s">
        <v>26</v>
      </c>
      <c r="U107" s="6" t="s">
        <v>222</v>
      </c>
      <c r="V107" s="17" t="s">
        <v>543</v>
      </c>
      <c r="W107" s="6">
        <v>392</v>
      </c>
      <c r="X107" s="6" t="s">
        <v>224</v>
      </c>
    </row>
    <row r="108" spans="1:24" ht="54" x14ac:dyDescent="0.25">
      <c r="A108" s="6" t="s">
        <v>586</v>
      </c>
      <c r="B108" s="14">
        <v>46073</v>
      </c>
      <c r="C108" s="14">
        <v>46073</v>
      </c>
      <c r="D108" s="6" t="s">
        <v>587</v>
      </c>
      <c r="E108" s="6" t="s">
        <v>68</v>
      </c>
      <c r="F108" s="6" t="s">
        <v>68</v>
      </c>
      <c r="G108" s="6" t="s">
        <v>236</v>
      </c>
      <c r="H108" s="10">
        <v>310</v>
      </c>
      <c r="I108" s="6"/>
      <c r="J108" s="6"/>
      <c r="K108" s="6" t="s">
        <v>3</v>
      </c>
      <c r="L108" s="10">
        <v>104</v>
      </c>
      <c r="M108" s="6"/>
      <c r="N108" s="6"/>
      <c r="O108" s="6"/>
      <c r="P108" s="17" t="s">
        <v>3</v>
      </c>
      <c r="Q108" s="6" t="s">
        <v>313</v>
      </c>
      <c r="R108" s="17" t="s">
        <v>588</v>
      </c>
      <c r="S108" s="17" t="s">
        <v>589</v>
      </c>
      <c r="T108" s="6" t="s">
        <v>24</v>
      </c>
      <c r="U108" s="6" t="s">
        <v>207</v>
      </c>
      <c r="V108" s="17" t="s">
        <v>3</v>
      </c>
      <c r="W108" s="6">
        <v>396</v>
      </c>
      <c r="X108" s="6" t="s">
        <v>208</v>
      </c>
    </row>
    <row r="109" spans="1:24" ht="108" x14ac:dyDescent="0.25">
      <c r="A109" s="6" t="s">
        <v>590</v>
      </c>
      <c r="B109" s="14">
        <v>46073</v>
      </c>
      <c r="C109" s="14">
        <v>46073</v>
      </c>
      <c r="D109" s="6" t="s">
        <v>591</v>
      </c>
      <c r="E109" s="6" t="s">
        <v>93</v>
      </c>
      <c r="F109" s="6" t="s">
        <v>93</v>
      </c>
      <c r="G109" s="6" t="s">
        <v>204</v>
      </c>
      <c r="H109" s="10">
        <v>300</v>
      </c>
      <c r="I109" s="6"/>
      <c r="J109" s="6"/>
      <c r="K109" s="6" t="s">
        <v>3</v>
      </c>
      <c r="L109" s="6"/>
      <c r="M109" s="10">
        <v>91</v>
      </c>
      <c r="N109" s="6"/>
      <c r="O109" s="6"/>
      <c r="P109" s="17" t="s">
        <v>3</v>
      </c>
      <c r="Q109" s="6" t="s">
        <v>205</v>
      </c>
      <c r="R109" s="17" t="s">
        <v>3</v>
      </c>
      <c r="S109" s="17" t="s">
        <v>592</v>
      </c>
      <c r="T109" s="6" t="s">
        <v>24</v>
      </c>
      <c r="U109" s="6" t="s">
        <v>207</v>
      </c>
      <c r="V109" s="17" t="s">
        <v>3</v>
      </c>
      <c r="W109" s="6">
        <v>395</v>
      </c>
      <c r="X109" s="6" t="s">
        <v>208</v>
      </c>
    </row>
    <row r="110" spans="1:24" ht="108" x14ac:dyDescent="0.25">
      <c r="A110" s="6" t="s">
        <v>593</v>
      </c>
      <c r="B110" s="14">
        <v>46073</v>
      </c>
      <c r="C110" s="14">
        <v>46073</v>
      </c>
      <c r="D110" s="6" t="s">
        <v>591</v>
      </c>
      <c r="E110" s="6" t="s">
        <v>93</v>
      </c>
      <c r="F110" s="6" t="s">
        <v>93</v>
      </c>
      <c r="G110" s="6" t="s">
        <v>204</v>
      </c>
      <c r="H110" s="10">
        <v>223</v>
      </c>
      <c r="I110" s="6"/>
      <c r="J110" s="6"/>
      <c r="K110" s="6" t="s">
        <v>3</v>
      </c>
      <c r="L110" s="6"/>
      <c r="M110" s="10">
        <v>91</v>
      </c>
      <c r="N110" s="6"/>
      <c r="O110" s="6"/>
      <c r="P110" s="17" t="s">
        <v>3</v>
      </c>
      <c r="Q110" s="6" t="s">
        <v>205</v>
      </c>
      <c r="R110" s="17" t="s">
        <v>3</v>
      </c>
      <c r="S110" s="17" t="s">
        <v>592</v>
      </c>
      <c r="T110" s="6" t="s">
        <v>24</v>
      </c>
      <c r="U110" s="6" t="s">
        <v>207</v>
      </c>
      <c r="V110" s="17" t="s">
        <v>3</v>
      </c>
      <c r="W110" s="6">
        <v>395</v>
      </c>
      <c r="X110" s="6" t="s">
        <v>208</v>
      </c>
    </row>
    <row r="111" spans="1:24" ht="27" x14ac:dyDescent="0.25">
      <c r="A111" s="6" t="s">
        <v>594</v>
      </c>
      <c r="B111" s="14">
        <v>46074</v>
      </c>
      <c r="C111" s="14">
        <v>46074</v>
      </c>
      <c r="D111" s="6" t="s">
        <v>595</v>
      </c>
      <c r="E111" s="6" t="s">
        <v>45</v>
      </c>
      <c r="F111" s="6" t="s">
        <v>3</v>
      </c>
      <c r="G111" s="6" t="s">
        <v>236</v>
      </c>
      <c r="H111" s="10">
        <v>108</v>
      </c>
      <c r="I111" s="6"/>
      <c r="J111" s="6"/>
      <c r="K111" s="6" t="s">
        <v>3</v>
      </c>
      <c r="L111" s="6"/>
      <c r="M111" s="6"/>
      <c r="N111" s="6"/>
      <c r="O111" s="6"/>
      <c r="P111" s="17" t="s">
        <v>3</v>
      </c>
      <c r="Q111" s="6" t="s">
        <v>228</v>
      </c>
      <c r="R111" s="17" t="s">
        <v>596</v>
      </c>
      <c r="S111" s="17" t="s">
        <v>597</v>
      </c>
      <c r="T111" s="6" t="s">
        <v>26</v>
      </c>
      <c r="U111" s="6" t="s">
        <v>222</v>
      </c>
      <c r="V111" s="17" t="s">
        <v>543</v>
      </c>
      <c r="W111" s="6">
        <v>397</v>
      </c>
      <c r="X111" s="6" t="s">
        <v>224</v>
      </c>
    </row>
    <row r="112" spans="1:24" ht="54" x14ac:dyDescent="0.25">
      <c r="A112" s="6" t="s">
        <v>598</v>
      </c>
      <c r="B112" s="14">
        <v>46074</v>
      </c>
      <c r="C112" s="14">
        <v>46044</v>
      </c>
      <c r="D112" s="6" t="s">
        <v>599</v>
      </c>
      <c r="E112" s="6" t="s">
        <v>55</v>
      </c>
      <c r="F112" s="6" t="s">
        <v>55</v>
      </c>
      <c r="G112" s="6" t="s">
        <v>204</v>
      </c>
      <c r="H112" s="10">
        <v>360</v>
      </c>
      <c r="I112" s="6"/>
      <c r="J112" s="6"/>
      <c r="K112" s="6" t="s">
        <v>3</v>
      </c>
      <c r="L112" s="6"/>
      <c r="M112" s="10">
        <v>76</v>
      </c>
      <c r="N112" s="6"/>
      <c r="O112" s="6"/>
      <c r="P112" s="17" t="s">
        <v>3</v>
      </c>
      <c r="Q112" s="6" t="s">
        <v>205</v>
      </c>
      <c r="R112" s="17" t="s">
        <v>3</v>
      </c>
      <c r="S112" s="17" t="s">
        <v>600</v>
      </c>
      <c r="T112" s="6" t="s">
        <v>25</v>
      </c>
      <c r="U112" s="6" t="s">
        <v>222</v>
      </c>
      <c r="V112" s="17" t="s">
        <v>601</v>
      </c>
      <c r="W112" s="6">
        <v>305</v>
      </c>
      <c r="X112" s="6" t="s">
        <v>224</v>
      </c>
    </row>
    <row r="113" spans="1:24" ht="54" x14ac:dyDescent="0.25">
      <c r="A113" s="6" t="s">
        <v>602</v>
      </c>
      <c r="B113" s="14">
        <v>46074</v>
      </c>
      <c r="C113" s="14">
        <v>46074</v>
      </c>
      <c r="D113" s="6" t="s">
        <v>603</v>
      </c>
      <c r="E113" s="6" t="s">
        <v>68</v>
      </c>
      <c r="F113" s="6" t="s">
        <v>68</v>
      </c>
      <c r="G113" s="6" t="s">
        <v>236</v>
      </c>
      <c r="H113" s="10">
        <v>285</v>
      </c>
      <c r="I113" s="6"/>
      <c r="J113" s="6"/>
      <c r="K113" s="6" t="s">
        <v>3</v>
      </c>
      <c r="L113" s="10">
        <v>92</v>
      </c>
      <c r="M113" s="6"/>
      <c r="N113" s="6"/>
      <c r="O113" s="6"/>
      <c r="P113" s="17" t="s">
        <v>3</v>
      </c>
      <c r="Q113" s="6" t="s">
        <v>313</v>
      </c>
      <c r="R113" s="17" t="s">
        <v>604</v>
      </c>
      <c r="S113" s="17" t="s">
        <v>605</v>
      </c>
      <c r="T113" s="6" t="s">
        <v>24</v>
      </c>
      <c r="U113" s="6" t="s">
        <v>207</v>
      </c>
      <c r="V113" s="17" t="s">
        <v>3</v>
      </c>
      <c r="W113" s="6">
        <v>398</v>
      </c>
      <c r="X113" s="6" t="s">
        <v>208</v>
      </c>
    </row>
    <row r="114" spans="1:24" ht="67.5" x14ac:dyDescent="0.25">
      <c r="A114" s="6" t="s">
        <v>606</v>
      </c>
      <c r="B114" s="14">
        <v>46076</v>
      </c>
      <c r="C114" s="14">
        <v>46076</v>
      </c>
      <c r="D114" s="6" t="s">
        <v>607</v>
      </c>
      <c r="E114" s="6" t="s">
        <v>40</v>
      </c>
      <c r="F114" s="6" t="s">
        <v>40</v>
      </c>
      <c r="G114" s="6" t="s">
        <v>236</v>
      </c>
      <c r="H114" s="10">
        <v>208</v>
      </c>
      <c r="I114" s="6"/>
      <c r="J114" s="6"/>
      <c r="K114" s="6" t="s">
        <v>3</v>
      </c>
      <c r="L114" s="10">
        <v>55</v>
      </c>
      <c r="M114" s="6"/>
      <c r="N114" s="6"/>
      <c r="O114" s="6"/>
      <c r="P114" s="17" t="s">
        <v>3</v>
      </c>
      <c r="Q114" s="6" t="s">
        <v>211</v>
      </c>
      <c r="R114" s="17" t="s">
        <v>608</v>
      </c>
      <c r="S114" s="17" t="s">
        <v>609</v>
      </c>
      <c r="T114" s="6" t="s">
        <v>24</v>
      </c>
      <c r="U114" s="6" t="s">
        <v>207</v>
      </c>
      <c r="V114" s="17" t="s">
        <v>3</v>
      </c>
      <c r="W114" s="6">
        <v>401</v>
      </c>
      <c r="X114" s="6" t="s">
        <v>208</v>
      </c>
    </row>
    <row r="115" spans="1:24" ht="67.5" x14ac:dyDescent="0.25">
      <c r="A115" s="6" t="s">
        <v>610</v>
      </c>
      <c r="B115" s="14">
        <v>46076</v>
      </c>
      <c r="C115" s="14">
        <v>46076</v>
      </c>
      <c r="D115" s="6" t="s">
        <v>611</v>
      </c>
      <c r="E115" s="6" t="s">
        <v>40</v>
      </c>
      <c r="F115" s="6" t="s">
        <v>40</v>
      </c>
      <c r="G115" s="6" t="s">
        <v>236</v>
      </c>
      <c r="H115" s="10">
        <v>208</v>
      </c>
      <c r="I115" s="6"/>
      <c r="J115" s="6"/>
      <c r="K115" s="6" t="s">
        <v>3</v>
      </c>
      <c r="L115" s="10">
        <v>55</v>
      </c>
      <c r="M115" s="6"/>
      <c r="N115" s="6"/>
      <c r="O115" s="6"/>
      <c r="P115" s="17" t="s">
        <v>3</v>
      </c>
      <c r="Q115" s="6" t="s">
        <v>211</v>
      </c>
      <c r="R115" s="17" t="s">
        <v>612</v>
      </c>
      <c r="S115" s="17" t="s">
        <v>613</v>
      </c>
      <c r="T115" s="6" t="s">
        <v>25</v>
      </c>
      <c r="U115" s="6" t="s">
        <v>222</v>
      </c>
      <c r="V115" s="17" t="s">
        <v>614</v>
      </c>
      <c r="W115" s="6">
        <v>402</v>
      </c>
      <c r="X115" s="6" t="s">
        <v>224</v>
      </c>
    </row>
    <row r="116" spans="1:24" ht="54" x14ac:dyDescent="0.25">
      <c r="A116" s="6" t="s">
        <v>615</v>
      </c>
      <c r="B116" s="14">
        <v>46076</v>
      </c>
      <c r="C116" s="14">
        <v>46077</v>
      </c>
      <c r="D116" s="6" t="s">
        <v>616</v>
      </c>
      <c r="E116" s="6" t="s">
        <v>40</v>
      </c>
      <c r="F116" s="6" t="s">
        <v>40</v>
      </c>
      <c r="G116" s="6" t="s">
        <v>204</v>
      </c>
      <c r="H116" s="10">
        <v>376</v>
      </c>
      <c r="I116" s="6"/>
      <c r="J116" s="6"/>
      <c r="K116" s="6" t="s">
        <v>3</v>
      </c>
      <c r="L116" s="6"/>
      <c r="M116" s="10">
        <v>79</v>
      </c>
      <c r="N116" s="6"/>
      <c r="O116" s="6"/>
      <c r="P116" s="17" t="s">
        <v>3</v>
      </c>
      <c r="Q116" s="6" t="s">
        <v>205</v>
      </c>
      <c r="R116" s="17" t="s">
        <v>617</v>
      </c>
      <c r="S116" s="17" t="s">
        <v>618</v>
      </c>
      <c r="T116" s="6" t="s">
        <v>25</v>
      </c>
      <c r="U116" s="6" t="s">
        <v>222</v>
      </c>
      <c r="V116" s="17" t="s">
        <v>404</v>
      </c>
      <c r="W116" s="6">
        <v>404</v>
      </c>
      <c r="X116" s="6" t="s">
        <v>224</v>
      </c>
    </row>
    <row r="117" spans="1:24" x14ac:dyDescent="0.25">
      <c r="A117" s="6" t="s">
        <v>619</v>
      </c>
      <c r="B117" s="14">
        <v>46076</v>
      </c>
      <c r="C117" s="14">
        <v>46076</v>
      </c>
      <c r="D117" s="6" t="s">
        <v>620</v>
      </c>
      <c r="E117" s="6" t="s">
        <v>45</v>
      </c>
      <c r="F117" s="6" t="s">
        <v>3</v>
      </c>
      <c r="G117" s="6" t="s">
        <v>204</v>
      </c>
      <c r="H117" s="10">
        <v>270</v>
      </c>
      <c r="I117" s="6"/>
      <c r="J117" s="6"/>
      <c r="K117" s="6" t="s">
        <v>3</v>
      </c>
      <c r="L117" s="6"/>
      <c r="M117" s="6"/>
      <c r="N117" s="6"/>
      <c r="O117" s="6"/>
      <c r="P117" s="17" t="s">
        <v>3</v>
      </c>
      <c r="Q117" s="6" t="s">
        <v>228</v>
      </c>
      <c r="R117" s="17" t="s">
        <v>621</v>
      </c>
      <c r="S117" s="17" t="s">
        <v>622</v>
      </c>
      <c r="T117" s="6" t="s">
        <v>26</v>
      </c>
      <c r="U117" s="6" t="s">
        <v>222</v>
      </c>
      <c r="V117" s="17" t="s">
        <v>543</v>
      </c>
      <c r="W117" s="6">
        <v>400</v>
      </c>
      <c r="X117" s="6" t="s">
        <v>224</v>
      </c>
    </row>
    <row r="118" spans="1:24" ht="108" x14ac:dyDescent="0.25">
      <c r="A118" s="6" t="s">
        <v>623</v>
      </c>
      <c r="B118" s="14">
        <v>46076</v>
      </c>
      <c r="C118" s="14">
        <v>46076</v>
      </c>
      <c r="D118" s="6" t="s">
        <v>624</v>
      </c>
      <c r="E118" s="6" t="s">
        <v>68</v>
      </c>
      <c r="F118" s="6" t="s">
        <v>68</v>
      </c>
      <c r="G118" s="6" t="s">
        <v>625</v>
      </c>
      <c r="H118" s="10">
        <v>50</v>
      </c>
      <c r="I118" s="6"/>
      <c r="J118" s="6"/>
      <c r="K118" s="6" t="s">
        <v>3</v>
      </c>
      <c r="L118" s="10">
        <v>27</v>
      </c>
      <c r="M118" s="6"/>
      <c r="N118" s="6"/>
      <c r="O118" s="6"/>
      <c r="P118" s="17" t="s">
        <v>626</v>
      </c>
      <c r="Q118" s="6" t="s">
        <v>313</v>
      </c>
      <c r="R118" s="17" t="s">
        <v>627</v>
      </c>
      <c r="S118" s="17" t="s">
        <v>628</v>
      </c>
      <c r="T118" s="6" t="s">
        <v>24</v>
      </c>
      <c r="U118" s="6" t="s">
        <v>207</v>
      </c>
      <c r="V118" s="17" t="s">
        <v>3</v>
      </c>
      <c r="W118" s="6">
        <v>399</v>
      </c>
      <c r="X118" s="6" t="s">
        <v>208</v>
      </c>
    </row>
    <row r="119" spans="1:24" ht="54" x14ac:dyDescent="0.25">
      <c r="A119" s="6" t="s">
        <v>629</v>
      </c>
      <c r="B119" s="14">
        <v>46076</v>
      </c>
      <c r="C119" s="14">
        <v>46077</v>
      </c>
      <c r="D119" s="6" t="s">
        <v>630</v>
      </c>
      <c r="E119" s="6" t="s">
        <v>100</v>
      </c>
      <c r="F119" s="6" t="s">
        <v>100</v>
      </c>
      <c r="G119" s="6" t="s">
        <v>236</v>
      </c>
      <c r="H119" s="10">
        <v>176</v>
      </c>
      <c r="I119" s="6"/>
      <c r="J119" s="6"/>
      <c r="K119" s="6" t="s">
        <v>3</v>
      </c>
      <c r="L119" s="10">
        <v>62</v>
      </c>
      <c r="M119" s="6"/>
      <c r="N119" s="6"/>
      <c r="O119" s="6"/>
      <c r="P119" s="17" t="s">
        <v>3</v>
      </c>
      <c r="Q119" s="6" t="s">
        <v>313</v>
      </c>
      <c r="R119" s="17" t="s">
        <v>631</v>
      </c>
      <c r="S119" s="17" t="s">
        <v>632</v>
      </c>
      <c r="T119" s="6" t="s">
        <v>24</v>
      </c>
      <c r="U119" s="6" t="s">
        <v>207</v>
      </c>
      <c r="V119" s="17" t="s">
        <v>3</v>
      </c>
      <c r="W119" s="6">
        <v>403</v>
      </c>
      <c r="X119" s="6" t="s">
        <v>208</v>
      </c>
    </row>
    <row r="120" spans="1:24" ht="54" x14ac:dyDescent="0.25">
      <c r="A120" s="6" t="s">
        <v>633</v>
      </c>
      <c r="B120" s="14">
        <v>46077</v>
      </c>
      <c r="C120" s="14">
        <v>46077</v>
      </c>
      <c r="D120" s="6" t="s">
        <v>634</v>
      </c>
      <c r="E120" s="6" t="s">
        <v>110</v>
      </c>
      <c r="F120" s="6" t="s">
        <v>110</v>
      </c>
      <c r="G120" s="6" t="s">
        <v>204</v>
      </c>
      <c r="H120" s="10">
        <v>263</v>
      </c>
      <c r="I120" s="6"/>
      <c r="J120" s="6"/>
      <c r="K120" s="6" t="s">
        <v>3</v>
      </c>
      <c r="L120" s="6"/>
      <c r="M120" s="10">
        <v>115</v>
      </c>
      <c r="N120" s="6"/>
      <c r="O120" s="6"/>
      <c r="P120" s="17" t="s">
        <v>3</v>
      </c>
      <c r="Q120" s="6" t="s">
        <v>205</v>
      </c>
      <c r="R120" s="17" t="s">
        <v>3</v>
      </c>
      <c r="S120" s="17" t="s">
        <v>635</v>
      </c>
      <c r="T120" s="6" t="s">
        <v>24</v>
      </c>
      <c r="U120" s="6" t="s">
        <v>207</v>
      </c>
      <c r="V120" s="17" t="s">
        <v>3</v>
      </c>
      <c r="W120" s="6">
        <v>410</v>
      </c>
      <c r="X120" s="6" t="s">
        <v>208</v>
      </c>
    </row>
    <row r="121" spans="1:24" ht="54" x14ac:dyDescent="0.25">
      <c r="A121" s="6" t="s">
        <v>636</v>
      </c>
      <c r="B121" s="14">
        <v>46077</v>
      </c>
      <c r="C121" s="14">
        <v>46078</v>
      </c>
      <c r="D121" s="6" t="s">
        <v>637</v>
      </c>
      <c r="E121" s="6" t="s">
        <v>38</v>
      </c>
      <c r="F121" s="6" t="s">
        <v>38</v>
      </c>
      <c r="G121" s="6" t="s">
        <v>236</v>
      </c>
      <c r="H121" s="10">
        <v>199</v>
      </c>
      <c r="I121" s="6"/>
      <c r="J121" s="6"/>
      <c r="K121" s="6" t="s">
        <v>3</v>
      </c>
      <c r="L121" s="10">
        <v>79</v>
      </c>
      <c r="M121" s="6"/>
      <c r="N121" s="6"/>
      <c r="O121" s="6"/>
      <c r="P121" s="17" t="s">
        <v>3</v>
      </c>
      <c r="Q121" s="6" t="s">
        <v>313</v>
      </c>
      <c r="R121" s="17" t="s">
        <v>3</v>
      </c>
      <c r="S121" s="17" t="s">
        <v>638</v>
      </c>
      <c r="T121" s="6" t="s">
        <v>24</v>
      </c>
      <c r="U121" s="6" t="s">
        <v>207</v>
      </c>
      <c r="V121" s="17" t="s">
        <v>3</v>
      </c>
      <c r="W121" s="6">
        <v>415</v>
      </c>
      <c r="X121" s="6" t="s">
        <v>208</v>
      </c>
    </row>
    <row r="122" spans="1:24" ht="67.5" x14ac:dyDescent="0.25">
      <c r="A122" s="6" t="s">
        <v>639</v>
      </c>
      <c r="B122" s="14">
        <v>46077</v>
      </c>
      <c r="C122" s="14">
        <v>46077</v>
      </c>
      <c r="D122" s="6" t="s">
        <v>640</v>
      </c>
      <c r="E122" s="6" t="s">
        <v>40</v>
      </c>
      <c r="F122" s="6" t="s">
        <v>40</v>
      </c>
      <c r="G122" s="6" t="s">
        <v>236</v>
      </c>
      <c r="H122" s="10">
        <v>190</v>
      </c>
      <c r="I122" s="6"/>
      <c r="J122" s="6"/>
      <c r="K122" s="6" t="s">
        <v>3</v>
      </c>
      <c r="L122" s="10">
        <v>70</v>
      </c>
      <c r="M122" s="6"/>
      <c r="N122" s="6"/>
      <c r="O122" s="6"/>
      <c r="P122" s="17" t="s">
        <v>3</v>
      </c>
      <c r="Q122" s="6" t="s">
        <v>211</v>
      </c>
      <c r="R122" s="17" t="s">
        <v>641</v>
      </c>
      <c r="S122" s="17" t="s">
        <v>642</v>
      </c>
      <c r="T122" s="6" t="s">
        <v>24</v>
      </c>
      <c r="U122" s="6" t="s">
        <v>207</v>
      </c>
      <c r="V122" s="17" t="s">
        <v>3</v>
      </c>
      <c r="W122" s="6">
        <v>408</v>
      </c>
      <c r="X122" s="6" t="s">
        <v>208</v>
      </c>
    </row>
    <row r="123" spans="1:24" ht="67.5" x14ac:dyDescent="0.25">
      <c r="A123" s="6" t="s">
        <v>643</v>
      </c>
      <c r="B123" s="14">
        <v>46077</v>
      </c>
      <c r="C123" s="14">
        <v>46077</v>
      </c>
      <c r="D123" s="6" t="s">
        <v>644</v>
      </c>
      <c r="E123" s="6" t="s">
        <v>40</v>
      </c>
      <c r="F123" s="6" t="s">
        <v>40</v>
      </c>
      <c r="G123" s="6" t="s">
        <v>236</v>
      </c>
      <c r="H123" s="10">
        <v>190</v>
      </c>
      <c r="I123" s="6"/>
      <c r="J123" s="6"/>
      <c r="K123" s="6" t="s">
        <v>3</v>
      </c>
      <c r="L123" s="10">
        <v>70</v>
      </c>
      <c r="M123" s="6"/>
      <c r="N123" s="6"/>
      <c r="O123" s="6"/>
      <c r="P123" s="17" t="s">
        <v>3</v>
      </c>
      <c r="Q123" s="6" t="s">
        <v>211</v>
      </c>
      <c r="R123" s="17" t="s">
        <v>645</v>
      </c>
      <c r="S123" s="17" t="s">
        <v>646</v>
      </c>
      <c r="T123" s="6" t="s">
        <v>25</v>
      </c>
      <c r="U123" s="6" t="s">
        <v>222</v>
      </c>
      <c r="V123" s="17" t="s">
        <v>647</v>
      </c>
      <c r="W123" s="6">
        <v>409</v>
      </c>
      <c r="X123" s="6" t="s">
        <v>224</v>
      </c>
    </row>
    <row r="124" spans="1:24" ht="27" x14ac:dyDescent="0.25">
      <c r="A124" s="6" t="s">
        <v>648</v>
      </c>
      <c r="B124" s="14">
        <v>46077</v>
      </c>
      <c r="C124" s="14">
        <v>46077</v>
      </c>
      <c r="D124" s="6" t="s">
        <v>649</v>
      </c>
      <c r="E124" s="6" t="s">
        <v>47</v>
      </c>
      <c r="F124" s="6" t="s">
        <v>650</v>
      </c>
      <c r="G124" s="6" t="s">
        <v>236</v>
      </c>
      <c r="H124" s="10">
        <v>130</v>
      </c>
      <c r="I124" s="6"/>
      <c r="J124" s="6"/>
      <c r="K124" s="6" t="s">
        <v>3</v>
      </c>
      <c r="L124" s="10">
        <v>53</v>
      </c>
      <c r="M124" s="6"/>
      <c r="N124" s="6"/>
      <c r="O124" s="6"/>
      <c r="P124" s="17" t="s">
        <v>3</v>
      </c>
      <c r="Q124" s="6" t="s">
        <v>228</v>
      </c>
      <c r="R124" s="17" t="s">
        <v>651</v>
      </c>
      <c r="S124" s="17" t="s">
        <v>652</v>
      </c>
      <c r="T124" s="6" t="s">
        <v>24</v>
      </c>
      <c r="U124" s="6" t="s">
        <v>207</v>
      </c>
      <c r="V124" s="17" t="s">
        <v>3</v>
      </c>
      <c r="W124" s="6">
        <v>407</v>
      </c>
      <c r="X124" s="6" t="s">
        <v>208</v>
      </c>
    </row>
    <row r="125" spans="1:24" ht="54" x14ac:dyDescent="0.25">
      <c r="A125" s="6" t="s">
        <v>653</v>
      </c>
      <c r="B125" s="14">
        <v>46078</v>
      </c>
      <c r="C125" s="14">
        <v>46078</v>
      </c>
      <c r="D125" s="6" t="s">
        <v>654</v>
      </c>
      <c r="E125" s="6" t="s">
        <v>38</v>
      </c>
      <c r="F125" s="6" t="s">
        <v>38</v>
      </c>
      <c r="G125" s="6" t="s">
        <v>263</v>
      </c>
      <c r="H125" s="10">
        <v>574</v>
      </c>
      <c r="I125" s="6"/>
      <c r="J125" s="6"/>
      <c r="K125" s="6" t="s">
        <v>3</v>
      </c>
      <c r="L125" s="6"/>
      <c r="M125" s="10">
        <v>141</v>
      </c>
      <c r="N125" s="6"/>
      <c r="O125" s="6"/>
      <c r="P125" s="17" t="s">
        <v>3</v>
      </c>
      <c r="Q125" s="6" t="s">
        <v>205</v>
      </c>
      <c r="R125" s="17" t="s">
        <v>655</v>
      </c>
      <c r="S125" s="17" t="s">
        <v>656</v>
      </c>
      <c r="T125" s="6" t="s">
        <v>25</v>
      </c>
      <c r="U125" s="6" t="s">
        <v>222</v>
      </c>
      <c r="V125" s="17" t="s">
        <v>657</v>
      </c>
      <c r="W125" s="6">
        <v>418</v>
      </c>
      <c r="X125" s="6" t="s">
        <v>224</v>
      </c>
    </row>
    <row r="126" spans="1:24" ht="67.5" x14ac:dyDescent="0.25">
      <c r="A126" s="6" t="s">
        <v>658</v>
      </c>
      <c r="B126" s="14">
        <v>46078</v>
      </c>
      <c r="C126" s="14">
        <v>46078</v>
      </c>
      <c r="D126" s="6" t="s">
        <v>659</v>
      </c>
      <c r="E126" s="6" t="s">
        <v>38</v>
      </c>
      <c r="F126" s="6" t="s">
        <v>38</v>
      </c>
      <c r="G126" s="6" t="s">
        <v>236</v>
      </c>
      <c r="H126" s="10">
        <v>260</v>
      </c>
      <c r="I126" s="6"/>
      <c r="J126" s="6"/>
      <c r="K126" s="6" t="s">
        <v>3</v>
      </c>
      <c r="L126" s="10">
        <v>106</v>
      </c>
      <c r="M126" s="6"/>
      <c r="N126" s="6"/>
      <c r="O126" s="6"/>
      <c r="P126" s="17" t="s">
        <v>3</v>
      </c>
      <c r="Q126" s="6" t="s">
        <v>313</v>
      </c>
      <c r="R126" s="17" t="s">
        <v>660</v>
      </c>
      <c r="S126" s="17" t="s">
        <v>661</v>
      </c>
      <c r="T126" s="6" t="s">
        <v>25</v>
      </c>
      <c r="U126" s="6" t="s">
        <v>222</v>
      </c>
      <c r="V126" s="17" t="s">
        <v>404</v>
      </c>
      <c r="W126" s="6">
        <v>424</v>
      </c>
      <c r="X126" s="6" t="s">
        <v>224</v>
      </c>
    </row>
    <row r="127" spans="1:24" ht="67.5" x14ac:dyDescent="0.25">
      <c r="A127" s="6" t="s">
        <v>662</v>
      </c>
      <c r="B127" s="14">
        <v>46078</v>
      </c>
      <c r="C127" s="14">
        <v>46078</v>
      </c>
      <c r="D127" s="6" t="s">
        <v>663</v>
      </c>
      <c r="E127" s="6" t="s">
        <v>40</v>
      </c>
      <c r="F127" s="6" t="s">
        <v>40</v>
      </c>
      <c r="G127" s="6" t="s">
        <v>236</v>
      </c>
      <c r="H127" s="10">
        <v>110</v>
      </c>
      <c r="I127" s="6"/>
      <c r="J127" s="6"/>
      <c r="K127" s="6" t="s">
        <v>3</v>
      </c>
      <c r="L127" s="10">
        <v>55</v>
      </c>
      <c r="M127" s="6"/>
      <c r="N127" s="6"/>
      <c r="O127" s="6"/>
      <c r="P127" s="17" t="s">
        <v>3</v>
      </c>
      <c r="Q127" s="6" t="s">
        <v>211</v>
      </c>
      <c r="R127" s="17" t="s">
        <v>664</v>
      </c>
      <c r="S127" s="17" t="s">
        <v>665</v>
      </c>
      <c r="T127" s="6" t="s">
        <v>24</v>
      </c>
      <c r="U127" s="6" t="s">
        <v>207</v>
      </c>
      <c r="V127" s="17" t="s">
        <v>3</v>
      </c>
      <c r="W127" s="6">
        <v>413</v>
      </c>
      <c r="X127" s="6" t="s">
        <v>208</v>
      </c>
    </row>
    <row r="128" spans="1:24" ht="67.5" x14ac:dyDescent="0.25">
      <c r="A128" s="6" t="s">
        <v>666</v>
      </c>
      <c r="B128" s="14">
        <v>46078</v>
      </c>
      <c r="C128" s="14">
        <v>46078</v>
      </c>
      <c r="D128" s="6" t="s">
        <v>667</v>
      </c>
      <c r="E128" s="6" t="s">
        <v>40</v>
      </c>
      <c r="F128" s="6" t="s">
        <v>40</v>
      </c>
      <c r="G128" s="6" t="s">
        <v>236</v>
      </c>
      <c r="H128" s="10">
        <v>110</v>
      </c>
      <c r="I128" s="6"/>
      <c r="J128" s="6"/>
      <c r="K128" s="6" t="s">
        <v>3</v>
      </c>
      <c r="L128" s="10">
        <v>55</v>
      </c>
      <c r="M128" s="6"/>
      <c r="N128" s="6"/>
      <c r="O128" s="6"/>
      <c r="P128" s="17" t="s">
        <v>3</v>
      </c>
      <c r="Q128" s="6" t="s">
        <v>211</v>
      </c>
      <c r="R128" s="17" t="s">
        <v>668</v>
      </c>
      <c r="S128" s="17" t="s">
        <v>669</v>
      </c>
      <c r="T128" s="6" t="s">
        <v>25</v>
      </c>
      <c r="U128" s="6" t="s">
        <v>222</v>
      </c>
      <c r="V128" s="17" t="s">
        <v>670</v>
      </c>
      <c r="W128" s="6">
        <v>414</v>
      </c>
      <c r="X128" s="6" t="s">
        <v>224</v>
      </c>
    </row>
    <row r="129" spans="1:24" ht="40.5" x14ac:dyDescent="0.25">
      <c r="A129" s="6" t="s">
        <v>671</v>
      </c>
      <c r="B129" s="14">
        <v>46078</v>
      </c>
      <c r="C129" s="14">
        <v>46078</v>
      </c>
      <c r="D129" s="6" t="s">
        <v>672</v>
      </c>
      <c r="E129" s="6" t="s">
        <v>45</v>
      </c>
      <c r="F129" s="6" t="s">
        <v>3</v>
      </c>
      <c r="G129" s="6" t="s">
        <v>236</v>
      </c>
      <c r="H129" s="10">
        <v>157</v>
      </c>
      <c r="I129" s="6"/>
      <c r="J129" s="6"/>
      <c r="K129" s="6" t="s">
        <v>3</v>
      </c>
      <c r="L129" s="10">
        <v>49</v>
      </c>
      <c r="M129" s="6"/>
      <c r="N129" s="6"/>
      <c r="O129" s="6"/>
      <c r="P129" s="17" t="s">
        <v>3</v>
      </c>
      <c r="Q129" s="6" t="s">
        <v>673</v>
      </c>
      <c r="R129" s="17" t="s">
        <v>674</v>
      </c>
      <c r="S129" s="17" t="s">
        <v>675</v>
      </c>
      <c r="T129" s="6" t="s">
        <v>26</v>
      </c>
      <c r="U129" s="6" t="s">
        <v>222</v>
      </c>
      <c r="V129" s="17" t="s">
        <v>543</v>
      </c>
      <c r="W129" s="6">
        <v>416</v>
      </c>
      <c r="X129" s="6" t="s">
        <v>224</v>
      </c>
    </row>
    <row r="130" spans="1:24" ht="40.5" x14ac:dyDescent="0.25">
      <c r="A130" s="6" t="s">
        <v>676</v>
      </c>
      <c r="B130" s="14">
        <v>46078</v>
      </c>
      <c r="C130" s="14">
        <v>46078</v>
      </c>
      <c r="D130" s="6" t="s">
        <v>677</v>
      </c>
      <c r="E130" s="6" t="s">
        <v>47</v>
      </c>
      <c r="F130" s="6" t="s">
        <v>489</v>
      </c>
      <c r="G130" s="6" t="s">
        <v>236</v>
      </c>
      <c r="H130" s="10">
        <v>95</v>
      </c>
      <c r="I130" s="6"/>
      <c r="J130" s="6"/>
      <c r="K130" s="6" t="s">
        <v>3</v>
      </c>
      <c r="L130" s="6"/>
      <c r="M130" s="6"/>
      <c r="N130" s="6"/>
      <c r="O130" s="6"/>
      <c r="P130" s="17" t="s">
        <v>3</v>
      </c>
      <c r="Q130" s="6" t="s">
        <v>228</v>
      </c>
      <c r="R130" s="17" t="s">
        <v>678</v>
      </c>
      <c r="S130" s="17" t="s">
        <v>679</v>
      </c>
      <c r="T130" s="6" t="s">
        <v>24</v>
      </c>
      <c r="U130" s="6" t="s">
        <v>207</v>
      </c>
      <c r="V130" s="17" t="s">
        <v>3</v>
      </c>
      <c r="W130" s="6">
        <v>412</v>
      </c>
      <c r="X130" s="6" t="s">
        <v>208</v>
      </c>
    </row>
    <row r="131" spans="1:24" ht="40.5" x14ac:dyDescent="0.25">
      <c r="A131" s="6" t="s">
        <v>680</v>
      </c>
      <c r="B131" s="14">
        <v>46078</v>
      </c>
      <c r="C131" s="14">
        <v>46078</v>
      </c>
      <c r="D131" s="6" t="s">
        <v>677</v>
      </c>
      <c r="E131" s="6" t="s">
        <v>47</v>
      </c>
      <c r="F131" s="6" t="s">
        <v>489</v>
      </c>
      <c r="G131" s="6" t="s">
        <v>506</v>
      </c>
      <c r="H131" s="10">
        <v>40</v>
      </c>
      <c r="I131" s="6"/>
      <c r="J131" s="6"/>
      <c r="K131" s="6" t="s">
        <v>3</v>
      </c>
      <c r="L131" s="6"/>
      <c r="M131" s="6"/>
      <c r="N131" s="6"/>
      <c r="O131" s="6"/>
      <c r="P131" s="17" t="s">
        <v>3</v>
      </c>
      <c r="Q131" s="6" t="s">
        <v>228</v>
      </c>
      <c r="R131" s="17" t="s">
        <v>678</v>
      </c>
      <c r="S131" s="17" t="s">
        <v>679</v>
      </c>
      <c r="T131" s="6" t="s">
        <v>24</v>
      </c>
      <c r="U131" s="6" t="s">
        <v>207</v>
      </c>
      <c r="V131" s="17" t="s">
        <v>3</v>
      </c>
      <c r="W131" s="6">
        <v>412</v>
      </c>
      <c r="X131" s="6" t="s">
        <v>208</v>
      </c>
    </row>
    <row r="132" spans="1:24" ht="54" x14ac:dyDescent="0.25">
      <c r="A132" s="6" t="s">
        <v>681</v>
      </c>
      <c r="B132" s="14">
        <v>46079</v>
      </c>
      <c r="C132" s="14">
        <v>46080</v>
      </c>
      <c r="D132" s="6" t="s">
        <v>682</v>
      </c>
      <c r="E132" s="6" t="s">
        <v>40</v>
      </c>
      <c r="F132" s="6" t="s">
        <v>40</v>
      </c>
      <c r="G132" s="6" t="s">
        <v>204</v>
      </c>
      <c r="H132" s="10">
        <v>371</v>
      </c>
      <c r="I132" s="6"/>
      <c r="J132" s="6"/>
      <c r="K132" s="6" t="s">
        <v>3</v>
      </c>
      <c r="L132" s="6"/>
      <c r="M132" s="10">
        <v>56</v>
      </c>
      <c r="N132" s="6"/>
      <c r="O132" s="6"/>
      <c r="P132" s="17" t="s">
        <v>3</v>
      </c>
      <c r="Q132" s="6" t="s">
        <v>205</v>
      </c>
      <c r="R132" s="17" t="s">
        <v>3</v>
      </c>
      <c r="S132" s="17" t="s">
        <v>683</v>
      </c>
      <c r="T132" s="6" t="s">
        <v>24</v>
      </c>
      <c r="U132" s="6" t="s">
        <v>207</v>
      </c>
      <c r="V132" s="17" t="s">
        <v>3</v>
      </c>
      <c r="W132" s="6">
        <v>430</v>
      </c>
      <c r="X132" s="6" t="s">
        <v>208</v>
      </c>
    </row>
    <row r="133" spans="1:24" ht="67.5" x14ac:dyDescent="0.25">
      <c r="A133" s="6" t="s">
        <v>684</v>
      </c>
      <c r="B133" s="14">
        <v>46079</v>
      </c>
      <c r="C133" s="14">
        <v>46079</v>
      </c>
      <c r="D133" s="6" t="s">
        <v>685</v>
      </c>
      <c r="E133" s="6" t="s">
        <v>67</v>
      </c>
      <c r="F133" s="6" t="s">
        <v>67</v>
      </c>
      <c r="G133" s="6" t="s">
        <v>236</v>
      </c>
      <c r="H133" s="10">
        <v>175</v>
      </c>
      <c r="I133" s="6"/>
      <c r="J133" s="6"/>
      <c r="K133" s="6" t="s">
        <v>3</v>
      </c>
      <c r="L133" s="10">
        <v>82</v>
      </c>
      <c r="M133" s="6"/>
      <c r="N133" s="6"/>
      <c r="O133" s="6"/>
      <c r="P133" s="17" t="s">
        <v>3</v>
      </c>
      <c r="Q133" s="6" t="s">
        <v>313</v>
      </c>
      <c r="R133" s="17" t="s">
        <v>3</v>
      </c>
      <c r="S133" s="17" t="s">
        <v>686</v>
      </c>
      <c r="T133" s="6" t="s">
        <v>24</v>
      </c>
      <c r="U133" s="6" t="s">
        <v>207</v>
      </c>
      <c r="V133" s="17" t="s">
        <v>3</v>
      </c>
      <c r="W133" s="6">
        <v>427</v>
      </c>
      <c r="X133" s="6" t="s">
        <v>208</v>
      </c>
    </row>
    <row r="134" spans="1:24" ht="67.5" x14ac:dyDescent="0.25">
      <c r="A134" s="6" t="s">
        <v>687</v>
      </c>
      <c r="B134" s="14">
        <v>46080</v>
      </c>
      <c r="C134" s="14">
        <v>46080</v>
      </c>
      <c r="D134" s="6" t="s">
        <v>688</v>
      </c>
      <c r="E134" s="6" t="s">
        <v>38</v>
      </c>
      <c r="F134" s="6" t="s">
        <v>38</v>
      </c>
      <c r="G134" s="6" t="s">
        <v>236</v>
      </c>
      <c r="H134" s="10">
        <v>160</v>
      </c>
      <c r="I134" s="6"/>
      <c r="J134" s="6"/>
      <c r="K134" s="6" t="s">
        <v>3</v>
      </c>
      <c r="L134" s="10">
        <v>79</v>
      </c>
      <c r="M134" s="6"/>
      <c r="N134" s="6"/>
      <c r="O134" s="6"/>
      <c r="P134" s="17" t="s">
        <v>3</v>
      </c>
      <c r="Q134" s="6" t="s">
        <v>313</v>
      </c>
      <c r="R134" s="17" t="s">
        <v>689</v>
      </c>
      <c r="S134" s="17" t="s">
        <v>690</v>
      </c>
      <c r="T134" s="6" t="s">
        <v>24</v>
      </c>
      <c r="U134" s="6" t="s">
        <v>207</v>
      </c>
      <c r="V134" s="17" t="s">
        <v>3</v>
      </c>
      <c r="W134" s="6">
        <v>441</v>
      </c>
      <c r="X134" s="6" t="s">
        <v>208</v>
      </c>
    </row>
    <row r="135" spans="1:24" ht="67.5" x14ac:dyDescent="0.25">
      <c r="A135" s="6" t="s">
        <v>691</v>
      </c>
      <c r="B135" s="14">
        <v>46080</v>
      </c>
      <c r="C135" s="14">
        <v>46080</v>
      </c>
      <c r="D135" s="6" t="s">
        <v>692</v>
      </c>
      <c r="E135" s="6" t="s">
        <v>40</v>
      </c>
      <c r="F135" s="6" t="s">
        <v>40</v>
      </c>
      <c r="G135" s="6" t="s">
        <v>236</v>
      </c>
      <c r="H135" s="10">
        <v>360</v>
      </c>
      <c r="I135" s="6"/>
      <c r="J135" s="6"/>
      <c r="K135" s="6" t="s">
        <v>3</v>
      </c>
      <c r="L135" s="10">
        <v>110</v>
      </c>
      <c r="M135" s="6"/>
      <c r="N135" s="6"/>
      <c r="O135" s="6"/>
      <c r="P135" s="17" t="s">
        <v>3</v>
      </c>
      <c r="Q135" s="6" t="s">
        <v>211</v>
      </c>
      <c r="R135" s="17" t="s">
        <v>693</v>
      </c>
      <c r="S135" s="17" t="s">
        <v>694</v>
      </c>
      <c r="T135" s="6" t="s">
        <v>24</v>
      </c>
      <c r="U135" s="6" t="s">
        <v>207</v>
      </c>
      <c r="V135" s="17" t="s">
        <v>3</v>
      </c>
      <c r="W135" s="6">
        <v>438</v>
      </c>
      <c r="X135" s="6" t="s">
        <v>208</v>
      </c>
    </row>
    <row r="136" spans="1:24" ht="40.5" x14ac:dyDescent="0.25">
      <c r="A136" s="6" t="s">
        <v>695</v>
      </c>
      <c r="B136" s="14">
        <v>46080</v>
      </c>
      <c r="C136" s="14">
        <v>46080</v>
      </c>
      <c r="D136" s="6" t="s">
        <v>696</v>
      </c>
      <c r="E136" s="6" t="s">
        <v>45</v>
      </c>
      <c r="F136" s="6" t="s">
        <v>3</v>
      </c>
      <c r="G136" s="6" t="s">
        <v>204</v>
      </c>
      <c r="H136" s="10">
        <v>217</v>
      </c>
      <c r="I136" s="6"/>
      <c r="J136" s="6"/>
      <c r="K136" s="6" t="s">
        <v>3</v>
      </c>
      <c r="L136" s="6"/>
      <c r="M136" s="10">
        <v>32</v>
      </c>
      <c r="N136" s="6"/>
      <c r="O136" s="6"/>
      <c r="P136" s="17" t="s">
        <v>3</v>
      </c>
      <c r="Q136" s="6" t="s">
        <v>205</v>
      </c>
      <c r="R136" s="17" t="s">
        <v>697</v>
      </c>
      <c r="S136" s="17" t="s">
        <v>698</v>
      </c>
      <c r="T136" s="6" t="s">
        <v>26</v>
      </c>
      <c r="U136" s="6" t="s">
        <v>222</v>
      </c>
      <c r="V136" s="17" t="s">
        <v>699</v>
      </c>
      <c r="W136" s="6">
        <v>434</v>
      </c>
      <c r="X136" s="6" t="s">
        <v>224</v>
      </c>
    </row>
    <row r="137" spans="1:24" ht="40.5" x14ac:dyDescent="0.25">
      <c r="A137" s="6" t="s">
        <v>700</v>
      </c>
      <c r="B137" s="14">
        <v>46080</v>
      </c>
      <c r="C137" s="14">
        <v>46083</v>
      </c>
      <c r="D137" s="6" t="s">
        <v>701</v>
      </c>
      <c r="E137" s="6" t="s">
        <v>45</v>
      </c>
      <c r="F137" s="6" t="s">
        <v>3</v>
      </c>
      <c r="G137" s="6" t="s">
        <v>263</v>
      </c>
      <c r="H137" s="10">
        <v>73</v>
      </c>
      <c r="I137" s="6"/>
      <c r="J137" s="6"/>
      <c r="K137" s="6" t="s">
        <v>3</v>
      </c>
      <c r="L137" s="6"/>
      <c r="M137" s="6"/>
      <c r="N137" s="6"/>
      <c r="O137" s="6"/>
      <c r="P137" s="17" t="s">
        <v>3</v>
      </c>
      <c r="Q137" s="6" t="s">
        <v>673</v>
      </c>
      <c r="R137" s="17" t="s">
        <v>702</v>
      </c>
      <c r="S137" s="17" t="s">
        <v>703</v>
      </c>
      <c r="T137" s="6" t="s">
        <v>26</v>
      </c>
      <c r="U137" s="6" t="s">
        <v>222</v>
      </c>
      <c r="V137" s="17" t="s">
        <v>474</v>
      </c>
      <c r="W137" s="6">
        <v>448</v>
      </c>
      <c r="X137" s="6" t="s">
        <v>224</v>
      </c>
    </row>
    <row r="138" spans="1:24" ht="67.5" x14ac:dyDescent="0.25">
      <c r="A138" s="6" t="s">
        <v>704</v>
      </c>
      <c r="B138" s="14">
        <v>46080</v>
      </c>
      <c r="C138" s="14">
        <v>46080</v>
      </c>
      <c r="D138" s="6" t="s">
        <v>705</v>
      </c>
      <c r="E138" s="6" t="s">
        <v>47</v>
      </c>
      <c r="F138" s="6" t="s">
        <v>489</v>
      </c>
      <c r="G138" s="6" t="s">
        <v>204</v>
      </c>
      <c r="H138" s="10">
        <v>200</v>
      </c>
      <c r="I138" s="6"/>
      <c r="J138" s="6"/>
      <c r="K138" s="6" t="s">
        <v>3</v>
      </c>
      <c r="L138" s="6"/>
      <c r="M138" s="6"/>
      <c r="N138" s="6"/>
      <c r="O138" s="6"/>
      <c r="P138" s="17" t="s">
        <v>3</v>
      </c>
      <c r="Q138" s="6" t="s">
        <v>228</v>
      </c>
      <c r="R138" s="17" t="s">
        <v>706</v>
      </c>
      <c r="S138" s="17" t="s">
        <v>707</v>
      </c>
      <c r="T138" s="6" t="s">
        <v>24</v>
      </c>
      <c r="U138" s="6" t="s">
        <v>207</v>
      </c>
      <c r="V138" s="17" t="s">
        <v>3</v>
      </c>
      <c r="W138" s="6">
        <v>432</v>
      </c>
      <c r="X138" s="6" t="s">
        <v>208</v>
      </c>
    </row>
    <row r="139" spans="1:24" ht="67.5" x14ac:dyDescent="0.25">
      <c r="A139" s="6" t="s">
        <v>708</v>
      </c>
      <c r="B139" s="14">
        <v>46080</v>
      </c>
      <c r="C139" s="14">
        <v>46080</v>
      </c>
      <c r="D139" s="6" t="s">
        <v>705</v>
      </c>
      <c r="E139" s="6" t="s">
        <v>47</v>
      </c>
      <c r="F139" s="6" t="s">
        <v>489</v>
      </c>
      <c r="G139" s="6" t="s">
        <v>236</v>
      </c>
      <c r="H139" s="10">
        <v>80</v>
      </c>
      <c r="I139" s="6"/>
      <c r="J139" s="6"/>
      <c r="K139" s="6" t="s">
        <v>3</v>
      </c>
      <c r="L139" s="6"/>
      <c r="M139" s="6"/>
      <c r="N139" s="6"/>
      <c r="O139" s="6"/>
      <c r="P139" s="17" t="s">
        <v>3</v>
      </c>
      <c r="Q139" s="6" t="s">
        <v>228</v>
      </c>
      <c r="R139" s="17" t="s">
        <v>706</v>
      </c>
      <c r="S139" s="17" t="s">
        <v>707</v>
      </c>
      <c r="T139" s="6" t="s">
        <v>24</v>
      </c>
      <c r="U139" s="6" t="s">
        <v>207</v>
      </c>
      <c r="V139" s="17" t="s">
        <v>3</v>
      </c>
      <c r="W139" s="6">
        <v>432</v>
      </c>
      <c r="X139" s="6" t="s">
        <v>208</v>
      </c>
    </row>
    <row r="140" spans="1:24" ht="54" x14ac:dyDescent="0.25">
      <c r="A140" s="6" t="s">
        <v>709</v>
      </c>
      <c r="B140" s="14">
        <v>46081</v>
      </c>
      <c r="C140" s="14">
        <v>46081</v>
      </c>
      <c r="D140" s="6" t="s">
        <v>710</v>
      </c>
      <c r="E140" s="6" t="s">
        <v>38</v>
      </c>
      <c r="F140" s="6" t="s">
        <v>711</v>
      </c>
      <c r="G140" s="6" t="s">
        <v>204</v>
      </c>
      <c r="H140" s="10">
        <v>380</v>
      </c>
      <c r="I140" s="6"/>
      <c r="J140" s="6"/>
      <c r="K140" s="6" t="s">
        <v>3</v>
      </c>
      <c r="L140" s="6"/>
      <c r="M140" s="10">
        <v>76</v>
      </c>
      <c r="N140" s="6"/>
      <c r="O140" s="6"/>
      <c r="P140" s="17" t="s">
        <v>3</v>
      </c>
      <c r="Q140" s="6" t="s">
        <v>205</v>
      </c>
      <c r="R140" s="17" t="s">
        <v>3</v>
      </c>
      <c r="S140" s="17" t="s">
        <v>712</v>
      </c>
      <c r="T140" s="6" t="s">
        <v>24</v>
      </c>
      <c r="U140" s="6" t="s">
        <v>207</v>
      </c>
      <c r="V140" s="17" t="s">
        <v>3</v>
      </c>
      <c r="W140" s="6">
        <v>443</v>
      </c>
      <c r="X140" s="6" t="s">
        <v>208</v>
      </c>
    </row>
    <row r="141" spans="1:24" ht="67.5" x14ac:dyDescent="0.25">
      <c r="A141" s="6" t="s">
        <v>713</v>
      </c>
      <c r="B141" s="14">
        <v>46081</v>
      </c>
      <c r="C141" s="14">
        <v>46081</v>
      </c>
      <c r="D141" s="6" t="s">
        <v>714</v>
      </c>
      <c r="E141" s="6" t="s">
        <v>38</v>
      </c>
      <c r="F141" s="6" t="s">
        <v>38</v>
      </c>
      <c r="G141" s="6" t="s">
        <v>236</v>
      </c>
      <c r="H141" s="10">
        <v>274</v>
      </c>
      <c r="I141" s="6"/>
      <c r="J141" s="6"/>
      <c r="K141" s="6" t="s">
        <v>3</v>
      </c>
      <c r="L141" s="10">
        <v>99</v>
      </c>
      <c r="M141" s="6"/>
      <c r="N141" s="6"/>
      <c r="O141" s="6"/>
      <c r="P141" s="17" t="s">
        <v>3</v>
      </c>
      <c r="Q141" s="6" t="s">
        <v>313</v>
      </c>
      <c r="R141" s="17" t="s">
        <v>715</v>
      </c>
      <c r="S141" s="17" t="s">
        <v>716</v>
      </c>
      <c r="T141" s="6" t="s">
        <v>25</v>
      </c>
      <c r="U141" s="6" t="s">
        <v>222</v>
      </c>
      <c r="V141" s="17" t="s">
        <v>404</v>
      </c>
      <c r="W141" s="6">
        <v>445</v>
      </c>
      <c r="X141" s="6" t="s">
        <v>224</v>
      </c>
    </row>
    <row r="142" spans="1:24" ht="67.5" x14ac:dyDescent="0.25">
      <c r="A142" s="6" t="s">
        <v>717</v>
      </c>
      <c r="B142" s="14">
        <v>46082</v>
      </c>
      <c r="C142" s="14">
        <v>46082</v>
      </c>
      <c r="D142" s="6" t="s">
        <v>718</v>
      </c>
      <c r="E142" s="6" t="s">
        <v>38</v>
      </c>
      <c r="F142" s="6" t="s">
        <v>38</v>
      </c>
      <c r="G142" s="6" t="s">
        <v>236</v>
      </c>
      <c r="H142" s="10">
        <v>195</v>
      </c>
      <c r="I142" s="6"/>
      <c r="J142" s="6"/>
      <c r="K142" s="6" t="s">
        <v>3</v>
      </c>
      <c r="L142" s="10">
        <v>79</v>
      </c>
      <c r="M142" s="6"/>
      <c r="N142" s="6"/>
      <c r="O142" s="6"/>
      <c r="P142" s="17" t="s">
        <v>3</v>
      </c>
      <c r="Q142" s="6" t="s">
        <v>313</v>
      </c>
      <c r="R142" s="17" t="s">
        <v>719</v>
      </c>
      <c r="S142" s="17" t="s">
        <v>720</v>
      </c>
      <c r="T142" s="6" t="s">
        <v>24</v>
      </c>
      <c r="U142" s="6" t="s">
        <v>207</v>
      </c>
      <c r="V142" s="17" t="s">
        <v>3</v>
      </c>
      <c r="W142" s="6">
        <v>447</v>
      </c>
      <c r="X142" s="6" t="s">
        <v>208</v>
      </c>
    </row>
    <row r="143" spans="1:24" ht="81" x14ac:dyDescent="0.25">
      <c r="A143" s="6" t="s">
        <v>721</v>
      </c>
      <c r="B143" s="14">
        <v>46083</v>
      </c>
      <c r="C143" s="14">
        <v>46083</v>
      </c>
      <c r="D143" s="6" t="s">
        <v>722</v>
      </c>
      <c r="E143" s="6" t="s">
        <v>38</v>
      </c>
      <c r="F143" s="6" t="s">
        <v>38</v>
      </c>
      <c r="G143" s="6" t="s">
        <v>236</v>
      </c>
      <c r="H143" s="10">
        <v>127</v>
      </c>
      <c r="I143" s="6"/>
      <c r="J143" s="6"/>
      <c r="K143" s="6" t="s">
        <v>3</v>
      </c>
      <c r="L143" s="10">
        <v>52</v>
      </c>
      <c r="M143" s="6"/>
      <c r="N143" s="6"/>
      <c r="O143" s="6"/>
      <c r="P143" s="17" t="s">
        <v>3</v>
      </c>
      <c r="Q143" s="6" t="s">
        <v>313</v>
      </c>
      <c r="R143" s="17" t="s">
        <v>723</v>
      </c>
      <c r="S143" s="17" t="s">
        <v>724</v>
      </c>
      <c r="T143" s="6" t="s">
        <v>25</v>
      </c>
      <c r="U143" s="6" t="s">
        <v>222</v>
      </c>
      <c r="V143" s="17" t="s">
        <v>404</v>
      </c>
      <c r="W143" s="6">
        <v>459</v>
      </c>
      <c r="X143" s="6" t="s">
        <v>224</v>
      </c>
    </row>
    <row r="144" spans="1:24" ht="67.5" x14ac:dyDescent="0.25">
      <c r="A144" s="6" t="s">
        <v>725</v>
      </c>
      <c r="B144" s="14">
        <v>46083</v>
      </c>
      <c r="C144" s="14">
        <v>46084</v>
      </c>
      <c r="D144" s="6" t="s">
        <v>726</v>
      </c>
      <c r="E144" s="6" t="s">
        <v>38</v>
      </c>
      <c r="F144" s="6" t="s">
        <v>38</v>
      </c>
      <c r="G144" s="6" t="s">
        <v>204</v>
      </c>
      <c r="H144" s="10">
        <v>236</v>
      </c>
      <c r="I144" s="6"/>
      <c r="J144" s="6"/>
      <c r="K144" s="6" t="s">
        <v>727</v>
      </c>
      <c r="L144" s="6"/>
      <c r="M144" s="10">
        <v>54</v>
      </c>
      <c r="N144" s="6"/>
      <c r="O144" s="6"/>
      <c r="P144" s="17" t="s">
        <v>3</v>
      </c>
      <c r="Q144" s="6" t="s">
        <v>205</v>
      </c>
      <c r="R144" s="17" t="s">
        <v>3</v>
      </c>
      <c r="S144" s="17" t="s">
        <v>728</v>
      </c>
      <c r="T144" s="6" t="s">
        <v>24</v>
      </c>
      <c r="U144" s="6" t="s">
        <v>207</v>
      </c>
      <c r="V144" s="17" t="s">
        <v>3</v>
      </c>
      <c r="W144" s="6">
        <v>461</v>
      </c>
      <c r="X144" s="6" t="s">
        <v>208</v>
      </c>
    </row>
    <row r="145" spans="1:24" ht="67.5" x14ac:dyDescent="0.25">
      <c r="A145" s="6" t="s">
        <v>729</v>
      </c>
      <c r="B145" s="14">
        <v>46083</v>
      </c>
      <c r="C145" s="14">
        <v>46083</v>
      </c>
      <c r="D145" s="6" t="s">
        <v>730</v>
      </c>
      <c r="E145" s="6" t="s">
        <v>40</v>
      </c>
      <c r="F145" s="6" t="s">
        <v>40</v>
      </c>
      <c r="G145" s="6" t="s">
        <v>236</v>
      </c>
      <c r="H145" s="10">
        <v>202</v>
      </c>
      <c r="I145" s="6"/>
      <c r="J145" s="6"/>
      <c r="K145" s="6" t="s">
        <v>3</v>
      </c>
      <c r="L145" s="10">
        <v>60</v>
      </c>
      <c r="M145" s="6"/>
      <c r="N145" s="6"/>
      <c r="O145" s="6"/>
      <c r="P145" s="17" t="s">
        <v>3</v>
      </c>
      <c r="Q145" s="6" t="s">
        <v>211</v>
      </c>
      <c r="R145" s="17" t="s">
        <v>731</v>
      </c>
      <c r="S145" s="17" t="s">
        <v>732</v>
      </c>
      <c r="T145" s="6" t="s">
        <v>24</v>
      </c>
      <c r="U145" s="6" t="s">
        <v>207</v>
      </c>
      <c r="V145" s="17" t="s">
        <v>3</v>
      </c>
      <c r="W145" s="6">
        <v>449</v>
      </c>
      <c r="X145" s="6" t="s">
        <v>208</v>
      </c>
    </row>
    <row r="146" spans="1:24" ht="40.5" x14ac:dyDescent="0.25">
      <c r="A146" s="6" t="s">
        <v>733</v>
      </c>
      <c r="B146" s="14">
        <v>46083</v>
      </c>
      <c r="C146" s="14">
        <v>46083</v>
      </c>
      <c r="D146" s="6" t="s">
        <v>734</v>
      </c>
      <c r="E146" s="6" t="s">
        <v>47</v>
      </c>
      <c r="F146" s="6" t="s">
        <v>489</v>
      </c>
      <c r="G146" s="6" t="s">
        <v>236</v>
      </c>
      <c r="H146" s="10">
        <v>141</v>
      </c>
      <c r="I146" s="6"/>
      <c r="J146" s="6"/>
      <c r="K146" s="6" t="s">
        <v>3</v>
      </c>
      <c r="L146" s="6"/>
      <c r="M146" s="6"/>
      <c r="N146" s="6"/>
      <c r="O146" s="6"/>
      <c r="P146" s="17" t="s">
        <v>3</v>
      </c>
      <c r="Q146" s="6" t="s">
        <v>228</v>
      </c>
      <c r="R146" s="17" t="s">
        <v>735</v>
      </c>
      <c r="S146" s="17" t="s">
        <v>736</v>
      </c>
      <c r="T146" s="6" t="s">
        <v>24</v>
      </c>
      <c r="U146" s="6" t="s">
        <v>207</v>
      </c>
      <c r="V146" s="17" t="s">
        <v>3</v>
      </c>
      <c r="W146" s="6">
        <v>450</v>
      </c>
      <c r="X146" s="6" t="s">
        <v>208</v>
      </c>
    </row>
    <row r="147" spans="1:24" ht="54" x14ac:dyDescent="0.25">
      <c r="A147" s="6" t="s">
        <v>737</v>
      </c>
      <c r="B147" s="14">
        <v>46083</v>
      </c>
      <c r="C147" s="14">
        <v>46083</v>
      </c>
      <c r="D147" s="6" t="s">
        <v>738</v>
      </c>
      <c r="E147" s="6" t="s">
        <v>166</v>
      </c>
      <c r="F147" s="6" t="s">
        <v>166</v>
      </c>
      <c r="G147" s="6" t="s">
        <v>236</v>
      </c>
      <c r="H147" s="10">
        <v>84</v>
      </c>
      <c r="I147" s="6"/>
      <c r="J147" s="6"/>
      <c r="K147" s="6" t="s">
        <v>3</v>
      </c>
      <c r="L147" s="10">
        <v>40</v>
      </c>
      <c r="M147" s="6"/>
      <c r="N147" s="6"/>
      <c r="O147" s="6"/>
      <c r="P147" s="17" t="s">
        <v>3</v>
      </c>
      <c r="Q147" s="6" t="s">
        <v>673</v>
      </c>
      <c r="R147" s="17" t="s">
        <v>739</v>
      </c>
      <c r="S147" s="17" t="s">
        <v>740</v>
      </c>
      <c r="T147" s="6" t="s">
        <v>24</v>
      </c>
      <c r="U147" s="6" t="s">
        <v>207</v>
      </c>
      <c r="V147" s="17" t="s">
        <v>3</v>
      </c>
      <c r="W147" s="6">
        <v>453</v>
      </c>
      <c r="X147" s="6" t="s">
        <v>208</v>
      </c>
    </row>
    <row r="148" spans="1:24" ht="81" x14ac:dyDescent="0.25">
      <c r="A148" s="6" t="s">
        <v>741</v>
      </c>
      <c r="B148" s="14">
        <v>46084</v>
      </c>
      <c r="C148" s="14">
        <v>46084</v>
      </c>
      <c r="D148" s="6" t="s">
        <v>742</v>
      </c>
      <c r="E148" s="6" t="s">
        <v>38</v>
      </c>
      <c r="F148" s="6" t="s">
        <v>38</v>
      </c>
      <c r="G148" s="6" t="s">
        <v>236</v>
      </c>
      <c r="H148" s="10">
        <v>225</v>
      </c>
      <c r="I148" s="6"/>
      <c r="J148" s="6"/>
      <c r="K148" s="6" t="s">
        <v>3</v>
      </c>
      <c r="L148" s="10">
        <v>108</v>
      </c>
      <c r="M148" s="6"/>
      <c r="N148" s="6"/>
      <c r="O148" s="6"/>
      <c r="P148" s="17" t="s">
        <v>3</v>
      </c>
      <c r="Q148" s="6" t="s">
        <v>313</v>
      </c>
      <c r="R148" s="17" t="s">
        <v>743</v>
      </c>
      <c r="S148" s="17" t="s">
        <v>744</v>
      </c>
      <c r="T148" s="6" t="s">
        <v>24</v>
      </c>
      <c r="U148" s="6" t="s">
        <v>207</v>
      </c>
      <c r="V148" s="17" t="s">
        <v>3</v>
      </c>
      <c r="W148" s="6">
        <v>464</v>
      </c>
      <c r="X148" s="6" t="s">
        <v>208</v>
      </c>
    </row>
    <row r="149" spans="1:24" ht="67.5" x14ac:dyDescent="0.25">
      <c r="A149" s="6" t="s">
        <v>745</v>
      </c>
      <c r="B149" s="14">
        <v>46084</v>
      </c>
      <c r="C149" s="14">
        <v>46085</v>
      </c>
      <c r="D149" s="6" t="s">
        <v>746</v>
      </c>
      <c r="E149" s="6" t="s">
        <v>40</v>
      </c>
      <c r="F149" s="6" t="s">
        <v>40</v>
      </c>
      <c r="G149" s="6" t="s">
        <v>236</v>
      </c>
      <c r="H149" s="10">
        <v>160</v>
      </c>
      <c r="I149" s="6"/>
      <c r="J149" s="6"/>
      <c r="K149" s="6" t="s">
        <v>3</v>
      </c>
      <c r="L149" s="10">
        <v>50</v>
      </c>
      <c r="M149" s="6"/>
      <c r="N149" s="6"/>
      <c r="O149" s="6"/>
      <c r="P149" s="17" t="s">
        <v>3</v>
      </c>
      <c r="Q149" s="6" t="s">
        <v>211</v>
      </c>
      <c r="R149" s="17" t="s">
        <v>747</v>
      </c>
      <c r="S149" s="17" t="s">
        <v>748</v>
      </c>
      <c r="T149" s="6" t="s">
        <v>24</v>
      </c>
      <c r="U149" s="6" t="s">
        <v>207</v>
      </c>
      <c r="V149" s="17" t="s">
        <v>3</v>
      </c>
      <c r="W149" s="6">
        <v>467</v>
      </c>
      <c r="X149" s="6" t="s">
        <v>208</v>
      </c>
    </row>
    <row r="150" spans="1:24" ht="27" x14ac:dyDescent="0.25">
      <c r="A150" s="6" t="s">
        <v>749</v>
      </c>
      <c r="B150" s="14">
        <v>46084</v>
      </c>
      <c r="C150" s="14">
        <v>46084</v>
      </c>
      <c r="D150" s="6" t="s">
        <v>750</v>
      </c>
      <c r="E150" s="6" t="s">
        <v>45</v>
      </c>
      <c r="F150" s="6" t="s">
        <v>3</v>
      </c>
      <c r="G150" s="6" t="s">
        <v>263</v>
      </c>
      <c r="H150" s="10">
        <v>150</v>
      </c>
      <c r="I150" s="6"/>
      <c r="J150" s="6"/>
      <c r="K150" s="6" t="s">
        <v>3</v>
      </c>
      <c r="L150" s="6"/>
      <c r="M150" s="6"/>
      <c r="N150" s="6"/>
      <c r="O150" s="6"/>
      <c r="P150" s="17" t="s">
        <v>3</v>
      </c>
      <c r="Q150" s="6" t="s">
        <v>673</v>
      </c>
      <c r="R150" s="17" t="s">
        <v>751</v>
      </c>
      <c r="S150" s="17" t="s">
        <v>752</v>
      </c>
      <c r="T150" s="6" t="s">
        <v>26</v>
      </c>
      <c r="U150" s="6" t="s">
        <v>222</v>
      </c>
      <c r="V150" s="17" t="s">
        <v>474</v>
      </c>
      <c r="W150" s="6">
        <v>463</v>
      </c>
      <c r="X150" s="6" t="s">
        <v>224</v>
      </c>
    </row>
    <row r="151" spans="1:24" ht="40.5" x14ac:dyDescent="0.25">
      <c r="A151" s="6" t="s">
        <v>753</v>
      </c>
      <c r="B151" s="14">
        <v>46084</v>
      </c>
      <c r="C151" s="14">
        <v>46084</v>
      </c>
      <c r="D151" s="6" t="s">
        <v>754</v>
      </c>
      <c r="E151" s="6" t="s">
        <v>47</v>
      </c>
      <c r="F151" s="6" t="s">
        <v>489</v>
      </c>
      <c r="G151" s="6" t="s">
        <v>236</v>
      </c>
      <c r="H151" s="10">
        <v>68</v>
      </c>
      <c r="I151" s="6"/>
      <c r="J151" s="6"/>
      <c r="K151" s="6" t="s">
        <v>3</v>
      </c>
      <c r="L151" s="6"/>
      <c r="M151" s="6"/>
      <c r="N151" s="6"/>
      <c r="O151" s="6"/>
      <c r="P151" s="17" t="s">
        <v>3</v>
      </c>
      <c r="Q151" s="6" t="s">
        <v>228</v>
      </c>
      <c r="R151" s="17" t="s">
        <v>755</v>
      </c>
      <c r="S151" s="17" t="s">
        <v>756</v>
      </c>
      <c r="T151" s="6" t="s">
        <v>24</v>
      </c>
      <c r="U151" s="6" t="s">
        <v>207</v>
      </c>
      <c r="V151" s="17" t="s">
        <v>3</v>
      </c>
      <c r="W151" s="6">
        <v>462</v>
      </c>
      <c r="X151" s="6" t="s">
        <v>208</v>
      </c>
    </row>
    <row r="152" spans="1:24" ht="40.5" x14ac:dyDescent="0.25">
      <c r="A152" s="6" t="s">
        <v>757</v>
      </c>
      <c r="B152" s="14">
        <v>46084</v>
      </c>
      <c r="C152" s="14">
        <v>46084</v>
      </c>
      <c r="D152" s="6" t="s">
        <v>754</v>
      </c>
      <c r="E152" s="6" t="s">
        <v>47</v>
      </c>
      <c r="F152" s="6" t="s">
        <v>489</v>
      </c>
      <c r="G152" s="6" t="s">
        <v>506</v>
      </c>
      <c r="H152" s="10">
        <v>90</v>
      </c>
      <c r="I152" s="6"/>
      <c r="J152" s="6"/>
      <c r="K152" s="6" t="s">
        <v>3</v>
      </c>
      <c r="L152" s="6"/>
      <c r="M152" s="6"/>
      <c r="N152" s="6"/>
      <c r="O152" s="6"/>
      <c r="P152" s="17" t="s">
        <v>3</v>
      </c>
      <c r="Q152" s="6" t="s">
        <v>228</v>
      </c>
      <c r="R152" s="17" t="s">
        <v>755</v>
      </c>
      <c r="S152" s="17" t="s">
        <v>756</v>
      </c>
      <c r="T152" s="6" t="s">
        <v>24</v>
      </c>
      <c r="U152" s="6" t="s">
        <v>207</v>
      </c>
      <c r="V152" s="17" t="s">
        <v>3</v>
      </c>
      <c r="W152" s="6">
        <v>462</v>
      </c>
      <c r="X152" s="6" t="s">
        <v>208</v>
      </c>
    </row>
    <row r="153" spans="1:24" ht="67.5" x14ac:dyDescent="0.25">
      <c r="A153" s="6" t="s">
        <v>758</v>
      </c>
      <c r="B153" s="14">
        <v>46085</v>
      </c>
      <c r="C153" s="14">
        <v>46085</v>
      </c>
      <c r="D153" s="6" t="s">
        <v>759</v>
      </c>
      <c r="E153" s="6" t="s">
        <v>38</v>
      </c>
      <c r="F153" s="6" t="s">
        <v>382</v>
      </c>
      <c r="G153" s="6" t="s">
        <v>236</v>
      </c>
      <c r="H153" s="6"/>
      <c r="I153" s="6"/>
      <c r="J153" s="6"/>
      <c r="K153" s="6" t="s">
        <v>3</v>
      </c>
      <c r="L153" s="10">
        <v>75</v>
      </c>
      <c r="M153" s="6"/>
      <c r="N153" s="6"/>
      <c r="O153" s="6"/>
      <c r="P153" s="17" t="s">
        <v>3</v>
      </c>
      <c r="Q153" s="6" t="s">
        <v>313</v>
      </c>
      <c r="R153" s="17" t="s">
        <v>760</v>
      </c>
      <c r="S153" s="17" t="s">
        <v>761</v>
      </c>
      <c r="T153" s="6" t="s">
        <v>25</v>
      </c>
      <c r="U153" s="6" t="s">
        <v>222</v>
      </c>
      <c r="V153" s="17" t="s">
        <v>762</v>
      </c>
      <c r="W153" s="6">
        <v>470</v>
      </c>
      <c r="X153" s="6" t="s">
        <v>224</v>
      </c>
    </row>
    <row r="154" spans="1:24" ht="81" x14ac:dyDescent="0.25">
      <c r="A154" s="6" t="s">
        <v>763</v>
      </c>
      <c r="B154" s="14">
        <v>46085</v>
      </c>
      <c r="C154" s="14">
        <v>46086</v>
      </c>
      <c r="D154" s="6" t="s">
        <v>764</v>
      </c>
      <c r="E154" s="6" t="s">
        <v>38</v>
      </c>
      <c r="F154" s="6" t="s">
        <v>38</v>
      </c>
      <c r="G154" s="6" t="s">
        <v>236</v>
      </c>
      <c r="H154" s="10">
        <v>138</v>
      </c>
      <c r="I154" s="6"/>
      <c r="J154" s="6"/>
      <c r="K154" s="6" t="s">
        <v>3</v>
      </c>
      <c r="L154" s="10">
        <v>57</v>
      </c>
      <c r="M154" s="6"/>
      <c r="N154" s="6"/>
      <c r="O154" s="6"/>
      <c r="P154" s="17" t="s">
        <v>3</v>
      </c>
      <c r="Q154" s="6" t="s">
        <v>313</v>
      </c>
      <c r="R154" s="17" t="s">
        <v>765</v>
      </c>
      <c r="S154" s="17" t="s">
        <v>766</v>
      </c>
      <c r="T154" s="6" t="s">
        <v>24</v>
      </c>
      <c r="U154" s="6" t="s">
        <v>207</v>
      </c>
      <c r="V154" s="17" t="s">
        <v>3</v>
      </c>
      <c r="W154" s="6">
        <v>481</v>
      </c>
      <c r="X154" s="6" t="s">
        <v>208</v>
      </c>
    </row>
    <row r="155" spans="1:24" ht="54" x14ac:dyDescent="0.25">
      <c r="A155" s="6" t="s">
        <v>767</v>
      </c>
      <c r="B155" s="14">
        <v>46085</v>
      </c>
      <c r="C155" s="14">
        <v>46086</v>
      </c>
      <c r="D155" s="6" t="s">
        <v>768</v>
      </c>
      <c r="E155" s="6" t="s">
        <v>38</v>
      </c>
      <c r="F155" s="6" t="s">
        <v>38</v>
      </c>
      <c r="G155" s="6" t="s">
        <v>204</v>
      </c>
      <c r="H155" s="6"/>
      <c r="I155" s="6"/>
      <c r="J155" s="6"/>
      <c r="K155" s="6" t="s">
        <v>3</v>
      </c>
      <c r="L155" s="6"/>
      <c r="M155" s="10">
        <v>43</v>
      </c>
      <c r="N155" s="6"/>
      <c r="O155" s="6"/>
      <c r="P155" s="17" t="s">
        <v>3</v>
      </c>
      <c r="Q155" s="6" t="s">
        <v>205</v>
      </c>
      <c r="R155" s="17" t="s">
        <v>3</v>
      </c>
      <c r="S155" s="17" t="s">
        <v>769</v>
      </c>
      <c r="T155" s="6" t="s">
        <v>26</v>
      </c>
      <c r="U155" s="6" t="s">
        <v>222</v>
      </c>
      <c r="V155" s="17" t="s">
        <v>770</v>
      </c>
      <c r="W155" s="6">
        <v>482</v>
      </c>
      <c r="X155" s="6" t="s">
        <v>224</v>
      </c>
    </row>
    <row r="156" spans="1:24" ht="54" x14ac:dyDescent="0.25">
      <c r="A156" s="6" t="s">
        <v>771</v>
      </c>
      <c r="B156" s="14">
        <v>46085</v>
      </c>
      <c r="C156" s="14">
        <v>46085</v>
      </c>
      <c r="D156" s="6" t="s">
        <v>772</v>
      </c>
      <c r="E156" s="6" t="s">
        <v>73</v>
      </c>
      <c r="F156" s="6" t="s">
        <v>73</v>
      </c>
      <c r="G156" s="6" t="s">
        <v>204</v>
      </c>
      <c r="H156" s="10">
        <v>310</v>
      </c>
      <c r="I156" s="6"/>
      <c r="J156" s="6"/>
      <c r="K156" s="6" t="s">
        <v>3</v>
      </c>
      <c r="L156" s="6"/>
      <c r="M156" s="10">
        <v>66</v>
      </c>
      <c r="N156" s="6"/>
      <c r="O156" s="6"/>
      <c r="P156" s="17" t="s">
        <v>3</v>
      </c>
      <c r="Q156" s="6" t="s">
        <v>205</v>
      </c>
      <c r="R156" s="17" t="s">
        <v>3</v>
      </c>
      <c r="S156" s="17" t="s">
        <v>773</v>
      </c>
      <c r="T156" s="6" t="s">
        <v>24</v>
      </c>
      <c r="U156" s="6" t="s">
        <v>207</v>
      </c>
      <c r="V156" s="17" t="s">
        <v>3</v>
      </c>
      <c r="W156" s="6">
        <v>475</v>
      </c>
      <c r="X156" s="6" t="s">
        <v>208</v>
      </c>
    </row>
    <row r="157" spans="1:24" ht="67.5" x14ac:dyDescent="0.25">
      <c r="A157" s="6" t="s">
        <v>774</v>
      </c>
      <c r="B157" s="14">
        <v>46085</v>
      </c>
      <c r="C157" s="14">
        <v>46085</v>
      </c>
      <c r="D157" s="6" t="s">
        <v>775</v>
      </c>
      <c r="E157" s="6" t="s">
        <v>40</v>
      </c>
      <c r="F157" s="6" t="s">
        <v>40</v>
      </c>
      <c r="G157" s="6" t="s">
        <v>236</v>
      </c>
      <c r="H157" s="10">
        <v>210</v>
      </c>
      <c r="I157" s="6"/>
      <c r="J157" s="6"/>
      <c r="K157" s="6" t="s">
        <v>3</v>
      </c>
      <c r="L157" s="10">
        <v>70</v>
      </c>
      <c r="M157" s="6"/>
      <c r="N157" s="6"/>
      <c r="O157" s="6"/>
      <c r="P157" s="17" t="s">
        <v>3</v>
      </c>
      <c r="Q157" s="6" t="s">
        <v>211</v>
      </c>
      <c r="R157" s="17" t="s">
        <v>776</v>
      </c>
      <c r="S157" s="17" t="s">
        <v>777</v>
      </c>
      <c r="T157" s="6" t="s">
        <v>24</v>
      </c>
      <c r="U157" s="6" t="s">
        <v>207</v>
      </c>
      <c r="V157" s="17" t="s">
        <v>3</v>
      </c>
      <c r="W157" s="6">
        <v>468</v>
      </c>
      <c r="X157" s="6" t="s">
        <v>208</v>
      </c>
    </row>
    <row r="158" spans="1:24" ht="27" x14ac:dyDescent="0.25">
      <c r="A158" s="6" t="s">
        <v>778</v>
      </c>
      <c r="B158" s="14">
        <v>46085</v>
      </c>
      <c r="C158" s="14">
        <v>46085</v>
      </c>
      <c r="D158" s="6" t="s">
        <v>779</v>
      </c>
      <c r="E158" s="6" t="s">
        <v>45</v>
      </c>
      <c r="F158" s="6" t="s">
        <v>3</v>
      </c>
      <c r="G158" s="6" t="s">
        <v>263</v>
      </c>
      <c r="H158" s="10">
        <v>153</v>
      </c>
      <c r="I158" s="6"/>
      <c r="J158" s="6"/>
      <c r="K158" s="6" t="s">
        <v>3</v>
      </c>
      <c r="L158" s="6"/>
      <c r="M158" s="6"/>
      <c r="N158" s="6"/>
      <c r="O158" s="6"/>
      <c r="P158" s="17" t="s">
        <v>3</v>
      </c>
      <c r="Q158" s="6" t="s">
        <v>673</v>
      </c>
      <c r="R158" s="17" t="s">
        <v>780</v>
      </c>
      <c r="S158" s="17" t="s">
        <v>781</v>
      </c>
      <c r="T158" s="6" t="s">
        <v>26</v>
      </c>
      <c r="U158" s="6" t="s">
        <v>222</v>
      </c>
      <c r="V158" s="17" t="s">
        <v>474</v>
      </c>
      <c r="W158" s="6">
        <v>472</v>
      </c>
      <c r="X158" s="6" t="s">
        <v>224</v>
      </c>
    </row>
    <row r="159" spans="1:24" ht="135" x14ac:dyDescent="0.25">
      <c r="A159" s="6" t="s">
        <v>782</v>
      </c>
      <c r="B159" s="14">
        <v>46085</v>
      </c>
      <c r="C159" s="14">
        <v>46087</v>
      </c>
      <c r="D159" s="6" t="s">
        <v>783</v>
      </c>
      <c r="E159" s="6" t="s">
        <v>82</v>
      </c>
      <c r="F159" s="6" t="s">
        <v>82</v>
      </c>
      <c r="G159" s="6" t="s">
        <v>204</v>
      </c>
      <c r="H159" s="10">
        <v>47</v>
      </c>
      <c r="I159" s="6"/>
      <c r="J159" s="6"/>
      <c r="K159" s="6" t="s">
        <v>3</v>
      </c>
      <c r="L159" s="6"/>
      <c r="M159" s="6"/>
      <c r="N159" s="6"/>
      <c r="O159" s="6"/>
      <c r="P159" s="17" t="s">
        <v>3</v>
      </c>
      <c r="Q159" s="6" t="s">
        <v>313</v>
      </c>
      <c r="R159" s="17" t="s">
        <v>3</v>
      </c>
      <c r="S159" s="17" t="s">
        <v>784</v>
      </c>
      <c r="T159" s="6" t="s">
        <v>25</v>
      </c>
      <c r="U159" s="6" t="s">
        <v>222</v>
      </c>
      <c r="V159" s="17" t="s">
        <v>785</v>
      </c>
      <c r="W159" s="6">
        <v>484</v>
      </c>
      <c r="X159" s="6" t="s">
        <v>224</v>
      </c>
    </row>
    <row r="160" spans="1:24" ht="135" x14ac:dyDescent="0.25">
      <c r="A160" s="6" t="s">
        <v>786</v>
      </c>
      <c r="B160" s="14">
        <v>46085</v>
      </c>
      <c r="C160" s="14">
        <v>46087</v>
      </c>
      <c r="D160" s="6" t="s">
        <v>783</v>
      </c>
      <c r="E160" s="6" t="s">
        <v>82</v>
      </c>
      <c r="F160" s="6" t="s">
        <v>82</v>
      </c>
      <c r="G160" s="6" t="s">
        <v>204</v>
      </c>
      <c r="H160" s="10">
        <v>40</v>
      </c>
      <c r="I160" s="6"/>
      <c r="J160" s="6"/>
      <c r="K160" s="6" t="s">
        <v>3</v>
      </c>
      <c r="L160" s="6"/>
      <c r="M160" s="6"/>
      <c r="N160" s="6"/>
      <c r="O160" s="6"/>
      <c r="P160" s="17" t="s">
        <v>3</v>
      </c>
      <c r="Q160" s="6" t="s">
        <v>313</v>
      </c>
      <c r="R160" s="17" t="s">
        <v>3</v>
      </c>
      <c r="S160" s="17" t="s">
        <v>784</v>
      </c>
      <c r="T160" s="6" t="s">
        <v>25</v>
      </c>
      <c r="U160" s="6" t="s">
        <v>222</v>
      </c>
      <c r="V160" s="17" t="s">
        <v>785</v>
      </c>
      <c r="W160" s="6">
        <v>484</v>
      </c>
      <c r="X160" s="6" t="s">
        <v>224</v>
      </c>
    </row>
    <row r="161" spans="1:24" x14ac:dyDescent="0.25">
      <c r="A161" s="6" t="s">
        <v>787</v>
      </c>
      <c r="B161" s="14">
        <v>46087</v>
      </c>
      <c r="C161" s="14">
        <v>46087</v>
      </c>
      <c r="D161" s="6" t="s">
        <v>788</v>
      </c>
      <c r="E161" s="6" t="s">
        <v>112</v>
      </c>
      <c r="F161" s="6" t="s">
        <v>112</v>
      </c>
      <c r="G161" s="6" t="s">
        <v>236</v>
      </c>
      <c r="H161" s="10">
        <v>167</v>
      </c>
      <c r="I161" s="6"/>
      <c r="J161" s="6"/>
      <c r="K161" s="6" t="s">
        <v>3</v>
      </c>
      <c r="L161" s="6"/>
      <c r="M161" s="6"/>
      <c r="N161" s="6"/>
      <c r="O161" s="6"/>
      <c r="P161" s="17" t="s">
        <v>3</v>
      </c>
      <c r="Q161" s="6" t="s">
        <v>228</v>
      </c>
      <c r="R161" s="17" t="s">
        <v>3</v>
      </c>
      <c r="S161" s="17" t="s">
        <v>112</v>
      </c>
      <c r="T161" s="6" t="s">
        <v>24</v>
      </c>
      <c r="U161" s="6" t="s">
        <v>207</v>
      </c>
      <c r="V161" s="17" t="s">
        <v>3</v>
      </c>
      <c r="W161" s="6">
        <v>489</v>
      </c>
      <c r="X161" s="6" t="s">
        <v>208</v>
      </c>
    </row>
    <row r="162" spans="1:24" x14ac:dyDescent="0.25">
      <c r="A162" s="6" t="s">
        <v>789</v>
      </c>
      <c r="B162" s="14">
        <v>46087</v>
      </c>
      <c r="C162" s="14">
        <v>46087</v>
      </c>
      <c r="D162" s="6" t="s">
        <v>790</v>
      </c>
      <c r="E162" s="6" t="s">
        <v>45</v>
      </c>
      <c r="F162" s="6" t="s">
        <v>3</v>
      </c>
      <c r="G162" s="6" t="s">
        <v>263</v>
      </c>
      <c r="H162" s="10">
        <v>55</v>
      </c>
      <c r="I162" s="6"/>
      <c r="J162" s="6"/>
      <c r="K162" s="6" t="s">
        <v>3</v>
      </c>
      <c r="L162" s="6"/>
      <c r="M162" s="6"/>
      <c r="N162" s="6"/>
      <c r="O162" s="6"/>
      <c r="P162" s="17" t="s">
        <v>3</v>
      </c>
      <c r="Q162" s="6" t="s">
        <v>228</v>
      </c>
      <c r="R162" s="17" t="s">
        <v>3</v>
      </c>
      <c r="S162" s="17" t="s">
        <v>791</v>
      </c>
      <c r="T162" s="6" t="s">
        <v>26</v>
      </c>
      <c r="U162" s="6" t="s">
        <v>222</v>
      </c>
      <c r="V162" s="17" t="s">
        <v>474</v>
      </c>
      <c r="W162" s="6">
        <v>492</v>
      </c>
      <c r="X162" s="6" t="s">
        <v>224</v>
      </c>
    </row>
    <row r="163" spans="1:24" x14ac:dyDescent="0.25">
      <c r="A163" s="6" t="s">
        <v>792</v>
      </c>
      <c r="B163" s="14">
        <v>46087</v>
      </c>
      <c r="C163" s="14">
        <v>46087</v>
      </c>
      <c r="D163" s="6" t="s">
        <v>793</v>
      </c>
      <c r="E163" s="6" t="s">
        <v>45</v>
      </c>
      <c r="F163" s="6" t="s">
        <v>3</v>
      </c>
      <c r="G163" s="6" t="s">
        <v>263</v>
      </c>
      <c r="H163" s="10">
        <v>93</v>
      </c>
      <c r="I163" s="6"/>
      <c r="J163" s="6"/>
      <c r="K163" s="6" t="s">
        <v>3</v>
      </c>
      <c r="L163" s="6"/>
      <c r="M163" s="6"/>
      <c r="N163" s="6"/>
      <c r="O163" s="6"/>
      <c r="P163" s="17" t="s">
        <v>3</v>
      </c>
      <c r="Q163" s="6" t="s">
        <v>228</v>
      </c>
      <c r="R163" s="17" t="s">
        <v>3</v>
      </c>
      <c r="S163" s="17" t="s">
        <v>794</v>
      </c>
      <c r="T163" s="6" t="s">
        <v>26</v>
      </c>
      <c r="U163" s="6" t="s">
        <v>222</v>
      </c>
      <c r="V163" s="17" t="s">
        <v>474</v>
      </c>
      <c r="W163" s="6">
        <v>494</v>
      </c>
      <c r="X163" s="6" t="s">
        <v>224</v>
      </c>
    </row>
    <row r="164" spans="1:24" ht="67.5" x14ac:dyDescent="0.25">
      <c r="A164" s="6" t="s">
        <v>795</v>
      </c>
      <c r="B164" s="14">
        <v>46087</v>
      </c>
      <c r="C164" s="14">
        <v>46089</v>
      </c>
      <c r="D164" s="6" t="s">
        <v>796</v>
      </c>
      <c r="E164" s="6" t="s">
        <v>158</v>
      </c>
      <c r="F164" s="6" t="s">
        <v>158</v>
      </c>
      <c r="G164" s="6" t="s">
        <v>204</v>
      </c>
      <c r="H164" s="6"/>
      <c r="I164" s="6"/>
      <c r="J164" s="6"/>
      <c r="K164" s="6" t="s">
        <v>797</v>
      </c>
      <c r="L164" s="6"/>
      <c r="M164" s="10">
        <v>152</v>
      </c>
      <c r="N164" s="6"/>
      <c r="O164" s="6"/>
      <c r="P164" s="17" t="s">
        <v>3</v>
      </c>
      <c r="Q164" s="6" t="s">
        <v>205</v>
      </c>
      <c r="R164" s="17" t="s">
        <v>3</v>
      </c>
      <c r="S164" s="17" t="s">
        <v>798</v>
      </c>
      <c r="T164" s="6" t="s">
        <v>25</v>
      </c>
      <c r="U164" s="6" t="s">
        <v>222</v>
      </c>
      <c r="V164" s="17" t="s">
        <v>223</v>
      </c>
      <c r="W164" s="6">
        <v>498</v>
      </c>
      <c r="X164" s="6" t="s">
        <v>224</v>
      </c>
    </row>
    <row r="165" spans="1:24" ht="67.5" x14ac:dyDescent="0.25">
      <c r="A165" s="6" t="s">
        <v>799</v>
      </c>
      <c r="B165" s="14">
        <v>46087</v>
      </c>
      <c r="C165" s="14">
        <v>46087</v>
      </c>
      <c r="D165" s="6" t="s">
        <v>800</v>
      </c>
      <c r="E165" s="6" t="s">
        <v>82</v>
      </c>
      <c r="F165" s="6" t="s">
        <v>82</v>
      </c>
      <c r="G165" s="6" t="s">
        <v>236</v>
      </c>
      <c r="H165" s="10">
        <v>47</v>
      </c>
      <c r="I165" s="6"/>
      <c r="J165" s="6"/>
      <c r="K165" s="6" t="s">
        <v>3</v>
      </c>
      <c r="L165" s="10">
        <v>18</v>
      </c>
      <c r="M165" s="6"/>
      <c r="N165" s="6"/>
      <c r="O165" s="6"/>
      <c r="P165" s="17" t="s">
        <v>3</v>
      </c>
      <c r="Q165" s="6" t="s">
        <v>313</v>
      </c>
      <c r="R165" s="17" t="s">
        <v>3</v>
      </c>
      <c r="S165" s="17" t="s">
        <v>801</v>
      </c>
      <c r="T165" s="6" t="s">
        <v>24</v>
      </c>
      <c r="U165" s="6" t="s">
        <v>207</v>
      </c>
      <c r="V165" s="17" t="s">
        <v>3</v>
      </c>
      <c r="W165" s="6">
        <v>483</v>
      </c>
      <c r="X165" s="6" t="s">
        <v>208</v>
      </c>
    </row>
    <row r="166" spans="1:24" ht="54" x14ac:dyDescent="0.25">
      <c r="A166" s="6" t="s">
        <v>802</v>
      </c>
      <c r="B166" s="14">
        <v>46088</v>
      </c>
      <c r="C166" s="14">
        <v>46089</v>
      </c>
      <c r="D166" s="6" t="s">
        <v>803</v>
      </c>
      <c r="E166" s="6" t="s">
        <v>111</v>
      </c>
      <c r="F166" s="6" t="s">
        <v>111</v>
      </c>
      <c r="G166" s="6" t="s">
        <v>236</v>
      </c>
      <c r="H166" s="10">
        <v>93</v>
      </c>
      <c r="I166" s="6"/>
      <c r="J166" s="6"/>
      <c r="K166" s="6" t="s">
        <v>3</v>
      </c>
      <c r="L166" s="10">
        <v>34</v>
      </c>
      <c r="M166" s="6"/>
      <c r="N166" s="6"/>
      <c r="O166" s="6"/>
      <c r="P166" s="17" t="s">
        <v>3</v>
      </c>
      <c r="Q166" s="6" t="s">
        <v>313</v>
      </c>
      <c r="R166" s="17" t="s">
        <v>3</v>
      </c>
      <c r="S166" s="17" t="s">
        <v>804</v>
      </c>
      <c r="T166" s="6" t="s">
        <v>24</v>
      </c>
      <c r="U166" s="6" t="s">
        <v>207</v>
      </c>
      <c r="V166" s="17" t="s">
        <v>3</v>
      </c>
      <c r="W166" s="6">
        <v>496</v>
      </c>
      <c r="X166" s="6" t="s">
        <v>208</v>
      </c>
    </row>
    <row r="167" spans="1:24" ht="67.5" x14ac:dyDescent="0.25">
      <c r="A167" s="6" t="s">
        <v>805</v>
      </c>
      <c r="B167" s="14">
        <v>46088</v>
      </c>
      <c r="C167" s="14">
        <v>46089</v>
      </c>
      <c r="D167" s="6" t="s">
        <v>806</v>
      </c>
      <c r="E167" s="6" t="s">
        <v>38</v>
      </c>
      <c r="F167" s="6" t="s">
        <v>38</v>
      </c>
      <c r="G167" s="6" t="s">
        <v>236</v>
      </c>
      <c r="H167" s="10">
        <v>203</v>
      </c>
      <c r="I167" s="6"/>
      <c r="J167" s="6"/>
      <c r="K167" s="6" t="s">
        <v>3</v>
      </c>
      <c r="L167" s="10">
        <v>76</v>
      </c>
      <c r="M167" s="6"/>
      <c r="N167" s="6"/>
      <c r="O167" s="6"/>
      <c r="P167" s="17" t="s">
        <v>3</v>
      </c>
      <c r="Q167" s="6" t="s">
        <v>313</v>
      </c>
      <c r="R167" s="17" t="s">
        <v>3</v>
      </c>
      <c r="S167" s="17" t="s">
        <v>807</v>
      </c>
      <c r="T167" s="6" t="s">
        <v>25</v>
      </c>
      <c r="U167" s="6" t="s">
        <v>222</v>
      </c>
      <c r="V167" s="17" t="s">
        <v>785</v>
      </c>
      <c r="W167" s="6">
        <v>497</v>
      </c>
      <c r="X167" s="6" t="s">
        <v>224</v>
      </c>
    </row>
    <row r="168" spans="1:24" ht="67.5" x14ac:dyDescent="0.25">
      <c r="A168" s="6" t="s">
        <v>808</v>
      </c>
      <c r="B168" s="14">
        <v>46088</v>
      </c>
      <c r="C168" s="14">
        <v>46088</v>
      </c>
      <c r="D168" s="6" t="s">
        <v>809</v>
      </c>
      <c r="E168" s="6" t="s">
        <v>59</v>
      </c>
      <c r="F168" s="6" t="s">
        <v>810</v>
      </c>
      <c r="G168" s="6" t="s">
        <v>811</v>
      </c>
      <c r="H168" s="10">
        <v>720</v>
      </c>
      <c r="I168" s="6"/>
      <c r="J168" s="6"/>
      <c r="K168" s="6" t="s">
        <v>3</v>
      </c>
      <c r="L168" s="6"/>
      <c r="M168" s="6"/>
      <c r="N168" s="6"/>
      <c r="O168" s="6"/>
      <c r="P168" s="17" t="s">
        <v>3</v>
      </c>
      <c r="Q168" s="6" t="s">
        <v>812</v>
      </c>
      <c r="R168" s="17" t="s">
        <v>813</v>
      </c>
      <c r="S168" s="17" t="s">
        <v>814</v>
      </c>
      <c r="T168" s="6" t="s">
        <v>24</v>
      </c>
      <c r="U168" s="6" t="s">
        <v>207</v>
      </c>
      <c r="V168" s="17" t="s">
        <v>3</v>
      </c>
      <c r="W168" s="6">
        <v>495</v>
      </c>
      <c r="X168" s="6" t="s">
        <v>208</v>
      </c>
    </row>
    <row r="169" spans="1:24" ht="81" x14ac:dyDescent="0.25">
      <c r="A169" s="6" t="s">
        <v>815</v>
      </c>
      <c r="B169" s="14">
        <v>46089</v>
      </c>
      <c r="C169" s="14">
        <v>46089</v>
      </c>
      <c r="D169" s="6" t="s">
        <v>816</v>
      </c>
      <c r="E169" s="6" t="s">
        <v>59</v>
      </c>
      <c r="F169" s="6" t="s">
        <v>810</v>
      </c>
      <c r="G169" s="6" t="s">
        <v>817</v>
      </c>
      <c r="H169" s="10">
        <v>720</v>
      </c>
      <c r="I169" s="6"/>
      <c r="J169" s="6"/>
      <c r="K169" s="6" t="s">
        <v>3</v>
      </c>
      <c r="L169" s="6"/>
      <c r="M169" s="6"/>
      <c r="N169" s="6"/>
      <c r="O169" s="6"/>
      <c r="P169" s="17" t="s">
        <v>3</v>
      </c>
      <c r="Q169" s="6" t="s">
        <v>812</v>
      </c>
      <c r="R169" s="17" t="s">
        <v>818</v>
      </c>
      <c r="S169" s="17" t="s">
        <v>819</v>
      </c>
      <c r="T169" s="6" t="s">
        <v>24</v>
      </c>
      <c r="U169" s="6" t="s">
        <v>207</v>
      </c>
      <c r="V169" s="17" t="s">
        <v>3</v>
      </c>
      <c r="W169" s="6">
        <v>499</v>
      </c>
      <c r="X169" s="6" t="s">
        <v>208</v>
      </c>
    </row>
    <row r="170" spans="1:24" ht="67.5" x14ac:dyDescent="0.25">
      <c r="A170" s="6" t="s">
        <v>820</v>
      </c>
      <c r="B170" s="14">
        <v>46090</v>
      </c>
      <c r="C170" s="14">
        <v>46091</v>
      </c>
      <c r="D170" s="6" t="s">
        <v>821</v>
      </c>
      <c r="E170" s="6" t="s">
        <v>40</v>
      </c>
      <c r="F170" s="6" t="s">
        <v>40</v>
      </c>
      <c r="G170" s="6" t="s">
        <v>236</v>
      </c>
      <c r="H170" s="10">
        <v>382</v>
      </c>
      <c r="I170" s="6"/>
      <c r="J170" s="6"/>
      <c r="K170" s="6" t="s">
        <v>822</v>
      </c>
      <c r="L170" s="10">
        <v>135</v>
      </c>
      <c r="M170" s="6"/>
      <c r="N170" s="6"/>
      <c r="O170" s="6"/>
      <c r="P170" s="17" t="s">
        <v>3</v>
      </c>
      <c r="Q170" s="6" t="s">
        <v>211</v>
      </c>
      <c r="R170" s="17" t="s">
        <v>823</v>
      </c>
      <c r="S170" s="17" t="s">
        <v>824</v>
      </c>
      <c r="T170" s="6" t="s">
        <v>24</v>
      </c>
      <c r="U170" s="6" t="s">
        <v>207</v>
      </c>
      <c r="V170" s="17" t="s">
        <v>3</v>
      </c>
      <c r="W170" s="6">
        <v>505</v>
      </c>
      <c r="X170" s="6" t="s">
        <v>208</v>
      </c>
    </row>
    <row r="171" spans="1:24" ht="54" x14ac:dyDescent="0.25">
      <c r="A171" s="6" t="s">
        <v>825</v>
      </c>
      <c r="B171" s="14">
        <v>46090</v>
      </c>
      <c r="C171" s="14">
        <v>46091</v>
      </c>
      <c r="D171" s="6" t="s">
        <v>826</v>
      </c>
      <c r="E171" s="6" t="s">
        <v>35</v>
      </c>
      <c r="F171" s="6" t="s">
        <v>35</v>
      </c>
      <c r="G171" s="6" t="s">
        <v>204</v>
      </c>
      <c r="H171" s="10">
        <v>89</v>
      </c>
      <c r="I171" s="6"/>
      <c r="J171" s="6"/>
      <c r="K171" s="6" t="s">
        <v>3</v>
      </c>
      <c r="L171" s="6"/>
      <c r="M171" s="10">
        <v>42</v>
      </c>
      <c r="N171" s="6"/>
      <c r="O171" s="6"/>
      <c r="P171" s="17" t="s">
        <v>3</v>
      </c>
      <c r="Q171" s="6" t="s">
        <v>205</v>
      </c>
      <c r="R171" s="17" t="s">
        <v>827</v>
      </c>
      <c r="S171" s="17" t="s">
        <v>828</v>
      </c>
      <c r="T171" s="6" t="s">
        <v>25</v>
      </c>
      <c r="U171" s="6" t="s">
        <v>222</v>
      </c>
      <c r="V171" s="17" t="s">
        <v>404</v>
      </c>
      <c r="W171" s="6">
        <v>500</v>
      </c>
      <c r="X171" s="6" t="s">
        <v>224</v>
      </c>
    </row>
    <row r="172" spans="1:24" ht="67.5" x14ac:dyDescent="0.25">
      <c r="A172" s="6" t="s">
        <v>829</v>
      </c>
      <c r="B172" s="14">
        <v>46091</v>
      </c>
      <c r="C172" s="14">
        <v>46092</v>
      </c>
      <c r="D172" s="6" t="s">
        <v>830</v>
      </c>
      <c r="E172" s="6" t="s">
        <v>131</v>
      </c>
      <c r="F172" s="6" t="s">
        <v>131</v>
      </c>
      <c r="G172" s="6" t="s">
        <v>236</v>
      </c>
      <c r="H172" s="10">
        <v>73</v>
      </c>
      <c r="I172" s="6"/>
      <c r="J172" s="6"/>
      <c r="K172" s="6" t="s">
        <v>3</v>
      </c>
      <c r="L172" s="10">
        <v>28</v>
      </c>
      <c r="M172" s="6"/>
      <c r="N172" s="6"/>
      <c r="O172" s="6"/>
      <c r="P172" s="17" t="s">
        <v>3</v>
      </c>
      <c r="Q172" s="6" t="s">
        <v>313</v>
      </c>
      <c r="R172" s="17" t="s">
        <v>3</v>
      </c>
      <c r="S172" s="17" t="s">
        <v>831</v>
      </c>
      <c r="T172" s="6" t="s">
        <v>24</v>
      </c>
      <c r="U172" s="6" t="s">
        <v>207</v>
      </c>
      <c r="V172" s="17" t="s">
        <v>3</v>
      </c>
      <c r="W172" s="6">
        <v>509</v>
      </c>
      <c r="X172" s="6" t="s">
        <v>208</v>
      </c>
    </row>
    <row r="173" spans="1:24" ht="27" x14ac:dyDescent="0.25">
      <c r="A173" s="6" t="s">
        <v>832</v>
      </c>
      <c r="B173" s="14">
        <v>46091</v>
      </c>
      <c r="C173" s="14">
        <v>46091</v>
      </c>
      <c r="D173" s="6" t="s">
        <v>833</v>
      </c>
      <c r="E173" s="6" t="s">
        <v>172</v>
      </c>
      <c r="F173" s="6" t="s">
        <v>172</v>
      </c>
      <c r="G173" s="6" t="s">
        <v>263</v>
      </c>
      <c r="H173" s="10">
        <v>320</v>
      </c>
      <c r="I173" s="6"/>
      <c r="J173" s="6"/>
      <c r="K173" s="6" t="s">
        <v>3</v>
      </c>
      <c r="L173" s="6"/>
      <c r="M173" s="6"/>
      <c r="N173" s="6"/>
      <c r="O173" s="6"/>
      <c r="P173" s="17" t="s">
        <v>3</v>
      </c>
      <c r="Q173" s="6" t="s">
        <v>673</v>
      </c>
      <c r="R173" s="17" t="s">
        <v>834</v>
      </c>
      <c r="S173" s="17" t="s">
        <v>835</v>
      </c>
      <c r="T173" s="6" t="s">
        <v>25</v>
      </c>
      <c r="U173" s="6" t="s">
        <v>222</v>
      </c>
      <c r="V173" s="17" t="s">
        <v>267</v>
      </c>
      <c r="W173" s="6">
        <v>504</v>
      </c>
      <c r="X173" s="6" t="s">
        <v>224</v>
      </c>
    </row>
    <row r="174" spans="1:24" ht="67.5" x14ac:dyDescent="0.25">
      <c r="A174" s="6" t="s">
        <v>836</v>
      </c>
      <c r="B174" s="14">
        <v>46091</v>
      </c>
      <c r="C174" s="14">
        <v>46091</v>
      </c>
      <c r="D174" s="6" t="s">
        <v>837</v>
      </c>
      <c r="E174" s="6" t="s">
        <v>35</v>
      </c>
      <c r="F174" s="6" t="s">
        <v>35</v>
      </c>
      <c r="G174" s="6" t="s">
        <v>204</v>
      </c>
      <c r="H174" s="10">
        <v>222</v>
      </c>
      <c r="I174" s="6"/>
      <c r="J174" s="6"/>
      <c r="K174" s="6" t="s">
        <v>838</v>
      </c>
      <c r="L174" s="6"/>
      <c r="M174" s="10">
        <v>92</v>
      </c>
      <c r="N174" s="6"/>
      <c r="O174" s="6"/>
      <c r="P174" s="17" t="s">
        <v>3</v>
      </c>
      <c r="Q174" s="6" t="s">
        <v>205</v>
      </c>
      <c r="R174" s="17" t="s">
        <v>839</v>
      </c>
      <c r="S174" s="17" t="s">
        <v>840</v>
      </c>
      <c r="T174" s="6" t="s">
        <v>25</v>
      </c>
      <c r="U174" s="6" t="s">
        <v>222</v>
      </c>
      <c r="V174" s="17" t="s">
        <v>404</v>
      </c>
      <c r="W174" s="6">
        <v>502</v>
      </c>
      <c r="X174" s="6" t="s">
        <v>224</v>
      </c>
    </row>
    <row r="175" spans="1:24" ht="27" x14ac:dyDescent="0.25">
      <c r="A175" s="6" t="s">
        <v>841</v>
      </c>
      <c r="B175" s="14">
        <v>46092</v>
      </c>
      <c r="C175" s="14">
        <v>46092</v>
      </c>
      <c r="D175" s="6" t="s">
        <v>842</v>
      </c>
      <c r="E175" s="6" t="s">
        <v>116</v>
      </c>
      <c r="F175" s="6" t="s">
        <v>116</v>
      </c>
      <c r="G175" s="6" t="s">
        <v>236</v>
      </c>
      <c r="H175" s="10">
        <v>200</v>
      </c>
      <c r="I175" s="6"/>
      <c r="J175" s="6"/>
      <c r="K175" s="6" t="s">
        <v>3</v>
      </c>
      <c r="L175" s="10">
        <v>89</v>
      </c>
      <c r="M175" s="6"/>
      <c r="N175" s="6"/>
      <c r="O175" s="6"/>
      <c r="P175" s="17" t="s">
        <v>3</v>
      </c>
      <c r="Q175" s="6" t="s">
        <v>673</v>
      </c>
      <c r="R175" s="17" t="s">
        <v>3</v>
      </c>
      <c r="S175" s="17" t="s">
        <v>843</v>
      </c>
      <c r="T175" s="6" t="s">
        <v>24</v>
      </c>
      <c r="U175" s="6" t="s">
        <v>207</v>
      </c>
      <c r="V175" s="17" t="s">
        <v>3</v>
      </c>
      <c r="W175" s="6">
        <v>512</v>
      </c>
      <c r="X175" s="6" t="s">
        <v>208</v>
      </c>
    </row>
    <row r="176" spans="1:24" ht="67.5" x14ac:dyDescent="0.25">
      <c r="A176" s="6" t="s">
        <v>844</v>
      </c>
      <c r="B176" s="14">
        <v>46092</v>
      </c>
      <c r="C176" s="14">
        <v>46092</v>
      </c>
      <c r="D176" s="6" t="s">
        <v>637</v>
      </c>
      <c r="E176" s="6" t="s">
        <v>40</v>
      </c>
      <c r="F176" s="6" t="s">
        <v>40</v>
      </c>
      <c r="G176" s="6" t="s">
        <v>236</v>
      </c>
      <c r="H176" s="10">
        <v>200</v>
      </c>
      <c r="I176" s="6"/>
      <c r="J176" s="6"/>
      <c r="K176" s="6" t="s">
        <v>3</v>
      </c>
      <c r="L176" s="10">
        <v>80</v>
      </c>
      <c r="M176" s="6"/>
      <c r="N176" s="6"/>
      <c r="O176" s="6"/>
      <c r="P176" s="17" t="s">
        <v>3</v>
      </c>
      <c r="Q176" s="6" t="s">
        <v>211</v>
      </c>
      <c r="R176" s="17" t="s">
        <v>845</v>
      </c>
      <c r="S176" s="17" t="s">
        <v>846</v>
      </c>
      <c r="T176" s="6" t="s">
        <v>24</v>
      </c>
      <c r="U176" s="6" t="s">
        <v>207</v>
      </c>
      <c r="V176" s="17" t="s">
        <v>3</v>
      </c>
      <c r="W176" s="6">
        <v>514</v>
      </c>
      <c r="X176" s="6" t="s">
        <v>208</v>
      </c>
    </row>
    <row r="177" spans="1:24" x14ac:dyDescent="0.25">
      <c r="A177" s="6" t="s">
        <v>847</v>
      </c>
      <c r="B177" s="14">
        <v>46092</v>
      </c>
      <c r="C177" s="14">
        <v>46092</v>
      </c>
      <c r="D177" s="6" t="s">
        <v>848</v>
      </c>
      <c r="E177" s="6" t="s">
        <v>45</v>
      </c>
      <c r="F177" s="6" t="s">
        <v>3</v>
      </c>
      <c r="G177" s="6" t="s">
        <v>204</v>
      </c>
      <c r="H177" s="10">
        <v>300</v>
      </c>
      <c r="I177" s="6"/>
      <c r="J177" s="6"/>
      <c r="K177" s="6" t="s">
        <v>3</v>
      </c>
      <c r="L177" s="6"/>
      <c r="M177" s="6"/>
      <c r="N177" s="6"/>
      <c r="O177" s="6"/>
      <c r="P177" s="17" t="s">
        <v>3</v>
      </c>
      <c r="Q177" s="6" t="s">
        <v>228</v>
      </c>
      <c r="R177" s="17" t="s">
        <v>3</v>
      </c>
      <c r="S177" s="17" t="s">
        <v>849</v>
      </c>
      <c r="T177" s="6" t="s">
        <v>26</v>
      </c>
      <c r="U177" s="6" t="s">
        <v>222</v>
      </c>
      <c r="V177" s="17" t="s">
        <v>543</v>
      </c>
      <c r="W177" s="6">
        <v>513</v>
      </c>
      <c r="X177" s="6" t="s">
        <v>224</v>
      </c>
    </row>
    <row r="178" spans="1:24" ht="40.5" x14ac:dyDescent="0.25">
      <c r="A178" s="6" t="s">
        <v>850</v>
      </c>
      <c r="B178" s="14">
        <v>46092</v>
      </c>
      <c r="C178" s="14">
        <v>46092</v>
      </c>
      <c r="D178" s="6" t="s">
        <v>851</v>
      </c>
      <c r="E178" s="6" t="s">
        <v>163</v>
      </c>
      <c r="F178" s="6" t="s">
        <v>163</v>
      </c>
      <c r="G178" s="6" t="s">
        <v>852</v>
      </c>
      <c r="H178" s="10">
        <v>170</v>
      </c>
      <c r="I178" s="6"/>
      <c r="J178" s="6"/>
      <c r="K178" s="6" t="s">
        <v>3</v>
      </c>
      <c r="L178" s="6"/>
      <c r="M178" s="6"/>
      <c r="N178" s="6"/>
      <c r="O178" s="6"/>
      <c r="P178" s="17" t="s">
        <v>853</v>
      </c>
      <c r="Q178" s="6" t="s">
        <v>313</v>
      </c>
      <c r="R178" s="17" t="s">
        <v>3</v>
      </c>
      <c r="S178" s="17" t="s">
        <v>854</v>
      </c>
      <c r="T178" s="6" t="s">
        <v>24</v>
      </c>
      <c r="U178" s="6" t="s">
        <v>207</v>
      </c>
      <c r="V178" s="17" t="s">
        <v>3</v>
      </c>
      <c r="W178" s="6">
        <v>510</v>
      </c>
      <c r="X178" s="6" t="s">
        <v>208</v>
      </c>
    </row>
    <row r="179" spans="1:24" ht="67.5" x14ac:dyDescent="0.25">
      <c r="A179" s="6" t="s">
        <v>855</v>
      </c>
      <c r="B179" s="14">
        <v>46092</v>
      </c>
      <c r="C179" s="14">
        <v>46092</v>
      </c>
      <c r="D179" s="6" t="s">
        <v>856</v>
      </c>
      <c r="E179" s="6" t="s">
        <v>35</v>
      </c>
      <c r="F179" s="6" t="s">
        <v>35</v>
      </c>
      <c r="G179" s="6" t="s">
        <v>204</v>
      </c>
      <c r="H179" s="10">
        <v>144</v>
      </c>
      <c r="I179" s="6"/>
      <c r="J179" s="6"/>
      <c r="K179" s="6" t="s">
        <v>857</v>
      </c>
      <c r="L179" s="6"/>
      <c r="M179" s="10">
        <v>46</v>
      </c>
      <c r="N179" s="6"/>
      <c r="O179" s="6"/>
      <c r="P179" s="17" t="s">
        <v>3</v>
      </c>
      <c r="Q179" s="6" t="s">
        <v>205</v>
      </c>
      <c r="R179" s="17" t="s">
        <v>858</v>
      </c>
      <c r="S179" s="17" t="s">
        <v>859</v>
      </c>
      <c r="T179" s="6" t="s">
        <v>25</v>
      </c>
      <c r="U179" s="6" t="s">
        <v>222</v>
      </c>
      <c r="V179" s="17" t="s">
        <v>404</v>
      </c>
      <c r="W179" s="6">
        <v>506</v>
      </c>
      <c r="X179" s="6" t="s">
        <v>224</v>
      </c>
    </row>
    <row r="180" spans="1:24" ht="27" x14ac:dyDescent="0.25">
      <c r="A180" s="6" t="s">
        <v>860</v>
      </c>
      <c r="B180" s="14">
        <v>46093</v>
      </c>
      <c r="C180" s="14">
        <v>46093</v>
      </c>
      <c r="D180" s="6" t="s">
        <v>861</v>
      </c>
      <c r="E180" s="6" t="s">
        <v>109</v>
      </c>
      <c r="F180" s="6" t="s">
        <v>109</v>
      </c>
      <c r="G180" s="6" t="s">
        <v>236</v>
      </c>
      <c r="H180" s="10">
        <v>60</v>
      </c>
      <c r="I180" s="6"/>
      <c r="J180" s="6"/>
      <c r="K180" s="6" t="s">
        <v>3</v>
      </c>
      <c r="L180" s="6"/>
      <c r="M180" s="6"/>
      <c r="N180" s="6"/>
      <c r="O180" s="6"/>
      <c r="P180" s="17" t="s">
        <v>3</v>
      </c>
      <c r="Q180" s="6" t="s">
        <v>228</v>
      </c>
      <c r="R180" s="17" t="s">
        <v>3</v>
      </c>
      <c r="S180" s="17" t="s">
        <v>862</v>
      </c>
      <c r="T180" s="6" t="s">
        <v>24</v>
      </c>
      <c r="U180" s="6" t="s">
        <v>207</v>
      </c>
      <c r="V180" s="17" t="s">
        <v>3</v>
      </c>
      <c r="W180" s="6">
        <v>516</v>
      </c>
      <c r="X180" s="6" t="s">
        <v>208</v>
      </c>
    </row>
    <row r="181" spans="1:24" ht="67.5" x14ac:dyDescent="0.25">
      <c r="A181" s="6" t="s">
        <v>863</v>
      </c>
      <c r="B181" s="14">
        <v>46093</v>
      </c>
      <c r="C181" s="14">
        <v>46093</v>
      </c>
      <c r="D181" s="6" t="s">
        <v>864</v>
      </c>
      <c r="E181" s="6" t="s">
        <v>40</v>
      </c>
      <c r="F181" s="6" t="s">
        <v>40</v>
      </c>
      <c r="G181" s="6" t="s">
        <v>236</v>
      </c>
      <c r="H181" s="10">
        <v>170</v>
      </c>
      <c r="I181" s="6"/>
      <c r="J181" s="6"/>
      <c r="K181" s="6" t="s">
        <v>3</v>
      </c>
      <c r="L181" s="10">
        <v>70</v>
      </c>
      <c r="M181" s="6"/>
      <c r="N181" s="6"/>
      <c r="O181" s="6"/>
      <c r="P181" s="17" t="s">
        <v>3</v>
      </c>
      <c r="Q181" s="6" t="s">
        <v>211</v>
      </c>
      <c r="R181" s="17" t="s">
        <v>865</v>
      </c>
      <c r="S181" s="17" t="s">
        <v>866</v>
      </c>
      <c r="T181" s="6" t="s">
        <v>24</v>
      </c>
      <c r="U181" s="6" t="s">
        <v>207</v>
      </c>
      <c r="V181" s="17" t="s">
        <v>3</v>
      </c>
      <c r="W181" s="6">
        <v>517</v>
      </c>
      <c r="X181" s="6" t="s">
        <v>208</v>
      </c>
    </row>
    <row r="182" spans="1:24" ht="27" x14ac:dyDescent="0.25">
      <c r="A182" s="6" t="s">
        <v>867</v>
      </c>
      <c r="B182" s="14">
        <v>46093</v>
      </c>
      <c r="C182" s="14">
        <v>46093</v>
      </c>
      <c r="D182" s="6" t="s">
        <v>868</v>
      </c>
      <c r="E182" s="6" t="s">
        <v>45</v>
      </c>
      <c r="F182" s="6" t="s">
        <v>869</v>
      </c>
      <c r="G182" s="6" t="s">
        <v>263</v>
      </c>
      <c r="H182" s="10">
        <v>280</v>
      </c>
      <c r="I182" s="6"/>
      <c r="J182" s="6"/>
      <c r="K182" s="6" t="s">
        <v>3</v>
      </c>
      <c r="L182" s="6"/>
      <c r="M182" s="6"/>
      <c r="N182" s="6"/>
      <c r="O182" s="6"/>
      <c r="P182" s="17" t="s">
        <v>3</v>
      </c>
      <c r="Q182" s="6" t="s">
        <v>673</v>
      </c>
      <c r="R182" s="17" t="s">
        <v>870</v>
      </c>
      <c r="S182" s="17" t="s">
        <v>871</v>
      </c>
      <c r="T182" s="6" t="s">
        <v>26</v>
      </c>
      <c r="U182" s="6" t="s">
        <v>222</v>
      </c>
      <c r="V182" s="17" t="s">
        <v>872</v>
      </c>
      <c r="W182" s="6">
        <v>523</v>
      </c>
      <c r="X182" s="6" t="s">
        <v>224</v>
      </c>
    </row>
    <row r="183" spans="1:24" ht="54" x14ac:dyDescent="0.25">
      <c r="A183" s="6" t="s">
        <v>873</v>
      </c>
      <c r="B183" s="14">
        <v>46093</v>
      </c>
      <c r="C183" s="14">
        <v>46094</v>
      </c>
      <c r="D183" s="6" t="s">
        <v>874</v>
      </c>
      <c r="E183" s="6" t="s">
        <v>80</v>
      </c>
      <c r="F183" s="6" t="s">
        <v>80</v>
      </c>
      <c r="G183" s="6" t="s">
        <v>204</v>
      </c>
      <c r="H183" s="10">
        <v>186</v>
      </c>
      <c r="I183" s="6"/>
      <c r="J183" s="6"/>
      <c r="K183" s="6" t="s">
        <v>875</v>
      </c>
      <c r="L183" s="6"/>
      <c r="M183" s="6"/>
      <c r="N183" s="6"/>
      <c r="O183" s="6"/>
      <c r="P183" s="17" t="s">
        <v>3</v>
      </c>
      <c r="Q183" s="6" t="s">
        <v>313</v>
      </c>
      <c r="R183" s="17" t="s">
        <v>876</v>
      </c>
      <c r="S183" s="17" t="s">
        <v>877</v>
      </c>
      <c r="T183" s="6" t="s">
        <v>25</v>
      </c>
      <c r="U183" s="6" t="s">
        <v>222</v>
      </c>
      <c r="V183" s="17" t="s">
        <v>404</v>
      </c>
      <c r="W183" s="6">
        <v>528</v>
      </c>
      <c r="X183" s="6" t="s">
        <v>224</v>
      </c>
    </row>
    <row r="184" spans="1:24" ht="54" x14ac:dyDescent="0.25">
      <c r="A184" s="6" t="s">
        <v>878</v>
      </c>
      <c r="B184" s="14">
        <v>46093</v>
      </c>
      <c r="C184" s="14">
        <v>46093</v>
      </c>
      <c r="D184" s="6" t="s">
        <v>879</v>
      </c>
      <c r="E184" s="6" t="s">
        <v>35</v>
      </c>
      <c r="F184" s="6" t="s">
        <v>35</v>
      </c>
      <c r="G184" s="6" t="s">
        <v>204</v>
      </c>
      <c r="H184" s="10">
        <v>215</v>
      </c>
      <c r="I184" s="6"/>
      <c r="J184" s="6"/>
      <c r="K184" s="6" t="s">
        <v>3</v>
      </c>
      <c r="L184" s="6"/>
      <c r="M184" s="10">
        <v>46</v>
      </c>
      <c r="N184" s="6"/>
      <c r="O184" s="6"/>
      <c r="P184" s="17" t="s">
        <v>3</v>
      </c>
      <c r="Q184" s="6" t="s">
        <v>205</v>
      </c>
      <c r="R184" s="17" t="s">
        <v>880</v>
      </c>
      <c r="S184" s="17" t="s">
        <v>881</v>
      </c>
      <c r="T184" s="6" t="s">
        <v>25</v>
      </c>
      <c r="U184" s="6" t="s">
        <v>222</v>
      </c>
      <c r="V184" s="17" t="s">
        <v>404</v>
      </c>
      <c r="W184" s="6">
        <v>519</v>
      </c>
      <c r="X184" s="6" t="s">
        <v>224</v>
      </c>
    </row>
    <row r="185" spans="1:24" ht="54" x14ac:dyDescent="0.25">
      <c r="A185" s="6" t="s">
        <v>882</v>
      </c>
      <c r="B185" s="14">
        <v>46094</v>
      </c>
      <c r="C185" s="14">
        <v>46094</v>
      </c>
      <c r="D185" s="6" t="s">
        <v>883</v>
      </c>
      <c r="E185" s="6" t="s">
        <v>40</v>
      </c>
      <c r="F185" s="6" t="s">
        <v>40</v>
      </c>
      <c r="G185" s="6" t="s">
        <v>236</v>
      </c>
      <c r="H185" s="10">
        <v>140</v>
      </c>
      <c r="I185" s="6"/>
      <c r="J185" s="6"/>
      <c r="K185" s="6" t="s">
        <v>3</v>
      </c>
      <c r="L185" s="10">
        <v>60</v>
      </c>
      <c r="M185" s="6"/>
      <c r="N185" s="6"/>
      <c r="O185" s="6"/>
      <c r="P185" s="17" t="s">
        <v>3</v>
      </c>
      <c r="Q185" s="6" t="s">
        <v>211</v>
      </c>
      <c r="R185" s="17" t="s">
        <v>3</v>
      </c>
      <c r="S185" s="17" t="s">
        <v>884</v>
      </c>
      <c r="T185" s="6" t="s">
        <v>24</v>
      </c>
      <c r="U185" s="6" t="s">
        <v>207</v>
      </c>
      <c r="V185" s="17" t="s">
        <v>3</v>
      </c>
      <c r="W185" s="6">
        <v>526</v>
      </c>
      <c r="X185" s="6" t="s">
        <v>208</v>
      </c>
    </row>
    <row r="186" spans="1:24" ht="121.5" x14ac:dyDescent="0.25">
      <c r="A186" s="6" t="s">
        <v>885</v>
      </c>
      <c r="B186" s="14">
        <v>46094</v>
      </c>
      <c r="C186" s="14">
        <v>46094</v>
      </c>
      <c r="D186" s="6" t="s">
        <v>886</v>
      </c>
      <c r="E186" s="6" t="s">
        <v>59</v>
      </c>
      <c r="F186" s="6" t="s">
        <v>887</v>
      </c>
      <c r="G186" s="6" t="s">
        <v>817</v>
      </c>
      <c r="H186" s="10">
        <v>720</v>
      </c>
      <c r="I186" s="6"/>
      <c r="J186" s="6"/>
      <c r="K186" s="6" t="s">
        <v>3</v>
      </c>
      <c r="L186" s="6"/>
      <c r="M186" s="6"/>
      <c r="N186" s="6"/>
      <c r="O186" s="6"/>
      <c r="P186" s="17" t="s">
        <v>3</v>
      </c>
      <c r="Q186" s="6" t="s">
        <v>812</v>
      </c>
      <c r="R186" s="17" t="s">
        <v>888</v>
      </c>
      <c r="S186" s="17" t="s">
        <v>889</v>
      </c>
      <c r="T186" s="6" t="s">
        <v>24</v>
      </c>
      <c r="U186" s="6" t="s">
        <v>207</v>
      </c>
      <c r="V186" s="17" t="s">
        <v>3</v>
      </c>
      <c r="W186" s="6">
        <v>525</v>
      </c>
      <c r="X186" s="6" t="s">
        <v>208</v>
      </c>
    </row>
    <row r="187" spans="1:24" ht="54" x14ac:dyDescent="0.25">
      <c r="A187" s="6" t="s">
        <v>890</v>
      </c>
      <c r="B187" s="14">
        <v>46094</v>
      </c>
      <c r="C187" s="14">
        <v>46094</v>
      </c>
      <c r="D187" s="6" t="s">
        <v>891</v>
      </c>
      <c r="E187" s="6" t="s">
        <v>129</v>
      </c>
      <c r="F187" s="6" t="s">
        <v>129</v>
      </c>
      <c r="G187" s="6" t="s">
        <v>204</v>
      </c>
      <c r="H187" s="6"/>
      <c r="I187" s="6"/>
      <c r="J187" s="6"/>
      <c r="K187" s="6" t="s">
        <v>3</v>
      </c>
      <c r="L187" s="6"/>
      <c r="M187" s="10">
        <v>72</v>
      </c>
      <c r="N187" s="6"/>
      <c r="O187" s="10">
        <v>114</v>
      </c>
      <c r="P187" s="17" t="s">
        <v>892</v>
      </c>
      <c r="Q187" s="6" t="s">
        <v>205</v>
      </c>
      <c r="R187" s="17" t="s">
        <v>3</v>
      </c>
      <c r="S187" s="17" t="s">
        <v>893</v>
      </c>
      <c r="T187" s="6" t="s">
        <v>25</v>
      </c>
      <c r="U187" s="6" t="s">
        <v>222</v>
      </c>
      <c r="V187" s="17" t="s">
        <v>223</v>
      </c>
      <c r="W187" s="6">
        <v>530</v>
      </c>
      <c r="X187" s="6" t="s">
        <v>224</v>
      </c>
    </row>
    <row r="188" spans="1:24" ht="40.5" x14ac:dyDescent="0.25">
      <c r="A188" s="6" t="s">
        <v>894</v>
      </c>
      <c r="B188" s="14">
        <v>46094</v>
      </c>
      <c r="C188" s="14">
        <v>46094</v>
      </c>
      <c r="D188" s="6" t="s">
        <v>895</v>
      </c>
      <c r="E188" s="6" t="s">
        <v>45</v>
      </c>
      <c r="F188" s="6" t="s">
        <v>3</v>
      </c>
      <c r="G188" s="6" t="s">
        <v>236</v>
      </c>
      <c r="H188" s="10">
        <v>100</v>
      </c>
      <c r="I188" s="6"/>
      <c r="J188" s="6"/>
      <c r="K188" s="6" t="s">
        <v>3</v>
      </c>
      <c r="L188" s="10">
        <v>32</v>
      </c>
      <c r="M188" s="6"/>
      <c r="N188" s="6"/>
      <c r="O188" s="6"/>
      <c r="P188" s="17" t="s">
        <v>3</v>
      </c>
      <c r="Q188" s="6" t="s">
        <v>673</v>
      </c>
      <c r="R188" s="17" t="s">
        <v>896</v>
      </c>
      <c r="S188" s="17" t="s">
        <v>897</v>
      </c>
      <c r="T188" s="6" t="s">
        <v>26</v>
      </c>
      <c r="U188" s="6" t="s">
        <v>222</v>
      </c>
      <c r="V188" s="17" t="s">
        <v>543</v>
      </c>
      <c r="W188" s="6">
        <v>534</v>
      </c>
      <c r="X188" s="6" t="s">
        <v>224</v>
      </c>
    </row>
    <row r="189" spans="1:24" ht="54" x14ac:dyDescent="0.25">
      <c r="A189" s="6" t="s">
        <v>898</v>
      </c>
      <c r="B189" s="14">
        <v>46094</v>
      </c>
      <c r="C189" s="14">
        <v>46094</v>
      </c>
      <c r="D189" s="6" t="s">
        <v>899</v>
      </c>
      <c r="E189" s="6" t="s">
        <v>80</v>
      </c>
      <c r="F189" s="6" t="s">
        <v>80</v>
      </c>
      <c r="G189" s="6" t="s">
        <v>236</v>
      </c>
      <c r="H189" s="10">
        <v>145</v>
      </c>
      <c r="I189" s="6"/>
      <c r="J189" s="6"/>
      <c r="K189" s="6" t="s">
        <v>3</v>
      </c>
      <c r="L189" s="10">
        <v>66</v>
      </c>
      <c r="M189" s="6"/>
      <c r="N189" s="6"/>
      <c r="O189" s="6"/>
      <c r="P189" s="17" t="s">
        <v>3</v>
      </c>
      <c r="Q189" s="6" t="s">
        <v>313</v>
      </c>
      <c r="R189" s="17" t="s">
        <v>900</v>
      </c>
      <c r="S189" s="17" t="s">
        <v>901</v>
      </c>
      <c r="T189" s="6" t="s">
        <v>25</v>
      </c>
      <c r="U189" s="6" t="s">
        <v>222</v>
      </c>
      <c r="V189" s="17" t="s">
        <v>404</v>
      </c>
      <c r="W189" s="6">
        <v>532</v>
      </c>
      <c r="X189" s="6" t="s">
        <v>224</v>
      </c>
    </row>
    <row r="190" spans="1:24" ht="67.5" x14ac:dyDescent="0.25">
      <c r="A190" s="6" t="s">
        <v>902</v>
      </c>
      <c r="B190" s="14">
        <v>46097</v>
      </c>
      <c r="C190" s="14">
        <v>46097</v>
      </c>
      <c r="D190" s="6" t="s">
        <v>903</v>
      </c>
      <c r="E190" s="6" t="s">
        <v>67</v>
      </c>
      <c r="F190" s="6" t="s">
        <v>67</v>
      </c>
      <c r="G190" s="6" t="s">
        <v>236</v>
      </c>
      <c r="H190" s="10">
        <v>180</v>
      </c>
      <c r="I190" s="6"/>
      <c r="J190" s="6"/>
      <c r="K190" s="6" t="s">
        <v>3</v>
      </c>
      <c r="L190" s="10">
        <v>72</v>
      </c>
      <c r="M190" s="6"/>
      <c r="N190" s="6"/>
      <c r="O190" s="6"/>
      <c r="P190" s="17" t="s">
        <v>3</v>
      </c>
      <c r="Q190" s="6" t="s">
        <v>313</v>
      </c>
      <c r="R190" s="17" t="s">
        <v>3</v>
      </c>
      <c r="S190" s="17" t="s">
        <v>904</v>
      </c>
      <c r="T190" s="6" t="s">
        <v>24</v>
      </c>
      <c r="U190" s="6" t="s">
        <v>207</v>
      </c>
      <c r="V190" s="17" t="s">
        <v>3</v>
      </c>
      <c r="W190" s="6">
        <v>536</v>
      </c>
      <c r="X190" s="6" t="s">
        <v>208</v>
      </c>
    </row>
    <row r="191" spans="1:24" ht="67.5" x14ac:dyDescent="0.25">
      <c r="A191" s="6" t="s">
        <v>905</v>
      </c>
      <c r="B191" s="14">
        <v>46097</v>
      </c>
      <c r="C191" s="14">
        <v>46097</v>
      </c>
      <c r="D191" s="6" t="s">
        <v>906</v>
      </c>
      <c r="E191" s="6" t="s">
        <v>138</v>
      </c>
      <c r="F191" s="6" t="s">
        <v>138</v>
      </c>
      <c r="G191" s="6" t="s">
        <v>204</v>
      </c>
      <c r="H191" s="10">
        <v>289</v>
      </c>
      <c r="I191" s="6"/>
      <c r="J191" s="6"/>
      <c r="K191" s="6" t="s">
        <v>3</v>
      </c>
      <c r="L191" s="6"/>
      <c r="M191" s="10">
        <v>192</v>
      </c>
      <c r="N191" s="6"/>
      <c r="O191" s="10">
        <v>128</v>
      </c>
      <c r="P191" s="17" t="s">
        <v>907</v>
      </c>
      <c r="Q191" s="6" t="s">
        <v>205</v>
      </c>
      <c r="R191" s="17" t="s">
        <v>3</v>
      </c>
      <c r="S191" s="17" t="s">
        <v>908</v>
      </c>
      <c r="T191" s="6" t="s">
        <v>24</v>
      </c>
      <c r="U191" s="6" t="s">
        <v>207</v>
      </c>
      <c r="V191" s="17" t="s">
        <v>3</v>
      </c>
      <c r="W191" s="6">
        <v>535</v>
      </c>
      <c r="X191" s="6" t="s">
        <v>208</v>
      </c>
    </row>
    <row r="192" spans="1:24" ht="67.5" x14ac:dyDescent="0.25">
      <c r="A192" s="6" t="s">
        <v>909</v>
      </c>
      <c r="B192" s="14">
        <v>46098</v>
      </c>
      <c r="C192" s="14">
        <v>46098</v>
      </c>
      <c r="D192" s="6" t="s">
        <v>910</v>
      </c>
      <c r="E192" s="6" t="s">
        <v>49</v>
      </c>
      <c r="F192" s="6" t="s">
        <v>49</v>
      </c>
      <c r="G192" s="6" t="s">
        <v>236</v>
      </c>
      <c r="H192" s="10">
        <v>180</v>
      </c>
      <c r="I192" s="6"/>
      <c r="J192" s="6"/>
      <c r="K192" s="6" t="s">
        <v>3</v>
      </c>
      <c r="L192" s="10">
        <v>45</v>
      </c>
      <c r="M192" s="6"/>
      <c r="N192" s="6"/>
      <c r="O192" s="6"/>
      <c r="P192" s="17" t="s">
        <v>3</v>
      </c>
      <c r="Q192" s="6" t="s">
        <v>211</v>
      </c>
      <c r="R192" s="17" t="s">
        <v>3</v>
      </c>
      <c r="S192" s="17" t="s">
        <v>911</v>
      </c>
      <c r="T192" s="6" t="s">
        <v>24</v>
      </c>
      <c r="U192" s="6" t="s">
        <v>207</v>
      </c>
      <c r="V192" s="17" t="s">
        <v>3</v>
      </c>
      <c r="W192" s="6">
        <v>542</v>
      </c>
      <c r="X192" s="6" t="s">
        <v>208</v>
      </c>
    </row>
    <row r="193" spans="1:24" ht="54" x14ac:dyDescent="0.25">
      <c r="A193" s="6" t="s">
        <v>912</v>
      </c>
      <c r="B193" s="14">
        <v>46098</v>
      </c>
      <c r="C193" s="14">
        <v>46099</v>
      </c>
      <c r="D193" s="6" t="s">
        <v>913</v>
      </c>
      <c r="E193" s="6" t="s">
        <v>72</v>
      </c>
      <c r="F193" s="6" t="s">
        <v>72</v>
      </c>
      <c r="G193" s="6" t="s">
        <v>204</v>
      </c>
      <c r="H193" s="6"/>
      <c r="I193" s="6"/>
      <c r="J193" s="6"/>
      <c r="K193" s="6" t="s">
        <v>838</v>
      </c>
      <c r="L193" s="6"/>
      <c r="M193" s="10">
        <v>5</v>
      </c>
      <c r="N193" s="6"/>
      <c r="O193" s="6"/>
      <c r="P193" s="17" t="s">
        <v>3</v>
      </c>
      <c r="Q193" s="6" t="s">
        <v>205</v>
      </c>
      <c r="R193" s="17" t="s">
        <v>3</v>
      </c>
      <c r="S193" s="17" t="s">
        <v>914</v>
      </c>
      <c r="T193" s="6" t="s">
        <v>25</v>
      </c>
      <c r="U193" s="6" t="s">
        <v>222</v>
      </c>
      <c r="V193" s="17" t="s">
        <v>223</v>
      </c>
      <c r="W193" s="6">
        <v>545</v>
      </c>
      <c r="X193" s="6" t="s">
        <v>224</v>
      </c>
    </row>
    <row r="194" spans="1:24" ht="54" x14ac:dyDescent="0.25">
      <c r="A194" s="6" t="s">
        <v>915</v>
      </c>
      <c r="B194" s="14">
        <v>46098</v>
      </c>
      <c r="C194" s="14">
        <v>46098</v>
      </c>
      <c r="D194" s="6" t="s">
        <v>916</v>
      </c>
      <c r="E194" s="6" t="s">
        <v>35</v>
      </c>
      <c r="F194" s="6" t="s">
        <v>917</v>
      </c>
      <c r="G194" s="6" t="s">
        <v>276</v>
      </c>
      <c r="H194" s="10">
        <v>300</v>
      </c>
      <c r="I194" s="6"/>
      <c r="J194" s="6"/>
      <c r="K194" s="6" t="s">
        <v>3</v>
      </c>
      <c r="L194" s="6"/>
      <c r="M194" s="6"/>
      <c r="N194" s="6"/>
      <c r="O194" s="6"/>
      <c r="P194" s="17" t="s">
        <v>3</v>
      </c>
      <c r="Q194" s="6" t="s">
        <v>313</v>
      </c>
      <c r="R194" s="17" t="s">
        <v>3</v>
      </c>
      <c r="S194" s="17" t="s">
        <v>918</v>
      </c>
      <c r="T194" s="6" t="s">
        <v>24</v>
      </c>
      <c r="U194" s="6" t="s">
        <v>207</v>
      </c>
      <c r="V194" s="17" t="s">
        <v>3</v>
      </c>
      <c r="W194" s="6">
        <v>543</v>
      </c>
      <c r="X194" s="6" t="s">
        <v>208</v>
      </c>
    </row>
    <row r="195" spans="1:24" ht="54" x14ac:dyDescent="0.25">
      <c r="A195" s="6" t="s">
        <v>919</v>
      </c>
      <c r="B195" s="14">
        <v>46098</v>
      </c>
      <c r="C195" s="14">
        <v>46098</v>
      </c>
      <c r="D195" s="6" t="s">
        <v>916</v>
      </c>
      <c r="E195" s="6" t="s">
        <v>35</v>
      </c>
      <c r="F195" s="6" t="s">
        <v>917</v>
      </c>
      <c r="G195" s="6" t="s">
        <v>276</v>
      </c>
      <c r="H195" s="10">
        <v>130</v>
      </c>
      <c r="I195" s="6"/>
      <c r="J195" s="6"/>
      <c r="K195" s="6" t="s">
        <v>3</v>
      </c>
      <c r="L195" s="6"/>
      <c r="M195" s="6"/>
      <c r="N195" s="6"/>
      <c r="O195" s="6"/>
      <c r="P195" s="17" t="s">
        <v>3</v>
      </c>
      <c r="Q195" s="6" t="s">
        <v>313</v>
      </c>
      <c r="R195" s="17" t="s">
        <v>3</v>
      </c>
      <c r="S195" s="17" t="s">
        <v>918</v>
      </c>
      <c r="T195" s="6" t="s">
        <v>24</v>
      </c>
      <c r="U195" s="6" t="s">
        <v>207</v>
      </c>
      <c r="V195" s="17" t="s">
        <v>3</v>
      </c>
      <c r="W195" s="6">
        <v>543</v>
      </c>
      <c r="X195" s="6" t="s">
        <v>208</v>
      </c>
    </row>
    <row r="196" spans="1:24" ht="135" x14ac:dyDescent="0.25">
      <c r="A196" s="6" t="s">
        <v>920</v>
      </c>
      <c r="B196" s="14">
        <v>46098</v>
      </c>
      <c r="C196" s="14">
        <v>46098</v>
      </c>
      <c r="D196" s="6" t="s">
        <v>921</v>
      </c>
      <c r="E196" s="6" t="s">
        <v>56</v>
      </c>
      <c r="F196" s="6" t="s">
        <v>922</v>
      </c>
      <c r="G196" s="6" t="s">
        <v>817</v>
      </c>
      <c r="H196" s="6"/>
      <c r="I196" s="6"/>
      <c r="J196" s="6"/>
      <c r="K196" s="6" t="s">
        <v>3</v>
      </c>
      <c r="L196" s="6"/>
      <c r="M196" s="6"/>
      <c r="N196" s="6"/>
      <c r="O196" s="6"/>
      <c r="P196" s="17" t="s">
        <v>3</v>
      </c>
      <c r="Q196" s="6" t="s">
        <v>812</v>
      </c>
      <c r="R196" s="17" t="s">
        <v>3</v>
      </c>
      <c r="S196" s="17" t="s">
        <v>923</v>
      </c>
      <c r="T196" s="6" t="s">
        <v>26</v>
      </c>
      <c r="U196" s="6" t="s">
        <v>222</v>
      </c>
      <c r="V196" s="17" t="s">
        <v>924</v>
      </c>
      <c r="W196" s="6">
        <v>541</v>
      </c>
      <c r="X196" s="6" t="s">
        <v>224</v>
      </c>
    </row>
    <row r="197" spans="1:24" ht="67.5" x14ac:dyDescent="0.25">
      <c r="A197" s="6" t="s">
        <v>925</v>
      </c>
      <c r="B197" s="14">
        <v>46099</v>
      </c>
      <c r="C197" s="14">
        <v>46099</v>
      </c>
      <c r="D197" s="6" t="s">
        <v>926</v>
      </c>
      <c r="E197" s="6" t="s">
        <v>49</v>
      </c>
      <c r="F197" s="6" t="s">
        <v>49</v>
      </c>
      <c r="G197" s="6" t="s">
        <v>236</v>
      </c>
      <c r="H197" s="10">
        <v>210</v>
      </c>
      <c r="I197" s="6"/>
      <c r="J197" s="6"/>
      <c r="K197" s="6" t="s">
        <v>3</v>
      </c>
      <c r="L197" s="10">
        <v>65</v>
      </c>
      <c r="M197" s="6"/>
      <c r="N197" s="6"/>
      <c r="O197" s="6"/>
      <c r="P197" s="17" t="s">
        <v>3</v>
      </c>
      <c r="Q197" s="6" t="s">
        <v>211</v>
      </c>
      <c r="R197" s="17" t="s">
        <v>3</v>
      </c>
      <c r="S197" s="17" t="s">
        <v>927</v>
      </c>
      <c r="T197" s="6" t="s">
        <v>24</v>
      </c>
      <c r="U197" s="6" t="s">
        <v>207</v>
      </c>
      <c r="V197" s="17" t="s">
        <v>3</v>
      </c>
      <c r="W197" s="6">
        <v>544</v>
      </c>
      <c r="X197" s="6" t="s">
        <v>208</v>
      </c>
    </row>
    <row r="198" spans="1:24" ht="40.5" x14ac:dyDescent="0.25">
      <c r="A198" s="6" t="s">
        <v>928</v>
      </c>
      <c r="B198" s="14">
        <v>46099</v>
      </c>
      <c r="C198" s="14">
        <v>46099</v>
      </c>
      <c r="D198" s="6" t="s">
        <v>929</v>
      </c>
      <c r="E198" s="6" t="s">
        <v>141</v>
      </c>
      <c r="F198" s="6" t="s">
        <v>141</v>
      </c>
      <c r="G198" s="6" t="s">
        <v>204</v>
      </c>
      <c r="H198" s="6"/>
      <c r="I198" s="6"/>
      <c r="J198" s="6"/>
      <c r="K198" s="6" t="s">
        <v>3</v>
      </c>
      <c r="L198" s="6"/>
      <c r="M198" s="10">
        <v>64</v>
      </c>
      <c r="N198" s="6"/>
      <c r="O198" s="6"/>
      <c r="P198" s="17" t="s">
        <v>3</v>
      </c>
      <c r="Q198" s="6" t="s">
        <v>205</v>
      </c>
      <c r="R198" s="17" t="s">
        <v>3</v>
      </c>
      <c r="S198" s="17" t="s">
        <v>930</v>
      </c>
      <c r="T198" s="6" t="s">
        <v>25</v>
      </c>
      <c r="U198" s="6" t="s">
        <v>222</v>
      </c>
      <c r="V198" s="17" t="s">
        <v>223</v>
      </c>
      <c r="W198" s="6">
        <v>546</v>
      </c>
      <c r="X198" s="6" t="s">
        <v>224</v>
      </c>
    </row>
    <row r="199" spans="1:24" ht="67.5" x14ac:dyDescent="0.25">
      <c r="A199" s="6" t="s">
        <v>931</v>
      </c>
      <c r="B199" s="14">
        <v>46100</v>
      </c>
      <c r="C199" s="14">
        <v>46100</v>
      </c>
      <c r="D199" s="6" t="s">
        <v>932</v>
      </c>
      <c r="E199" s="6" t="s">
        <v>49</v>
      </c>
      <c r="F199" s="6" t="s">
        <v>49</v>
      </c>
      <c r="G199" s="6" t="s">
        <v>236</v>
      </c>
      <c r="H199" s="10">
        <v>180</v>
      </c>
      <c r="I199" s="6"/>
      <c r="J199" s="6"/>
      <c r="K199" s="6" t="s">
        <v>3</v>
      </c>
      <c r="L199" s="10">
        <v>50</v>
      </c>
      <c r="M199" s="6"/>
      <c r="N199" s="6"/>
      <c r="O199" s="6"/>
      <c r="P199" s="17" t="s">
        <v>3</v>
      </c>
      <c r="Q199" s="6" t="s">
        <v>211</v>
      </c>
      <c r="R199" s="17" t="s">
        <v>3</v>
      </c>
      <c r="S199" s="17" t="s">
        <v>933</v>
      </c>
      <c r="T199" s="6" t="s">
        <v>24</v>
      </c>
      <c r="U199" s="6" t="s">
        <v>207</v>
      </c>
      <c r="V199" s="17" t="s">
        <v>3</v>
      </c>
      <c r="W199" s="6">
        <v>547</v>
      </c>
      <c r="X199" s="6" t="s">
        <v>208</v>
      </c>
    </row>
    <row r="200" spans="1:24" ht="54" x14ac:dyDescent="0.25">
      <c r="A200" s="6" t="s">
        <v>934</v>
      </c>
      <c r="B200" s="14">
        <v>46101</v>
      </c>
      <c r="C200" s="14">
        <v>46101</v>
      </c>
      <c r="D200" s="6" t="s">
        <v>935</v>
      </c>
      <c r="E200" s="6" t="s">
        <v>40</v>
      </c>
      <c r="F200" s="6" t="s">
        <v>40</v>
      </c>
      <c r="G200" s="6" t="s">
        <v>236</v>
      </c>
      <c r="H200" s="10">
        <v>200</v>
      </c>
      <c r="I200" s="6"/>
      <c r="J200" s="6"/>
      <c r="K200" s="6" t="s">
        <v>3</v>
      </c>
      <c r="L200" s="10">
        <v>72</v>
      </c>
      <c r="M200" s="6"/>
      <c r="N200" s="6"/>
      <c r="O200" s="6"/>
      <c r="P200" s="17" t="s">
        <v>3</v>
      </c>
      <c r="Q200" s="6" t="s">
        <v>211</v>
      </c>
      <c r="R200" s="17" t="s">
        <v>3</v>
      </c>
      <c r="S200" s="17" t="s">
        <v>936</v>
      </c>
      <c r="T200" s="6" t="s">
        <v>24</v>
      </c>
      <c r="U200" s="6" t="s">
        <v>207</v>
      </c>
      <c r="V200" s="17" t="s">
        <v>3</v>
      </c>
      <c r="W200" s="6">
        <v>549</v>
      </c>
      <c r="X200" s="6" t="s">
        <v>208</v>
      </c>
    </row>
    <row r="201" spans="1:24" ht="54" x14ac:dyDescent="0.25">
      <c r="A201" s="6" t="s">
        <v>937</v>
      </c>
      <c r="B201" s="14">
        <v>46101</v>
      </c>
      <c r="C201" s="14">
        <v>46102</v>
      </c>
      <c r="D201" s="6" t="s">
        <v>938</v>
      </c>
      <c r="E201" s="6" t="s">
        <v>140</v>
      </c>
      <c r="F201" s="6" t="s">
        <v>140</v>
      </c>
      <c r="G201" s="6" t="s">
        <v>204</v>
      </c>
      <c r="H201" s="10">
        <v>810</v>
      </c>
      <c r="I201" s="6"/>
      <c r="J201" s="6"/>
      <c r="K201" s="6" t="s">
        <v>3</v>
      </c>
      <c r="L201" s="6"/>
      <c r="M201" s="10">
        <v>119</v>
      </c>
      <c r="N201" s="6"/>
      <c r="O201" s="6"/>
      <c r="P201" s="17" t="s">
        <v>3</v>
      </c>
      <c r="Q201" s="6" t="s">
        <v>205</v>
      </c>
      <c r="R201" s="17" t="s">
        <v>3</v>
      </c>
      <c r="S201" s="17" t="s">
        <v>939</v>
      </c>
      <c r="T201" s="6" t="s">
        <v>24</v>
      </c>
      <c r="U201" s="6" t="s">
        <v>207</v>
      </c>
      <c r="V201" s="17" t="s">
        <v>3</v>
      </c>
      <c r="W201" s="6">
        <v>551</v>
      </c>
      <c r="X201" s="6" t="s">
        <v>208</v>
      </c>
    </row>
    <row r="202" spans="1:24" ht="54" x14ac:dyDescent="0.25">
      <c r="A202" s="6" t="s">
        <v>940</v>
      </c>
      <c r="B202" s="14">
        <v>46101</v>
      </c>
      <c r="C202" s="14">
        <v>46101</v>
      </c>
      <c r="D202" s="6" t="s">
        <v>941</v>
      </c>
      <c r="E202" s="6" t="s">
        <v>151</v>
      </c>
      <c r="F202" s="6" t="s">
        <v>151</v>
      </c>
      <c r="G202" s="6" t="s">
        <v>204</v>
      </c>
      <c r="H202" s="10">
        <v>140</v>
      </c>
      <c r="I202" s="6"/>
      <c r="J202" s="6"/>
      <c r="K202" s="6" t="s">
        <v>3</v>
      </c>
      <c r="L202" s="6"/>
      <c r="M202" s="6"/>
      <c r="N202" s="6"/>
      <c r="O202" s="6"/>
      <c r="P202" s="17" t="s">
        <v>3</v>
      </c>
      <c r="Q202" s="6" t="s">
        <v>313</v>
      </c>
      <c r="R202" s="17" t="s">
        <v>3</v>
      </c>
      <c r="S202" s="17" t="s">
        <v>942</v>
      </c>
      <c r="T202" s="6" t="s">
        <v>24</v>
      </c>
      <c r="U202" s="6" t="s">
        <v>207</v>
      </c>
      <c r="V202" s="17" t="s">
        <v>3</v>
      </c>
      <c r="W202" s="6">
        <v>550</v>
      </c>
      <c r="X202" s="6" t="s">
        <v>208</v>
      </c>
    </row>
    <row r="203" spans="1:24" ht="67.5" x14ac:dyDescent="0.25">
      <c r="A203" s="6" t="s">
        <v>943</v>
      </c>
      <c r="B203" s="14">
        <v>46102</v>
      </c>
      <c r="C203" s="14">
        <v>46102</v>
      </c>
      <c r="D203" s="6" t="s">
        <v>944</v>
      </c>
      <c r="E203" s="6" t="s">
        <v>35</v>
      </c>
      <c r="F203" s="6" t="s">
        <v>917</v>
      </c>
      <c r="G203" s="6" t="s">
        <v>204</v>
      </c>
      <c r="H203" s="10">
        <v>260</v>
      </c>
      <c r="I203" s="6"/>
      <c r="J203" s="6"/>
      <c r="K203" s="6" t="s">
        <v>3</v>
      </c>
      <c r="L203" s="6"/>
      <c r="M203" s="6"/>
      <c r="N203" s="6"/>
      <c r="O203" s="6"/>
      <c r="P203" s="17" t="s">
        <v>3</v>
      </c>
      <c r="Q203" s="6" t="s">
        <v>313</v>
      </c>
      <c r="R203" s="17" t="s">
        <v>945</v>
      </c>
      <c r="S203" s="17" t="s">
        <v>946</v>
      </c>
      <c r="T203" s="6" t="s">
        <v>24</v>
      </c>
      <c r="U203" s="6" t="s">
        <v>207</v>
      </c>
      <c r="V203" s="17" t="s">
        <v>3</v>
      </c>
      <c r="W203" s="6">
        <v>552</v>
      </c>
      <c r="X203" s="6" t="s">
        <v>208</v>
      </c>
    </row>
    <row r="204" spans="1:24" ht="54" x14ac:dyDescent="0.25">
      <c r="A204" s="6" t="s">
        <v>947</v>
      </c>
      <c r="B204" s="14">
        <v>46104</v>
      </c>
      <c r="C204" s="14">
        <v>46104</v>
      </c>
      <c r="D204" s="6" t="s">
        <v>948</v>
      </c>
      <c r="E204" s="6" t="s">
        <v>35</v>
      </c>
      <c r="F204" s="6" t="s">
        <v>917</v>
      </c>
      <c r="G204" s="6" t="s">
        <v>276</v>
      </c>
      <c r="H204" s="10">
        <v>360</v>
      </c>
      <c r="I204" s="6"/>
      <c r="J204" s="6"/>
      <c r="K204" s="6" t="s">
        <v>3</v>
      </c>
      <c r="L204" s="6"/>
      <c r="M204" s="6"/>
      <c r="N204" s="6"/>
      <c r="O204" s="6"/>
      <c r="P204" s="17" t="s">
        <v>3</v>
      </c>
      <c r="Q204" s="6" t="s">
        <v>313</v>
      </c>
      <c r="R204" s="17" t="s">
        <v>3</v>
      </c>
      <c r="S204" s="17" t="s">
        <v>949</v>
      </c>
      <c r="T204" s="6" t="s">
        <v>24</v>
      </c>
      <c r="U204" s="6" t="s">
        <v>207</v>
      </c>
      <c r="V204" s="17" t="s">
        <v>3</v>
      </c>
      <c r="W204" s="6">
        <v>553</v>
      </c>
      <c r="X204" s="6" t="s">
        <v>208</v>
      </c>
    </row>
    <row r="205" spans="1:24" ht="54" x14ac:dyDescent="0.25">
      <c r="A205" s="6" t="s">
        <v>950</v>
      </c>
      <c r="B205" s="14">
        <v>46104</v>
      </c>
      <c r="C205" s="14">
        <v>46104</v>
      </c>
      <c r="D205" s="6" t="s">
        <v>948</v>
      </c>
      <c r="E205" s="6" t="s">
        <v>35</v>
      </c>
      <c r="F205" s="6" t="s">
        <v>917</v>
      </c>
      <c r="G205" s="6" t="s">
        <v>276</v>
      </c>
      <c r="H205" s="10">
        <v>560</v>
      </c>
      <c r="I205" s="6"/>
      <c r="J205" s="6"/>
      <c r="K205" s="6" t="s">
        <v>3</v>
      </c>
      <c r="L205" s="6"/>
      <c r="M205" s="6"/>
      <c r="N205" s="6"/>
      <c r="O205" s="6"/>
      <c r="P205" s="17" t="s">
        <v>3</v>
      </c>
      <c r="Q205" s="6" t="s">
        <v>313</v>
      </c>
      <c r="R205" s="17" t="s">
        <v>3</v>
      </c>
      <c r="S205" s="17" t="s">
        <v>949</v>
      </c>
      <c r="T205" s="6" t="s">
        <v>24</v>
      </c>
      <c r="U205" s="6" t="s">
        <v>207</v>
      </c>
      <c r="V205" s="17" t="s">
        <v>3</v>
      </c>
      <c r="W205" s="6">
        <v>553</v>
      </c>
      <c r="X205" s="6" t="s">
        <v>208</v>
      </c>
    </row>
    <row r="206" spans="1:24" ht="148.5" x14ac:dyDescent="0.25">
      <c r="A206" s="6" t="s">
        <v>951</v>
      </c>
      <c r="B206" s="14">
        <v>46105</v>
      </c>
      <c r="C206" s="14">
        <v>46105</v>
      </c>
      <c r="D206" s="6" t="s">
        <v>952</v>
      </c>
      <c r="E206" s="6" t="s">
        <v>45</v>
      </c>
      <c r="F206" s="6" t="s">
        <v>953</v>
      </c>
      <c r="G206" s="6" t="s">
        <v>218</v>
      </c>
      <c r="H206" s="6"/>
      <c r="I206" s="6"/>
      <c r="J206" s="6"/>
      <c r="K206" s="6" t="s">
        <v>3</v>
      </c>
      <c r="L206" s="6"/>
      <c r="M206" s="6"/>
      <c r="N206" s="6"/>
      <c r="O206" s="6"/>
      <c r="P206" s="17" t="s">
        <v>954</v>
      </c>
      <c r="Q206" s="6" t="s">
        <v>812</v>
      </c>
      <c r="R206" s="17" t="s">
        <v>955</v>
      </c>
      <c r="S206" s="17" t="s">
        <v>956</v>
      </c>
      <c r="T206" s="6" t="s">
        <v>26</v>
      </c>
      <c r="U206" s="6" t="s">
        <v>222</v>
      </c>
      <c r="V206" s="17" t="s">
        <v>957</v>
      </c>
      <c r="W206" s="6">
        <v>554</v>
      </c>
      <c r="X206" s="6" t="s">
        <v>224</v>
      </c>
    </row>
    <row r="207" spans="1:24" ht="67.5" x14ac:dyDescent="0.25">
      <c r="A207" s="6" t="s">
        <v>958</v>
      </c>
      <c r="B207" s="14">
        <v>46106</v>
      </c>
      <c r="C207" s="14">
        <v>46107</v>
      </c>
      <c r="D207" s="6" t="s">
        <v>959</v>
      </c>
      <c r="E207" s="6" t="s">
        <v>35</v>
      </c>
      <c r="F207" s="6" t="s">
        <v>917</v>
      </c>
      <c r="G207" s="6" t="s">
        <v>236</v>
      </c>
      <c r="H207" s="10">
        <v>65</v>
      </c>
      <c r="I207" s="6"/>
      <c r="J207" s="6"/>
      <c r="K207" s="6" t="s">
        <v>3</v>
      </c>
      <c r="L207" s="10">
        <v>27</v>
      </c>
      <c r="M207" s="6"/>
      <c r="N207" s="6"/>
      <c r="O207" s="6"/>
      <c r="P207" s="17" t="s">
        <v>3</v>
      </c>
      <c r="Q207" s="6" t="s">
        <v>313</v>
      </c>
      <c r="R207" s="17" t="s">
        <v>960</v>
      </c>
      <c r="S207" s="17" t="s">
        <v>961</v>
      </c>
      <c r="T207" s="6" t="s">
        <v>24</v>
      </c>
      <c r="U207" s="6" t="s">
        <v>207</v>
      </c>
      <c r="V207" s="17" t="s">
        <v>3</v>
      </c>
      <c r="W207" s="6">
        <v>555</v>
      </c>
      <c r="X207" s="6" t="s">
        <v>208</v>
      </c>
    </row>
    <row r="208" spans="1:24" ht="54" x14ac:dyDescent="0.25">
      <c r="A208" s="6" t="s">
        <v>962</v>
      </c>
      <c r="B208" s="14">
        <v>46107</v>
      </c>
      <c r="C208" s="14">
        <v>46107</v>
      </c>
      <c r="D208" s="6" t="s">
        <v>963</v>
      </c>
      <c r="E208" s="6" t="s">
        <v>38</v>
      </c>
      <c r="F208" s="6" t="s">
        <v>38</v>
      </c>
      <c r="G208" s="6" t="s">
        <v>204</v>
      </c>
      <c r="H208" s="10">
        <v>185</v>
      </c>
      <c r="I208" s="6"/>
      <c r="J208" s="6"/>
      <c r="K208" s="6" t="s">
        <v>3</v>
      </c>
      <c r="L208" s="6"/>
      <c r="M208" s="6"/>
      <c r="N208" s="6"/>
      <c r="O208" s="6"/>
      <c r="P208" s="17" t="s">
        <v>3</v>
      </c>
      <c r="Q208" s="6" t="s">
        <v>313</v>
      </c>
      <c r="R208" s="17" t="s">
        <v>3</v>
      </c>
      <c r="S208" s="17" t="s">
        <v>964</v>
      </c>
      <c r="T208" s="6" t="s">
        <v>24</v>
      </c>
      <c r="U208" s="6" t="s">
        <v>207</v>
      </c>
      <c r="V208" s="17" t="s">
        <v>3</v>
      </c>
      <c r="W208" s="6">
        <v>557</v>
      </c>
      <c r="X208" s="6" t="s">
        <v>208</v>
      </c>
    </row>
    <row r="209" spans="1:24" ht="40.5" x14ac:dyDescent="0.25">
      <c r="A209" s="6" t="s">
        <v>965</v>
      </c>
      <c r="B209" s="14">
        <v>46107</v>
      </c>
      <c r="C209" s="14">
        <v>46107</v>
      </c>
      <c r="D209" s="6" t="s">
        <v>966</v>
      </c>
      <c r="E209" s="6" t="s">
        <v>45</v>
      </c>
      <c r="F209" s="6" t="s">
        <v>3</v>
      </c>
      <c r="G209" s="6" t="s">
        <v>263</v>
      </c>
      <c r="H209" s="10">
        <v>45</v>
      </c>
      <c r="I209" s="6"/>
      <c r="J209" s="6"/>
      <c r="K209" s="6" t="s">
        <v>727</v>
      </c>
      <c r="L209" s="6"/>
      <c r="M209" s="6"/>
      <c r="N209" s="6"/>
      <c r="O209" s="6"/>
      <c r="P209" s="17" t="s">
        <v>3</v>
      </c>
      <c r="Q209" s="6" t="s">
        <v>673</v>
      </c>
      <c r="R209" s="17" t="s">
        <v>967</v>
      </c>
      <c r="S209" s="17" t="s">
        <v>968</v>
      </c>
      <c r="T209" s="6" t="s">
        <v>26</v>
      </c>
      <c r="U209" s="6" t="s">
        <v>222</v>
      </c>
      <c r="V209" s="17" t="s">
        <v>474</v>
      </c>
      <c r="W209" s="6">
        <v>558</v>
      </c>
      <c r="X209" s="6" t="s">
        <v>224</v>
      </c>
    </row>
    <row r="210" spans="1:24" ht="40.5" x14ac:dyDescent="0.25">
      <c r="A210" s="6" t="s">
        <v>969</v>
      </c>
      <c r="B210" s="14">
        <v>46107</v>
      </c>
      <c r="C210" s="14">
        <v>46107</v>
      </c>
      <c r="D210" s="6" t="s">
        <v>966</v>
      </c>
      <c r="E210" s="6" t="s">
        <v>45</v>
      </c>
      <c r="F210" s="6" t="s">
        <v>3</v>
      </c>
      <c r="G210" s="6" t="s">
        <v>263</v>
      </c>
      <c r="H210" s="10">
        <v>513</v>
      </c>
      <c r="I210" s="6"/>
      <c r="J210" s="6"/>
      <c r="K210" s="6" t="s">
        <v>727</v>
      </c>
      <c r="L210" s="6"/>
      <c r="M210" s="6"/>
      <c r="N210" s="6"/>
      <c r="O210" s="6"/>
      <c r="P210" s="17" t="s">
        <v>3</v>
      </c>
      <c r="Q210" s="6" t="s">
        <v>673</v>
      </c>
      <c r="R210" s="17" t="s">
        <v>967</v>
      </c>
      <c r="S210" s="17" t="s">
        <v>968</v>
      </c>
      <c r="T210" s="6" t="s">
        <v>26</v>
      </c>
      <c r="U210" s="6" t="s">
        <v>222</v>
      </c>
      <c r="V210" s="17" t="s">
        <v>474</v>
      </c>
      <c r="W210" s="6">
        <v>558</v>
      </c>
      <c r="X210" s="6" t="s">
        <v>224</v>
      </c>
    </row>
    <row r="211" spans="1:24" ht="40.5" x14ac:dyDescent="0.25">
      <c r="A211" s="6" t="s">
        <v>970</v>
      </c>
      <c r="B211" s="14">
        <v>46107</v>
      </c>
      <c r="C211" s="14">
        <v>46107</v>
      </c>
      <c r="D211" s="6" t="s">
        <v>971</v>
      </c>
      <c r="E211" s="6" t="s">
        <v>156</v>
      </c>
      <c r="F211" s="6" t="s">
        <v>156</v>
      </c>
      <c r="G211" s="6" t="s">
        <v>236</v>
      </c>
      <c r="H211" s="10">
        <v>150</v>
      </c>
      <c r="I211" s="6"/>
      <c r="J211" s="6"/>
      <c r="K211" s="6" t="s">
        <v>3</v>
      </c>
      <c r="L211" s="10">
        <v>225</v>
      </c>
      <c r="M211" s="6"/>
      <c r="N211" s="6"/>
      <c r="O211" s="6"/>
      <c r="P211" s="17" t="s">
        <v>3</v>
      </c>
      <c r="Q211" s="6" t="s">
        <v>673</v>
      </c>
      <c r="R211" s="17" t="s">
        <v>972</v>
      </c>
      <c r="S211" s="17" t="s">
        <v>973</v>
      </c>
      <c r="T211" s="6" t="s">
        <v>24</v>
      </c>
      <c r="U211" s="6" t="s">
        <v>207</v>
      </c>
      <c r="V211" s="17" t="s">
        <v>3</v>
      </c>
      <c r="W211" s="6">
        <v>559</v>
      </c>
      <c r="X211" s="6" t="s">
        <v>208</v>
      </c>
    </row>
    <row r="212" spans="1:24" ht="67.5" x14ac:dyDescent="0.25">
      <c r="A212" s="6" t="s">
        <v>974</v>
      </c>
      <c r="B212" s="14">
        <v>46107</v>
      </c>
      <c r="C212" s="14">
        <v>46107</v>
      </c>
      <c r="D212" s="6" t="s">
        <v>975</v>
      </c>
      <c r="E212" s="6" t="s">
        <v>35</v>
      </c>
      <c r="F212" s="6" t="s">
        <v>917</v>
      </c>
      <c r="G212" s="6" t="s">
        <v>236</v>
      </c>
      <c r="H212" s="10">
        <v>110</v>
      </c>
      <c r="I212" s="6"/>
      <c r="J212" s="6"/>
      <c r="K212" s="6" t="s">
        <v>3</v>
      </c>
      <c r="L212" s="10">
        <v>45</v>
      </c>
      <c r="M212" s="6"/>
      <c r="N212" s="6"/>
      <c r="O212" s="6"/>
      <c r="P212" s="17" t="s">
        <v>976</v>
      </c>
      <c r="Q212" s="6" t="s">
        <v>211</v>
      </c>
      <c r="R212" s="17" t="s">
        <v>977</v>
      </c>
      <c r="S212" s="17" t="s">
        <v>978</v>
      </c>
      <c r="T212" s="6" t="s">
        <v>24</v>
      </c>
      <c r="U212" s="6" t="s">
        <v>207</v>
      </c>
      <c r="V212" s="17" t="s">
        <v>3</v>
      </c>
      <c r="W212" s="6">
        <v>556</v>
      </c>
      <c r="X212" s="6" t="s">
        <v>208</v>
      </c>
    </row>
    <row r="213" spans="1:24" ht="67.5" x14ac:dyDescent="0.25">
      <c r="A213" s="6" t="s">
        <v>979</v>
      </c>
      <c r="B213" s="14">
        <v>46108</v>
      </c>
      <c r="C213" s="14">
        <v>46108</v>
      </c>
      <c r="D213" s="6" t="s">
        <v>980</v>
      </c>
      <c r="E213" s="6" t="s">
        <v>130</v>
      </c>
      <c r="F213" s="6" t="s">
        <v>130</v>
      </c>
      <c r="G213" s="6" t="s">
        <v>236</v>
      </c>
      <c r="H213" s="10">
        <v>260</v>
      </c>
      <c r="I213" s="6"/>
      <c r="J213" s="6"/>
      <c r="K213" s="6" t="s">
        <v>3</v>
      </c>
      <c r="L213" s="10">
        <v>102</v>
      </c>
      <c r="M213" s="6"/>
      <c r="N213" s="6"/>
      <c r="O213" s="6"/>
      <c r="P213" s="17" t="s">
        <v>3</v>
      </c>
      <c r="Q213" s="6" t="s">
        <v>313</v>
      </c>
      <c r="R213" s="17" t="s">
        <v>3</v>
      </c>
      <c r="S213" s="17" t="s">
        <v>981</v>
      </c>
      <c r="T213" s="6" t="s">
        <v>24</v>
      </c>
      <c r="U213" s="6" t="s">
        <v>207</v>
      </c>
      <c r="V213" s="17" t="s">
        <v>3</v>
      </c>
      <c r="W213" s="6">
        <v>563</v>
      </c>
      <c r="X213" s="6" t="s">
        <v>208</v>
      </c>
    </row>
    <row r="214" spans="1:24" ht="40.5" x14ac:dyDescent="0.25">
      <c r="A214" s="6" t="s">
        <v>982</v>
      </c>
      <c r="B214" s="14">
        <v>46108</v>
      </c>
      <c r="C214" s="14">
        <v>46108</v>
      </c>
      <c r="D214" s="6" t="s">
        <v>983</v>
      </c>
      <c r="E214" s="6" t="s">
        <v>47</v>
      </c>
      <c r="F214" s="6" t="s">
        <v>489</v>
      </c>
      <c r="G214" s="6" t="s">
        <v>204</v>
      </c>
      <c r="H214" s="10">
        <v>207</v>
      </c>
      <c r="I214" s="6"/>
      <c r="J214" s="6"/>
      <c r="K214" s="6" t="s">
        <v>3</v>
      </c>
      <c r="L214" s="6"/>
      <c r="M214" s="10">
        <v>72</v>
      </c>
      <c r="N214" s="6"/>
      <c r="O214" s="6"/>
      <c r="P214" s="17" t="s">
        <v>3</v>
      </c>
      <c r="Q214" s="6" t="s">
        <v>228</v>
      </c>
      <c r="R214" s="17" t="s">
        <v>3</v>
      </c>
      <c r="S214" s="17" t="s">
        <v>984</v>
      </c>
      <c r="T214" s="6" t="s">
        <v>24</v>
      </c>
      <c r="U214" s="6" t="s">
        <v>207</v>
      </c>
      <c r="V214" s="17" t="s">
        <v>3</v>
      </c>
      <c r="W214" s="6">
        <v>562</v>
      </c>
      <c r="X214" s="6" t="s">
        <v>208</v>
      </c>
    </row>
    <row r="215" spans="1:24" ht="67.5" x14ac:dyDescent="0.25">
      <c r="A215" s="6" t="s">
        <v>985</v>
      </c>
      <c r="B215" s="14">
        <v>46108</v>
      </c>
      <c r="C215" s="14">
        <v>46108</v>
      </c>
      <c r="D215" s="6" t="s">
        <v>986</v>
      </c>
      <c r="E215" s="6" t="s">
        <v>69</v>
      </c>
      <c r="F215" s="6" t="s">
        <v>69</v>
      </c>
      <c r="G215" s="6" t="s">
        <v>236</v>
      </c>
      <c r="H215" s="10">
        <v>137</v>
      </c>
      <c r="I215" s="6"/>
      <c r="J215" s="6"/>
      <c r="K215" s="6" t="s">
        <v>3</v>
      </c>
      <c r="L215" s="10">
        <v>42</v>
      </c>
      <c r="M215" s="6"/>
      <c r="N215" s="6"/>
      <c r="O215" s="6"/>
      <c r="P215" s="17" t="s">
        <v>987</v>
      </c>
      <c r="Q215" s="6" t="s">
        <v>673</v>
      </c>
      <c r="R215" s="17" t="s">
        <v>988</v>
      </c>
      <c r="S215" s="17" t="s">
        <v>989</v>
      </c>
      <c r="T215" s="6" t="s">
        <v>24</v>
      </c>
      <c r="U215" s="6" t="s">
        <v>207</v>
      </c>
      <c r="V215" s="17" t="s">
        <v>3</v>
      </c>
      <c r="W215" s="6">
        <v>564</v>
      </c>
      <c r="X215" s="6" t="s">
        <v>208</v>
      </c>
    </row>
    <row r="216" spans="1:24" ht="67.5" x14ac:dyDescent="0.25">
      <c r="A216" s="6" t="s">
        <v>990</v>
      </c>
      <c r="B216" s="14">
        <v>46108</v>
      </c>
      <c r="C216" s="14">
        <v>46108</v>
      </c>
      <c r="D216" s="6" t="s">
        <v>986</v>
      </c>
      <c r="E216" s="6" t="s">
        <v>69</v>
      </c>
      <c r="F216" s="6" t="s">
        <v>69</v>
      </c>
      <c r="G216" s="6" t="s">
        <v>276</v>
      </c>
      <c r="H216" s="10">
        <v>725</v>
      </c>
      <c r="I216" s="6"/>
      <c r="J216" s="6"/>
      <c r="K216" s="6" t="s">
        <v>3</v>
      </c>
      <c r="L216" s="10">
        <v>42</v>
      </c>
      <c r="M216" s="6"/>
      <c r="N216" s="6"/>
      <c r="O216" s="6"/>
      <c r="P216" s="17" t="s">
        <v>987</v>
      </c>
      <c r="Q216" s="6" t="s">
        <v>673</v>
      </c>
      <c r="R216" s="17" t="s">
        <v>988</v>
      </c>
      <c r="S216" s="17" t="s">
        <v>989</v>
      </c>
      <c r="T216" s="6" t="s">
        <v>24</v>
      </c>
      <c r="U216" s="6" t="s">
        <v>207</v>
      </c>
      <c r="V216" s="17" t="s">
        <v>3</v>
      </c>
      <c r="W216" s="6">
        <v>564</v>
      </c>
      <c r="X216" s="6" t="s">
        <v>208</v>
      </c>
    </row>
    <row r="217" spans="1:24" ht="67.5" x14ac:dyDescent="0.25">
      <c r="A217" s="6" t="s">
        <v>991</v>
      </c>
      <c r="B217" s="14">
        <v>46108</v>
      </c>
      <c r="C217" s="14">
        <v>46108</v>
      </c>
      <c r="D217" s="6" t="s">
        <v>986</v>
      </c>
      <c r="E217" s="6" t="s">
        <v>69</v>
      </c>
      <c r="F217" s="6" t="s">
        <v>69</v>
      </c>
      <c r="G217" s="6" t="s">
        <v>276</v>
      </c>
      <c r="H217" s="10">
        <v>75</v>
      </c>
      <c r="I217" s="6"/>
      <c r="J217" s="6"/>
      <c r="K217" s="6" t="s">
        <v>3</v>
      </c>
      <c r="L217" s="10">
        <v>42</v>
      </c>
      <c r="M217" s="6"/>
      <c r="N217" s="6"/>
      <c r="O217" s="6"/>
      <c r="P217" s="17" t="s">
        <v>987</v>
      </c>
      <c r="Q217" s="6" t="s">
        <v>673</v>
      </c>
      <c r="R217" s="17" t="s">
        <v>988</v>
      </c>
      <c r="S217" s="17" t="s">
        <v>989</v>
      </c>
      <c r="T217" s="6" t="s">
        <v>24</v>
      </c>
      <c r="U217" s="6" t="s">
        <v>207</v>
      </c>
      <c r="V217" s="17" t="s">
        <v>3</v>
      </c>
      <c r="W217" s="6">
        <v>564</v>
      </c>
      <c r="X217" s="6" t="s">
        <v>208</v>
      </c>
    </row>
    <row r="218" spans="1:24" ht="67.5" x14ac:dyDescent="0.25">
      <c r="A218" s="6" t="s">
        <v>992</v>
      </c>
      <c r="B218" s="14">
        <v>46108</v>
      </c>
      <c r="C218" s="14">
        <v>46108</v>
      </c>
      <c r="D218" s="6" t="s">
        <v>986</v>
      </c>
      <c r="E218" s="6" t="s">
        <v>69</v>
      </c>
      <c r="F218" s="6" t="s">
        <v>69</v>
      </c>
      <c r="G218" s="6" t="s">
        <v>204</v>
      </c>
      <c r="H218" s="10">
        <v>11</v>
      </c>
      <c r="I218" s="6"/>
      <c r="J218" s="6"/>
      <c r="K218" s="6" t="s">
        <v>3</v>
      </c>
      <c r="L218" s="10">
        <v>42</v>
      </c>
      <c r="M218" s="6"/>
      <c r="N218" s="6"/>
      <c r="O218" s="6"/>
      <c r="P218" s="17" t="s">
        <v>987</v>
      </c>
      <c r="Q218" s="6" t="s">
        <v>673</v>
      </c>
      <c r="R218" s="17" t="s">
        <v>988</v>
      </c>
      <c r="S218" s="17" t="s">
        <v>989</v>
      </c>
      <c r="T218" s="6" t="s">
        <v>24</v>
      </c>
      <c r="U218" s="6" t="s">
        <v>207</v>
      </c>
      <c r="V218" s="17" t="s">
        <v>3</v>
      </c>
      <c r="W218" s="6">
        <v>564</v>
      </c>
      <c r="X218" s="6" t="s">
        <v>208</v>
      </c>
    </row>
    <row r="219" spans="1:24" ht="67.5" x14ac:dyDescent="0.25">
      <c r="A219" s="6" t="s">
        <v>993</v>
      </c>
      <c r="B219" s="14">
        <v>46108</v>
      </c>
      <c r="C219" s="14">
        <v>46108</v>
      </c>
      <c r="D219" s="6" t="s">
        <v>994</v>
      </c>
      <c r="E219" s="6" t="s">
        <v>35</v>
      </c>
      <c r="F219" s="6" t="s">
        <v>917</v>
      </c>
      <c r="G219" s="6" t="s">
        <v>236</v>
      </c>
      <c r="H219" s="10">
        <v>72</v>
      </c>
      <c r="I219" s="6"/>
      <c r="J219" s="6"/>
      <c r="K219" s="6" t="s">
        <v>3</v>
      </c>
      <c r="L219" s="10">
        <v>40</v>
      </c>
      <c r="M219" s="6"/>
      <c r="N219" s="6"/>
      <c r="O219" s="6"/>
      <c r="P219" s="17" t="s">
        <v>3</v>
      </c>
      <c r="Q219" s="6" t="s">
        <v>211</v>
      </c>
      <c r="R219" s="17" t="s">
        <v>995</v>
      </c>
      <c r="S219" s="17" t="s">
        <v>996</v>
      </c>
      <c r="T219" s="6" t="s">
        <v>24</v>
      </c>
      <c r="U219" s="6" t="s">
        <v>207</v>
      </c>
      <c r="V219" s="17" t="s">
        <v>3</v>
      </c>
      <c r="W219" s="6">
        <v>561</v>
      </c>
      <c r="X219" s="6" t="s">
        <v>208</v>
      </c>
    </row>
    <row r="220" spans="1:24" ht="67.5" x14ac:dyDescent="0.25">
      <c r="A220" s="6" t="s">
        <v>997</v>
      </c>
      <c r="B220" s="14">
        <v>46109</v>
      </c>
      <c r="C220" s="14">
        <v>46109</v>
      </c>
      <c r="D220" s="6" t="s">
        <v>998</v>
      </c>
      <c r="E220" s="6" t="s">
        <v>38</v>
      </c>
      <c r="F220" s="6" t="s">
        <v>38</v>
      </c>
      <c r="G220" s="6" t="s">
        <v>236</v>
      </c>
      <c r="H220" s="10">
        <v>185</v>
      </c>
      <c r="I220" s="6"/>
      <c r="J220" s="6"/>
      <c r="K220" s="6" t="s">
        <v>3</v>
      </c>
      <c r="L220" s="10">
        <v>45</v>
      </c>
      <c r="M220" s="6"/>
      <c r="N220" s="6"/>
      <c r="O220" s="6"/>
      <c r="P220" s="17" t="s">
        <v>3</v>
      </c>
      <c r="Q220" s="6" t="s">
        <v>211</v>
      </c>
      <c r="R220" s="17" t="s">
        <v>3</v>
      </c>
      <c r="S220" s="17" t="s">
        <v>999</v>
      </c>
      <c r="T220" s="6" t="s">
        <v>24</v>
      </c>
      <c r="U220" s="6" t="s">
        <v>207</v>
      </c>
      <c r="V220" s="17" t="s">
        <v>3</v>
      </c>
      <c r="W220" s="6">
        <v>565</v>
      </c>
      <c r="X220" s="6" t="s">
        <v>208</v>
      </c>
    </row>
    <row r="221" spans="1:24" ht="81" x14ac:dyDescent="0.25">
      <c r="A221" s="6" t="s">
        <v>1000</v>
      </c>
      <c r="B221" s="14">
        <v>46109</v>
      </c>
      <c r="C221" s="14">
        <v>46109</v>
      </c>
      <c r="D221" s="6" t="s">
        <v>1001</v>
      </c>
      <c r="E221" s="6" t="s">
        <v>35</v>
      </c>
      <c r="F221" s="6" t="s">
        <v>35</v>
      </c>
      <c r="G221" s="6" t="s">
        <v>204</v>
      </c>
      <c r="H221" s="10">
        <v>270</v>
      </c>
      <c r="I221" s="6"/>
      <c r="J221" s="6"/>
      <c r="K221" s="6" t="s">
        <v>3</v>
      </c>
      <c r="L221" s="6"/>
      <c r="M221" s="6"/>
      <c r="N221" s="6"/>
      <c r="O221" s="6"/>
      <c r="P221" s="17" t="s">
        <v>3</v>
      </c>
      <c r="Q221" s="6" t="s">
        <v>313</v>
      </c>
      <c r="R221" s="17" t="s">
        <v>1002</v>
      </c>
      <c r="S221" s="17" t="s">
        <v>1003</v>
      </c>
      <c r="T221" s="6" t="s">
        <v>24</v>
      </c>
      <c r="U221" s="6" t="s">
        <v>207</v>
      </c>
      <c r="V221" s="17" t="s">
        <v>3</v>
      </c>
      <c r="W221" s="6">
        <v>566</v>
      </c>
      <c r="X221" s="6" t="s">
        <v>208</v>
      </c>
    </row>
    <row r="222" spans="1:24" ht="40.5" x14ac:dyDescent="0.25">
      <c r="A222" s="6" t="s">
        <v>1004</v>
      </c>
      <c r="B222" s="14">
        <v>46111</v>
      </c>
      <c r="C222" s="14">
        <v>46111</v>
      </c>
      <c r="D222" s="6" t="s">
        <v>1005</v>
      </c>
      <c r="E222" s="6" t="s">
        <v>47</v>
      </c>
      <c r="F222" s="6" t="s">
        <v>489</v>
      </c>
      <c r="G222" s="6" t="s">
        <v>204</v>
      </c>
      <c r="H222" s="10">
        <v>191</v>
      </c>
      <c r="I222" s="6"/>
      <c r="J222" s="6"/>
      <c r="K222" s="6" t="s">
        <v>3</v>
      </c>
      <c r="L222" s="6"/>
      <c r="M222" s="10">
        <v>71</v>
      </c>
      <c r="N222" s="6"/>
      <c r="O222" s="6"/>
      <c r="P222" s="17" t="s">
        <v>3</v>
      </c>
      <c r="Q222" s="6" t="s">
        <v>228</v>
      </c>
      <c r="R222" s="17" t="s">
        <v>3</v>
      </c>
      <c r="S222" s="17" t="s">
        <v>1006</v>
      </c>
      <c r="T222" s="6" t="s">
        <v>24</v>
      </c>
      <c r="U222" s="6" t="s">
        <v>207</v>
      </c>
      <c r="V222" s="17" t="s">
        <v>3</v>
      </c>
      <c r="W222" s="6">
        <v>567</v>
      </c>
      <c r="X222" s="6" t="s">
        <v>208</v>
      </c>
    </row>
    <row r="223" spans="1:24" ht="81" x14ac:dyDescent="0.25">
      <c r="A223" s="6" t="s">
        <v>1007</v>
      </c>
      <c r="B223" s="14">
        <v>46112</v>
      </c>
      <c r="C223" s="14">
        <v>46112</v>
      </c>
      <c r="D223" s="6" t="s">
        <v>1008</v>
      </c>
      <c r="E223" s="6" t="s">
        <v>87</v>
      </c>
      <c r="F223" s="6" t="s">
        <v>87</v>
      </c>
      <c r="G223" s="6" t="s">
        <v>236</v>
      </c>
      <c r="H223" s="10">
        <v>316</v>
      </c>
      <c r="I223" s="6"/>
      <c r="J223" s="6"/>
      <c r="K223" s="6" t="s">
        <v>1009</v>
      </c>
      <c r="L223" s="10">
        <v>113</v>
      </c>
      <c r="M223" s="6"/>
      <c r="N223" s="6"/>
      <c r="O223" s="6"/>
      <c r="P223" s="17" t="s">
        <v>3</v>
      </c>
      <c r="Q223" s="6" t="s">
        <v>313</v>
      </c>
      <c r="R223" s="17" t="s">
        <v>1010</v>
      </c>
      <c r="S223" s="17" t="s">
        <v>1011</v>
      </c>
      <c r="T223" s="6" t="s">
        <v>25</v>
      </c>
      <c r="U223" s="6" t="s">
        <v>222</v>
      </c>
      <c r="V223" s="17" t="s">
        <v>404</v>
      </c>
      <c r="W223" s="6">
        <v>576</v>
      </c>
      <c r="X223" s="6" t="s">
        <v>224</v>
      </c>
    </row>
    <row r="224" spans="1:24" x14ac:dyDescent="0.25">
      <c r="A224" s="6" t="s">
        <v>1012</v>
      </c>
      <c r="B224" s="14">
        <v>46112</v>
      </c>
      <c r="C224" s="14">
        <v>46112</v>
      </c>
      <c r="D224" s="6" t="s">
        <v>1013</v>
      </c>
      <c r="E224" s="6" t="s">
        <v>45</v>
      </c>
      <c r="F224" s="6" t="s">
        <v>3</v>
      </c>
      <c r="G224" s="6" t="s">
        <v>276</v>
      </c>
      <c r="H224" s="10">
        <v>416</v>
      </c>
      <c r="I224" s="6"/>
      <c r="J224" s="6"/>
      <c r="K224" s="6" t="s">
        <v>3</v>
      </c>
      <c r="L224" s="6"/>
      <c r="M224" s="6"/>
      <c r="N224" s="6"/>
      <c r="O224" s="6"/>
      <c r="P224" s="17" t="s">
        <v>3</v>
      </c>
      <c r="Q224" s="6" t="s">
        <v>313</v>
      </c>
      <c r="R224" s="17" t="s">
        <v>3</v>
      </c>
      <c r="S224" s="17" t="s">
        <v>1014</v>
      </c>
      <c r="T224" s="6" t="s">
        <v>26</v>
      </c>
      <c r="U224" s="6" t="s">
        <v>222</v>
      </c>
      <c r="V224" s="17" t="s">
        <v>543</v>
      </c>
      <c r="W224" s="6">
        <v>578</v>
      </c>
      <c r="X224" s="6" t="s">
        <v>224</v>
      </c>
    </row>
    <row r="225" spans="1:24" ht="40.5" x14ac:dyDescent="0.25">
      <c r="A225" s="6" t="s">
        <v>1015</v>
      </c>
      <c r="B225" s="14">
        <v>46112</v>
      </c>
      <c r="C225" s="14">
        <v>46112</v>
      </c>
      <c r="D225" s="6" t="s">
        <v>1016</v>
      </c>
      <c r="E225" s="6" t="s">
        <v>47</v>
      </c>
      <c r="F225" s="6" t="s">
        <v>489</v>
      </c>
      <c r="G225" s="6" t="s">
        <v>236</v>
      </c>
      <c r="H225" s="10">
        <v>155</v>
      </c>
      <c r="I225" s="6"/>
      <c r="J225" s="6"/>
      <c r="K225" s="6" t="s">
        <v>3</v>
      </c>
      <c r="L225" s="6"/>
      <c r="M225" s="6"/>
      <c r="N225" s="6"/>
      <c r="O225" s="6"/>
      <c r="P225" s="17" t="s">
        <v>3</v>
      </c>
      <c r="Q225" s="6" t="s">
        <v>228</v>
      </c>
      <c r="R225" s="17" t="s">
        <v>3</v>
      </c>
      <c r="S225" s="17" t="s">
        <v>1017</v>
      </c>
      <c r="T225" s="6" t="s">
        <v>24</v>
      </c>
      <c r="U225" s="6" t="s">
        <v>207</v>
      </c>
      <c r="V225" s="17" t="s">
        <v>3</v>
      </c>
      <c r="W225" s="6">
        <v>573</v>
      </c>
      <c r="X225" s="6" t="s">
        <v>208</v>
      </c>
    </row>
    <row r="226" spans="1:24" ht="81" x14ac:dyDescent="0.25">
      <c r="A226" s="6" t="s">
        <v>1018</v>
      </c>
      <c r="B226" s="14">
        <v>46112</v>
      </c>
      <c r="C226" s="14">
        <v>46112</v>
      </c>
      <c r="D226" s="6" t="s">
        <v>1019</v>
      </c>
      <c r="E226" s="6" t="s">
        <v>35</v>
      </c>
      <c r="F226" s="6" t="s">
        <v>917</v>
      </c>
      <c r="G226" s="6" t="s">
        <v>236</v>
      </c>
      <c r="H226" s="10">
        <v>210</v>
      </c>
      <c r="I226" s="6"/>
      <c r="J226" s="6"/>
      <c r="K226" s="6" t="s">
        <v>3</v>
      </c>
      <c r="L226" s="10">
        <v>80</v>
      </c>
      <c r="M226" s="6"/>
      <c r="N226" s="6"/>
      <c r="O226" s="6"/>
      <c r="P226" s="17" t="s">
        <v>3</v>
      </c>
      <c r="Q226" s="6" t="s">
        <v>211</v>
      </c>
      <c r="R226" s="17" t="s">
        <v>1020</v>
      </c>
      <c r="S226" s="17" t="s">
        <v>1021</v>
      </c>
      <c r="T226" s="6" t="s">
        <v>24</v>
      </c>
      <c r="U226" s="6" t="s">
        <v>207</v>
      </c>
      <c r="V226" s="17" t="s">
        <v>3</v>
      </c>
      <c r="W226" s="6">
        <v>574</v>
      </c>
      <c r="X226" s="6" t="s">
        <v>208</v>
      </c>
    </row>
    <row r="227" spans="1:24" ht="81" x14ac:dyDescent="0.25">
      <c r="A227" s="6" t="s">
        <v>1022</v>
      </c>
      <c r="B227" s="14">
        <v>46113</v>
      </c>
      <c r="C227" s="14">
        <v>46113</v>
      </c>
      <c r="D227" s="6" t="s">
        <v>1023</v>
      </c>
      <c r="E227" s="6" t="s">
        <v>87</v>
      </c>
      <c r="F227" s="6" t="s">
        <v>87</v>
      </c>
      <c r="G227" s="6" t="s">
        <v>236</v>
      </c>
      <c r="H227" s="10">
        <v>362</v>
      </c>
      <c r="I227" s="6"/>
      <c r="J227" s="6"/>
      <c r="K227" s="6" t="s">
        <v>3</v>
      </c>
      <c r="L227" s="10">
        <v>144</v>
      </c>
      <c r="M227" s="6"/>
      <c r="N227" s="6"/>
      <c r="O227" s="6"/>
      <c r="P227" s="17" t="s">
        <v>3</v>
      </c>
      <c r="Q227" s="6" t="s">
        <v>313</v>
      </c>
      <c r="R227" s="17" t="s">
        <v>1024</v>
      </c>
      <c r="S227" s="17" t="s">
        <v>1025</v>
      </c>
      <c r="T227" s="6" t="s">
        <v>24</v>
      </c>
      <c r="U227" s="6" t="s">
        <v>207</v>
      </c>
      <c r="V227" s="17" t="s">
        <v>3</v>
      </c>
      <c r="W227" s="6">
        <v>580</v>
      </c>
      <c r="X227" s="6" t="s">
        <v>208</v>
      </c>
    </row>
    <row r="228" spans="1:24" ht="81" x14ac:dyDescent="0.25">
      <c r="A228" s="6" t="s">
        <v>1026</v>
      </c>
      <c r="B228" s="14">
        <v>46113</v>
      </c>
      <c r="C228" s="14">
        <v>46113</v>
      </c>
      <c r="D228" s="6" t="s">
        <v>1027</v>
      </c>
      <c r="E228" s="6" t="s">
        <v>35</v>
      </c>
      <c r="F228" s="6" t="s">
        <v>917</v>
      </c>
      <c r="G228" s="6" t="s">
        <v>236</v>
      </c>
      <c r="H228" s="10">
        <v>140</v>
      </c>
      <c r="I228" s="6"/>
      <c r="J228" s="6"/>
      <c r="K228" s="6" t="s">
        <v>3</v>
      </c>
      <c r="L228" s="10">
        <v>60</v>
      </c>
      <c r="M228" s="6"/>
      <c r="N228" s="6"/>
      <c r="O228" s="6"/>
      <c r="P228" s="17" t="s">
        <v>3</v>
      </c>
      <c r="Q228" s="6" t="s">
        <v>211</v>
      </c>
      <c r="R228" s="17" t="s">
        <v>1028</v>
      </c>
      <c r="S228" s="17" t="s">
        <v>1029</v>
      </c>
      <c r="T228" s="6" t="s">
        <v>24</v>
      </c>
      <c r="U228" s="6" t="s">
        <v>207</v>
      </c>
      <c r="V228" s="17" t="s">
        <v>3</v>
      </c>
      <c r="W228" s="6">
        <v>579</v>
      </c>
      <c r="X228" s="6" t="s">
        <v>208</v>
      </c>
    </row>
    <row r="229" spans="1:24" ht="54" x14ac:dyDescent="0.25">
      <c r="A229" s="6" t="s">
        <v>1030</v>
      </c>
      <c r="B229" s="14">
        <v>46114</v>
      </c>
      <c r="C229" s="14">
        <v>46114</v>
      </c>
      <c r="D229" s="6" t="s">
        <v>1031</v>
      </c>
      <c r="E229" s="6" t="s">
        <v>113</v>
      </c>
      <c r="F229" s="6" t="s">
        <v>113</v>
      </c>
      <c r="G229" s="6" t="s">
        <v>236</v>
      </c>
      <c r="H229" s="10">
        <v>150</v>
      </c>
      <c r="I229" s="6"/>
      <c r="J229" s="6"/>
      <c r="K229" s="6" t="s">
        <v>3</v>
      </c>
      <c r="L229" s="10">
        <v>40</v>
      </c>
      <c r="M229" s="6"/>
      <c r="N229" s="6"/>
      <c r="O229" s="6"/>
      <c r="P229" s="17" t="s">
        <v>3</v>
      </c>
      <c r="Q229" s="6" t="s">
        <v>211</v>
      </c>
      <c r="R229" s="17" t="s">
        <v>3</v>
      </c>
      <c r="S229" s="17" t="s">
        <v>1032</v>
      </c>
      <c r="T229" s="6" t="s">
        <v>24</v>
      </c>
      <c r="U229" s="6" t="s">
        <v>207</v>
      </c>
      <c r="V229" s="17" t="s">
        <v>3</v>
      </c>
      <c r="W229" s="6">
        <v>581</v>
      </c>
      <c r="X229" s="6" t="s">
        <v>208</v>
      </c>
    </row>
    <row r="230" spans="1:24" ht="54" x14ac:dyDescent="0.25">
      <c r="A230" s="6" t="s">
        <v>1033</v>
      </c>
      <c r="B230" s="14">
        <v>46114</v>
      </c>
      <c r="C230" s="14">
        <v>46114</v>
      </c>
      <c r="D230" s="6" t="s">
        <v>1034</v>
      </c>
      <c r="E230" s="6" t="s">
        <v>38</v>
      </c>
      <c r="F230" s="6" t="s">
        <v>38</v>
      </c>
      <c r="G230" s="6" t="s">
        <v>236</v>
      </c>
      <c r="H230" s="6"/>
      <c r="I230" s="6"/>
      <c r="J230" s="6"/>
      <c r="K230" s="6" t="s">
        <v>3</v>
      </c>
      <c r="L230" s="10">
        <v>21</v>
      </c>
      <c r="M230" s="6"/>
      <c r="N230" s="6"/>
      <c r="O230" s="6"/>
      <c r="P230" s="17" t="s">
        <v>3</v>
      </c>
      <c r="Q230" s="6" t="s">
        <v>313</v>
      </c>
      <c r="R230" s="17" t="s">
        <v>3</v>
      </c>
      <c r="S230" s="17" t="s">
        <v>1035</v>
      </c>
      <c r="T230" s="6" t="s">
        <v>25</v>
      </c>
      <c r="U230" s="6" t="s">
        <v>222</v>
      </c>
      <c r="V230" s="17" t="s">
        <v>223</v>
      </c>
      <c r="W230" s="6">
        <v>583</v>
      </c>
      <c r="X230" s="6" t="s">
        <v>224</v>
      </c>
    </row>
    <row r="231" spans="1:24" ht="108" x14ac:dyDescent="0.25">
      <c r="A231" s="6" t="s">
        <v>1036</v>
      </c>
      <c r="B231" s="14">
        <v>46114</v>
      </c>
      <c r="C231" s="14">
        <v>46114</v>
      </c>
      <c r="D231" s="6" t="s">
        <v>1037</v>
      </c>
      <c r="E231" s="6" t="s">
        <v>47</v>
      </c>
      <c r="F231" s="6" t="s">
        <v>489</v>
      </c>
      <c r="G231" s="6" t="s">
        <v>236</v>
      </c>
      <c r="H231" s="10">
        <v>60</v>
      </c>
      <c r="I231" s="6"/>
      <c r="J231" s="6"/>
      <c r="K231" s="6" t="s">
        <v>3</v>
      </c>
      <c r="L231" s="6"/>
      <c r="M231" s="6"/>
      <c r="N231" s="6"/>
      <c r="O231" s="6"/>
      <c r="P231" s="17" t="s">
        <v>3</v>
      </c>
      <c r="Q231" s="6" t="s">
        <v>228</v>
      </c>
      <c r="R231" s="17" t="s">
        <v>3</v>
      </c>
      <c r="S231" s="17" t="s">
        <v>1038</v>
      </c>
      <c r="T231" s="6" t="s">
        <v>24</v>
      </c>
      <c r="U231" s="6" t="s">
        <v>207</v>
      </c>
      <c r="V231" s="17" t="s">
        <v>3</v>
      </c>
      <c r="W231" s="6">
        <v>582</v>
      </c>
      <c r="X231" s="6" t="s">
        <v>208</v>
      </c>
    </row>
    <row r="232" spans="1:24" ht="108" x14ac:dyDescent="0.25">
      <c r="A232" s="6" t="s">
        <v>1039</v>
      </c>
      <c r="B232" s="14">
        <v>46114</v>
      </c>
      <c r="C232" s="14">
        <v>46114</v>
      </c>
      <c r="D232" s="6" t="s">
        <v>1037</v>
      </c>
      <c r="E232" s="6" t="s">
        <v>47</v>
      </c>
      <c r="F232" s="6" t="s">
        <v>489</v>
      </c>
      <c r="G232" s="6" t="s">
        <v>236</v>
      </c>
      <c r="H232" s="10">
        <v>121</v>
      </c>
      <c r="I232" s="6"/>
      <c r="J232" s="6"/>
      <c r="K232" s="6" t="s">
        <v>3</v>
      </c>
      <c r="L232" s="6"/>
      <c r="M232" s="6"/>
      <c r="N232" s="6"/>
      <c r="O232" s="6"/>
      <c r="P232" s="17" t="s">
        <v>3</v>
      </c>
      <c r="Q232" s="6" t="s">
        <v>228</v>
      </c>
      <c r="R232" s="17" t="s">
        <v>3</v>
      </c>
      <c r="S232" s="17" t="s">
        <v>1038</v>
      </c>
      <c r="T232" s="6" t="s">
        <v>24</v>
      </c>
      <c r="U232" s="6" t="s">
        <v>207</v>
      </c>
      <c r="V232" s="17" t="s">
        <v>3</v>
      </c>
      <c r="W232" s="6">
        <v>582</v>
      </c>
      <c r="X232" s="6" t="s">
        <v>208</v>
      </c>
    </row>
    <row r="233" spans="1:24" ht="108" x14ac:dyDescent="0.25">
      <c r="A233" s="6" t="s">
        <v>1040</v>
      </c>
      <c r="B233" s="14">
        <v>46114</v>
      </c>
      <c r="C233" s="14">
        <v>46114</v>
      </c>
      <c r="D233" s="6" t="s">
        <v>1037</v>
      </c>
      <c r="E233" s="6" t="s">
        <v>47</v>
      </c>
      <c r="F233" s="6" t="s">
        <v>489</v>
      </c>
      <c r="G233" s="6" t="s">
        <v>506</v>
      </c>
      <c r="H233" s="10">
        <v>90</v>
      </c>
      <c r="I233" s="6"/>
      <c r="J233" s="6"/>
      <c r="K233" s="6" t="s">
        <v>3</v>
      </c>
      <c r="L233" s="6"/>
      <c r="M233" s="6"/>
      <c r="N233" s="6"/>
      <c r="O233" s="6"/>
      <c r="P233" s="17" t="s">
        <v>3</v>
      </c>
      <c r="Q233" s="6" t="s">
        <v>228</v>
      </c>
      <c r="R233" s="17" t="s">
        <v>3</v>
      </c>
      <c r="S233" s="17" t="s">
        <v>1038</v>
      </c>
      <c r="T233" s="6" t="s">
        <v>24</v>
      </c>
      <c r="U233" s="6" t="s">
        <v>207</v>
      </c>
      <c r="V233" s="17" t="s">
        <v>3</v>
      </c>
      <c r="W233" s="6">
        <v>582</v>
      </c>
      <c r="X233" s="6" t="s">
        <v>208</v>
      </c>
    </row>
    <row r="234" spans="1:24" ht="27" x14ac:dyDescent="0.25">
      <c r="A234" s="6" t="s">
        <v>1041</v>
      </c>
      <c r="B234" s="14">
        <v>46119</v>
      </c>
      <c r="C234" s="14">
        <v>46119</v>
      </c>
      <c r="D234" s="6" t="s">
        <v>1042</v>
      </c>
      <c r="E234" s="6" t="s">
        <v>47</v>
      </c>
      <c r="F234" s="6" t="s">
        <v>489</v>
      </c>
      <c r="G234" s="6" t="s">
        <v>236</v>
      </c>
      <c r="H234" s="10">
        <v>153</v>
      </c>
      <c r="I234" s="6"/>
      <c r="J234" s="6"/>
      <c r="K234" s="6" t="s">
        <v>3</v>
      </c>
      <c r="L234" s="6"/>
      <c r="M234" s="6"/>
      <c r="N234" s="6"/>
      <c r="O234" s="6"/>
      <c r="P234" s="17" t="s">
        <v>3</v>
      </c>
      <c r="Q234" s="6" t="s">
        <v>228</v>
      </c>
      <c r="R234" s="17" t="s">
        <v>3</v>
      </c>
      <c r="S234" s="17" t="s">
        <v>1043</v>
      </c>
      <c r="T234" s="6" t="s">
        <v>24</v>
      </c>
      <c r="U234" s="6" t="s">
        <v>207</v>
      </c>
      <c r="V234" s="17" t="s">
        <v>3</v>
      </c>
      <c r="W234" s="6">
        <v>584</v>
      </c>
      <c r="X234" s="6" t="s">
        <v>208</v>
      </c>
    </row>
    <row r="235" spans="1:24" ht="54" x14ac:dyDescent="0.25">
      <c r="A235" s="6" t="s">
        <v>1044</v>
      </c>
      <c r="B235" s="14">
        <v>46119</v>
      </c>
      <c r="C235" s="14">
        <v>46121</v>
      </c>
      <c r="D235" s="6" t="s">
        <v>1045</v>
      </c>
      <c r="E235" s="6" t="s">
        <v>62</v>
      </c>
      <c r="F235" s="6" t="s">
        <v>62</v>
      </c>
      <c r="G235" s="6" t="s">
        <v>236</v>
      </c>
      <c r="H235" s="10">
        <v>233</v>
      </c>
      <c r="I235" s="6"/>
      <c r="J235" s="6"/>
      <c r="K235" s="6" t="s">
        <v>3</v>
      </c>
      <c r="L235" s="10">
        <v>86</v>
      </c>
      <c r="M235" s="6"/>
      <c r="N235" s="6"/>
      <c r="O235" s="6"/>
      <c r="P235" s="17" t="s">
        <v>3</v>
      </c>
      <c r="Q235" s="6" t="s">
        <v>313</v>
      </c>
      <c r="R235" s="17" t="s">
        <v>1046</v>
      </c>
      <c r="S235" s="17" t="s">
        <v>1047</v>
      </c>
      <c r="T235" s="6" t="s">
        <v>25</v>
      </c>
      <c r="U235" s="6" t="s">
        <v>222</v>
      </c>
      <c r="V235" s="17" t="s">
        <v>404</v>
      </c>
      <c r="W235" s="6">
        <v>592</v>
      </c>
      <c r="X235" s="6" t="s">
        <v>224</v>
      </c>
    </row>
    <row r="236" spans="1:24" ht="54" x14ac:dyDescent="0.25">
      <c r="A236" s="6" t="s">
        <v>1048</v>
      </c>
      <c r="B236" s="14">
        <v>46120</v>
      </c>
      <c r="C236" s="14">
        <v>46121</v>
      </c>
      <c r="D236" s="6" t="s">
        <v>1049</v>
      </c>
      <c r="E236" s="6" t="s">
        <v>94</v>
      </c>
      <c r="F236" s="6" t="s">
        <v>94</v>
      </c>
      <c r="G236" s="6" t="s">
        <v>204</v>
      </c>
      <c r="H236" s="10">
        <v>100</v>
      </c>
      <c r="I236" s="6"/>
      <c r="J236" s="6"/>
      <c r="K236" s="6" t="s">
        <v>3</v>
      </c>
      <c r="L236" s="6"/>
      <c r="M236" s="6"/>
      <c r="N236" s="6"/>
      <c r="O236" s="6"/>
      <c r="P236" s="17" t="s">
        <v>3</v>
      </c>
      <c r="Q236" s="6" t="s">
        <v>313</v>
      </c>
      <c r="R236" s="17" t="s">
        <v>3</v>
      </c>
      <c r="S236" s="17" t="s">
        <v>1050</v>
      </c>
      <c r="T236" s="6" t="s">
        <v>24</v>
      </c>
      <c r="U236" s="6" t="s">
        <v>207</v>
      </c>
      <c r="V236" s="17" t="s">
        <v>3</v>
      </c>
      <c r="W236" s="6">
        <v>594</v>
      </c>
      <c r="X236" s="6" t="s">
        <v>208</v>
      </c>
    </row>
    <row r="237" spans="1:24" ht="40.5" x14ac:dyDescent="0.25">
      <c r="A237" s="6" t="s">
        <v>1051</v>
      </c>
      <c r="B237" s="14">
        <v>46120</v>
      </c>
      <c r="C237" s="14">
        <v>46120</v>
      </c>
      <c r="D237" s="6" t="s">
        <v>1052</v>
      </c>
      <c r="E237" s="6" t="s">
        <v>150</v>
      </c>
      <c r="F237" s="6" t="s">
        <v>150</v>
      </c>
      <c r="G237" s="6" t="s">
        <v>218</v>
      </c>
      <c r="H237" s="6"/>
      <c r="I237" s="6"/>
      <c r="J237" s="6"/>
      <c r="K237" s="6" t="s">
        <v>3</v>
      </c>
      <c r="L237" s="6"/>
      <c r="M237" s="6"/>
      <c r="N237" s="6"/>
      <c r="O237" s="6"/>
      <c r="P237" s="17" t="s">
        <v>3</v>
      </c>
      <c r="Q237" s="6" t="s">
        <v>812</v>
      </c>
      <c r="R237" s="17" t="s">
        <v>3</v>
      </c>
      <c r="S237" s="17" t="s">
        <v>1053</v>
      </c>
      <c r="T237" s="6" t="s">
        <v>26</v>
      </c>
      <c r="U237" s="6" t="s">
        <v>222</v>
      </c>
      <c r="V237" s="17" t="s">
        <v>924</v>
      </c>
      <c r="W237" s="6">
        <v>587</v>
      </c>
      <c r="X237" s="6" t="s">
        <v>224</v>
      </c>
    </row>
    <row r="238" spans="1:24" ht="54" x14ac:dyDescent="0.25">
      <c r="A238" s="6" t="s">
        <v>1054</v>
      </c>
      <c r="B238" s="14">
        <v>46120</v>
      </c>
      <c r="C238" s="14">
        <v>46121</v>
      </c>
      <c r="D238" s="6" t="s">
        <v>1055</v>
      </c>
      <c r="E238" s="6" t="s">
        <v>35</v>
      </c>
      <c r="F238" s="6" t="s">
        <v>35</v>
      </c>
      <c r="G238" s="6" t="s">
        <v>204</v>
      </c>
      <c r="H238" s="10">
        <v>360</v>
      </c>
      <c r="I238" s="6"/>
      <c r="J238" s="6"/>
      <c r="K238" s="6" t="s">
        <v>3</v>
      </c>
      <c r="L238" s="6"/>
      <c r="M238" s="10">
        <v>99</v>
      </c>
      <c r="N238" s="6"/>
      <c r="O238" s="6"/>
      <c r="P238" s="17" t="s">
        <v>3</v>
      </c>
      <c r="Q238" s="6" t="s">
        <v>205</v>
      </c>
      <c r="R238" s="17" t="s">
        <v>3</v>
      </c>
      <c r="S238" s="17" t="s">
        <v>1056</v>
      </c>
      <c r="T238" s="6" t="s">
        <v>24</v>
      </c>
      <c r="U238" s="6" t="s">
        <v>207</v>
      </c>
      <c r="V238" s="17" t="s">
        <v>3</v>
      </c>
      <c r="W238" s="6">
        <v>588</v>
      </c>
      <c r="X238" s="6" t="s">
        <v>208</v>
      </c>
    </row>
    <row r="239" spans="1:24" ht="148.5" x14ac:dyDescent="0.25">
      <c r="A239" s="6" t="s">
        <v>1057</v>
      </c>
      <c r="B239" s="14">
        <v>46120</v>
      </c>
      <c r="C239" s="14">
        <v>46120</v>
      </c>
      <c r="D239" s="6" t="s">
        <v>1058</v>
      </c>
      <c r="E239" s="6" t="s">
        <v>56</v>
      </c>
      <c r="F239" s="6" t="s">
        <v>1059</v>
      </c>
      <c r="G239" s="6" t="s">
        <v>811</v>
      </c>
      <c r="H239" s="6"/>
      <c r="I239" s="6"/>
      <c r="J239" s="6"/>
      <c r="K239" s="6" t="s">
        <v>3</v>
      </c>
      <c r="L239" s="6"/>
      <c r="M239" s="6"/>
      <c r="N239" s="6"/>
      <c r="O239" s="6"/>
      <c r="P239" s="17" t="s">
        <v>1060</v>
      </c>
      <c r="Q239" s="6" t="s">
        <v>812</v>
      </c>
      <c r="R239" s="17" t="s">
        <v>1061</v>
      </c>
      <c r="S239" s="17" t="s">
        <v>1062</v>
      </c>
      <c r="T239" s="6" t="s">
        <v>25</v>
      </c>
      <c r="U239" s="6" t="s">
        <v>222</v>
      </c>
      <c r="V239" s="17" t="s">
        <v>223</v>
      </c>
      <c r="W239" s="6">
        <v>585</v>
      </c>
      <c r="X239" s="6" t="s">
        <v>224</v>
      </c>
    </row>
    <row r="240" spans="1:24" ht="81" x14ac:dyDescent="0.25">
      <c r="A240" s="6" t="s">
        <v>1063</v>
      </c>
      <c r="B240" s="14">
        <v>46121</v>
      </c>
      <c r="C240" s="14">
        <v>46121</v>
      </c>
      <c r="D240" s="6" t="s">
        <v>1064</v>
      </c>
      <c r="E240" s="6" t="s">
        <v>35</v>
      </c>
      <c r="F240" s="6" t="s">
        <v>917</v>
      </c>
      <c r="G240" s="6" t="s">
        <v>811</v>
      </c>
      <c r="H240" s="10">
        <v>247</v>
      </c>
      <c r="I240" s="6"/>
      <c r="J240" s="6"/>
      <c r="K240" s="6" t="s">
        <v>3</v>
      </c>
      <c r="L240" s="10">
        <v>120</v>
      </c>
      <c r="M240" s="6"/>
      <c r="N240" s="6"/>
      <c r="O240" s="6"/>
      <c r="P240" s="17" t="s">
        <v>3</v>
      </c>
      <c r="Q240" s="6" t="s">
        <v>211</v>
      </c>
      <c r="R240" s="17" t="s">
        <v>1065</v>
      </c>
      <c r="S240" s="17" t="s">
        <v>1066</v>
      </c>
      <c r="T240" s="6" t="s">
        <v>24</v>
      </c>
      <c r="U240" s="6" t="s">
        <v>207</v>
      </c>
      <c r="V240" s="17" t="s">
        <v>3</v>
      </c>
      <c r="W240" s="6">
        <v>589</v>
      </c>
      <c r="X240" s="6" t="s">
        <v>208</v>
      </c>
    </row>
    <row r="241" spans="1:24" ht="81" x14ac:dyDescent="0.25">
      <c r="A241" s="6" t="s">
        <v>1067</v>
      </c>
      <c r="B241" s="14">
        <v>46121</v>
      </c>
      <c r="C241" s="14">
        <v>46121</v>
      </c>
      <c r="D241" s="6" t="s">
        <v>1064</v>
      </c>
      <c r="E241" s="6" t="s">
        <v>35</v>
      </c>
      <c r="F241" s="6" t="s">
        <v>917</v>
      </c>
      <c r="G241" s="6" t="s">
        <v>276</v>
      </c>
      <c r="H241" s="10">
        <v>280</v>
      </c>
      <c r="I241" s="6"/>
      <c r="J241" s="6"/>
      <c r="K241" s="6" t="s">
        <v>3</v>
      </c>
      <c r="L241" s="10">
        <v>120</v>
      </c>
      <c r="M241" s="6"/>
      <c r="N241" s="6"/>
      <c r="O241" s="6"/>
      <c r="P241" s="17" t="s">
        <v>3</v>
      </c>
      <c r="Q241" s="6" t="s">
        <v>211</v>
      </c>
      <c r="R241" s="17" t="s">
        <v>1065</v>
      </c>
      <c r="S241" s="17" t="s">
        <v>1066</v>
      </c>
      <c r="T241" s="6" t="s">
        <v>24</v>
      </c>
      <c r="U241" s="6" t="s">
        <v>207</v>
      </c>
      <c r="V241" s="17" t="s">
        <v>3</v>
      </c>
      <c r="W241" s="6">
        <v>589</v>
      </c>
      <c r="X241" s="6" t="s">
        <v>208</v>
      </c>
    </row>
    <row r="242" spans="1:24" ht="67.5" x14ac:dyDescent="0.25">
      <c r="A242" s="6" t="s">
        <v>1068</v>
      </c>
      <c r="B242" s="14">
        <v>46121</v>
      </c>
      <c r="C242" s="14">
        <v>46121</v>
      </c>
      <c r="D242" s="6" t="s">
        <v>1069</v>
      </c>
      <c r="E242" s="6" t="s">
        <v>35</v>
      </c>
      <c r="F242" s="6" t="s">
        <v>35</v>
      </c>
      <c r="G242" s="6" t="s">
        <v>204</v>
      </c>
      <c r="H242" s="10">
        <v>206</v>
      </c>
      <c r="I242" s="6"/>
      <c r="J242" s="6"/>
      <c r="K242" s="6" t="s">
        <v>838</v>
      </c>
      <c r="L242" s="6"/>
      <c r="M242" s="10">
        <v>102</v>
      </c>
      <c r="N242" s="6"/>
      <c r="O242" s="6"/>
      <c r="P242" s="17" t="s">
        <v>3</v>
      </c>
      <c r="Q242" s="6" t="s">
        <v>205</v>
      </c>
      <c r="R242" s="17" t="s">
        <v>3</v>
      </c>
      <c r="S242" s="17" t="s">
        <v>1070</v>
      </c>
      <c r="T242" s="6" t="s">
        <v>24</v>
      </c>
      <c r="U242" s="6" t="s">
        <v>207</v>
      </c>
      <c r="V242" s="17" t="s">
        <v>3</v>
      </c>
      <c r="W242" s="6">
        <v>590</v>
      </c>
      <c r="X242" s="6" t="s">
        <v>208</v>
      </c>
    </row>
    <row r="243" spans="1:24" ht="40.5" x14ac:dyDescent="0.25">
      <c r="A243" s="6" t="s">
        <v>1071</v>
      </c>
      <c r="B243" s="14">
        <v>46122</v>
      </c>
      <c r="C243" s="14">
        <v>46122</v>
      </c>
      <c r="D243" s="6" t="s">
        <v>1072</v>
      </c>
      <c r="E243" s="6" t="s">
        <v>70</v>
      </c>
      <c r="F243" s="6" t="s">
        <v>70</v>
      </c>
      <c r="G243" s="6" t="s">
        <v>204</v>
      </c>
      <c r="H243" s="6"/>
      <c r="I243" s="6"/>
      <c r="J243" s="6"/>
      <c r="K243" s="6" t="s">
        <v>3</v>
      </c>
      <c r="L243" s="6"/>
      <c r="M243" s="10">
        <v>226</v>
      </c>
      <c r="N243" s="6"/>
      <c r="O243" s="6"/>
      <c r="P243" s="17" t="s">
        <v>3</v>
      </c>
      <c r="Q243" s="6" t="s">
        <v>205</v>
      </c>
      <c r="R243" s="17" t="s">
        <v>3</v>
      </c>
      <c r="S243" s="17" t="s">
        <v>1073</v>
      </c>
      <c r="T243" s="6" t="s">
        <v>25</v>
      </c>
      <c r="U243" s="6" t="s">
        <v>222</v>
      </c>
      <c r="V243" s="17" t="s">
        <v>223</v>
      </c>
      <c r="W243" s="6">
        <v>596</v>
      </c>
      <c r="X243" s="6" t="s">
        <v>224</v>
      </c>
    </row>
    <row r="244" spans="1:24" ht="81" x14ac:dyDescent="0.25">
      <c r="A244" s="6" t="s">
        <v>1074</v>
      </c>
      <c r="B244" s="14">
        <v>46122</v>
      </c>
      <c r="C244" s="14">
        <v>46122</v>
      </c>
      <c r="D244" s="6" t="s">
        <v>1075</v>
      </c>
      <c r="E244" s="6" t="s">
        <v>35</v>
      </c>
      <c r="F244" s="6" t="s">
        <v>917</v>
      </c>
      <c r="G244" s="6" t="s">
        <v>236</v>
      </c>
      <c r="H244" s="10">
        <v>180</v>
      </c>
      <c r="I244" s="6"/>
      <c r="J244" s="6"/>
      <c r="K244" s="6" t="s">
        <v>3</v>
      </c>
      <c r="L244" s="10">
        <v>65</v>
      </c>
      <c r="M244" s="6"/>
      <c r="N244" s="6"/>
      <c r="O244" s="6"/>
      <c r="P244" s="17" t="s">
        <v>3</v>
      </c>
      <c r="Q244" s="6" t="s">
        <v>211</v>
      </c>
      <c r="R244" s="17" t="s">
        <v>1076</v>
      </c>
      <c r="S244" s="17" t="s">
        <v>1077</v>
      </c>
      <c r="T244" s="6" t="s">
        <v>24</v>
      </c>
      <c r="U244" s="6" t="s">
        <v>207</v>
      </c>
      <c r="V244" s="17" t="s">
        <v>3</v>
      </c>
      <c r="W244" s="6">
        <v>597</v>
      </c>
      <c r="X244" s="6" t="s">
        <v>208</v>
      </c>
    </row>
    <row r="245" spans="1:24" ht="54" x14ac:dyDescent="0.25">
      <c r="A245" s="6" t="s">
        <v>1078</v>
      </c>
      <c r="B245" s="14">
        <v>46123</v>
      </c>
      <c r="C245" s="14">
        <v>46125</v>
      </c>
      <c r="D245" s="6" t="s">
        <v>1079</v>
      </c>
      <c r="E245" s="6" t="s">
        <v>134</v>
      </c>
      <c r="F245" s="6" t="s">
        <v>134</v>
      </c>
      <c r="G245" s="6" t="s">
        <v>236</v>
      </c>
      <c r="H245" s="10">
        <v>80</v>
      </c>
      <c r="I245" s="6"/>
      <c r="J245" s="6"/>
      <c r="K245" s="6" t="s">
        <v>3</v>
      </c>
      <c r="L245" s="10">
        <v>39</v>
      </c>
      <c r="M245" s="6"/>
      <c r="N245" s="6"/>
      <c r="O245" s="6"/>
      <c r="P245" s="17" t="s">
        <v>3</v>
      </c>
      <c r="Q245" s="6" t="s">
        <v>313</v>
      </c>
      <c r="R245" s="17" t="s">
        <v>3</v>
      </c>
      <c r="S245" s="17" t="s">
        <v>1080</v>
      </c>
      <c r="T245" s="6" t="s">
        <v>24</v>
      </c>
      <c r="U245" s="6" t="s">
        <v>207</v>
      </c>
      <c r="V245" s="17" t="s">
        <v>3</v>
      </c>
      <c r="W245" s="6">
        <v>604</v>
      </c>
      <c r="X245" s="6" t="s">
        <v>208</v>
      </c>
    </row>
    <row r="246" spans="1:24" ht="81" x14ac:dyDescent="0.25">
      <c r="A246" s="6" t="s">
        <v>1081</v>
      </c>
      <c r="B246" s="14">
        <v>46123</v>
      </c>
      <c r="C246" s="14">
        <v>46123</v>
      </c>
      <c r="D246" s="6" t="s">
        <v>1082</v>
      </c>
      <c r="E246" s="6" t="s">
        <v>95</v>
      </c>
      <c r="F246" s="6" t="s">
        <v>95</v>
      </c>
      <c r="G246" s="6" t="s">
        <v>811</v>
      </c>
      <c r="H246" s="6"/>
      <c r="I246" s="6"/>
      <c r="J246" s="6"/>
      <c r="K246" s="6" t="s">
        <v>3</v>
      </c>
      <c r="L246" s="6"/>
      <c r="M246" s="6"/>
      <c r="N246" s="6"/>
      <c r="O246" s="6"/>
      <c r="P246" s="17" t="s">
        <v>1083</v>
      </c>
      <c r="Q246" s="6" t="s">
        <v>812</v>
      </c>
      <c r="R246" s="17" t="s">
        <v>3</v>
      </c>
      <c r="S246" s="17" t="s">
        <v>1084</v>
      </c>
      <c r="T246" s="6" t="s">
        <v>25</v>
      </c>
      <c r="U246" s="6" t="s">
        <v>222</v>
      </c>
      <c r="V246" s="17" t="s">
        <v>223</v>
      </c>
      <c r="W246" s="6">
        <v>598</v>
      </c>
      <c r="X246" s="6" t="s">
        <v>224</v>
      </c>
    </row>
    <row r="247" spans="1:24" ht="54" x14ac:dyDescent="0.25">
      <c r="A247" s="6" t="s">
        <v>1085</v>
      </c>
      <c r="B247" s="14">
        <v>46123</v>
      </c>
      <c r="C247" s="14">
        <v>46123</v>
      </c>
      <c r="D247" s="6" t="s">
        <v>1086</v>
      </c>
      <c r="E247" s="6" t="s">
        <v>157</v>
      </c>
      <c r="F247" s="6" t="s">
        <v>157</v>
      </c>
      <c r="G247" s="6" t="s">
        <v>1087</v>
      </c>
      <c r="H247" s="10">
        <v>200</v>
      </c>
      <c r="I247" s="10">
        <v>50</v>
      </c>
      <c r="J247" s="10">
        <v>50</v>
      </c>
      <c r="K247" s="6" t="s">
        <v>3</v>
      </c>
      <c r="L247" s="10">
        <v>138</v>
      </c>
      <c r="M247" s="6"/>
      <c r="N247" s="6"/>
      <c r="O247" s="6"/>
      <c r="P247" s="17" t="s">
        <v>1088</v>
      </c>
      <c r="Q247" s="6" t="s">
        <v>313</v>
      </c>
      <c r="R247" s="17" t="s">
        <v>3</v>
      </c>
      <c r="S247" s="17" t="s">
        <v>1089</v>
      </c>
      <c r="T247" s="6" t="s">
        <v>24</v>
      </c>
      <c r="U247" s="6" t="s">
        <v>207</v>
      </c>
      <c r="V247" s="17" t="s">
        <v>3</v>
      </c>
      <c r="W247" s="6">
        <v>600</v>
      </c>
      <c r="X247" s="6" t="s">
        <v>208</v>
      </c>
    </row>
    <row r="248" spans="1:24" ht="81" x14ac:dyDescent="0.25">
      <c r="A248" s="6" t="s">
        <v>1090</v>
      </c>
      <c r="B248" s="14">
        <v>46123</v>
      </c>
      <c r="C248" s="14">
        <v>46123</v>
      </c>
      <c r="D248" s="6" t="s">
        <v>1091</v>
      </c>
      <c r="E248" s="6" t="s">
        <v>35</v>
      </c>
      <c r="F248" s="6" t="s">
        <v>917</v>
      </c>
      <c r="G248" s="6" t="s">
        <v>236</v>
      </c>
      <c r="H248" s="10">
        <v>140</v>
      </c>
      <c r="I248" s="6"/>
      <c r="J248" s="6"/>
      <c r="K248" s="6" t="s">
        <v>3</v>
      </c>
      <c r="L248" s="10">
        <v>77</v>
      </c>
      <c r="M248" s="6"/>
      <c r="N248" s="6"/>
      <c r="O248" s="6"/>
      <c r="P248" s="17" t="s">
        <v>3</v>
      </c>
      <c r="Q248" s="6" t="s">
        <v>211</v>
      </c>
      <c r="R248" s="17" t="s">
        <v>1092</v>
      </c>
      <c r="S248" s="17" t="s">
        <v>1093</v>
      </c>
      <c r="T248" s="6" t="s">
        <v>24</v>
      </c>
      <c r="U248" s="6" t="s">
        <v>207</v>
      </c>
      <c r="V248" s="17" t="s">
        <v>3</v>
      </c>
      <c r="W248" s="6">
        <v>599</v>
      </c>
      <c r="X248" s="6" t="s">
        <v>208</v>
      </c>
    </row>
    <row r="249" spans="1:24" ht="54" x14ac:dyDescent="0.25">
      <c r="A249" s="6" t="s">
        <v>1094</v>
      </c>
      <c r="B249" s="14">
        <v>46124</v>
      </c>
      <c r="C249" s="14">
        <v>46124</v>
      </c>
      <c r="D249" s="6" t="s">
        <v>1095</v>
      </c>
      <c r="E249" s="6" t="s">
        <v>95</v>
      </c>
      <c r="F249" s="6" t="s">
        <v>95</v>
      </c>
      <c r="G249" s="6" t="s">
        <v>811</v>
      </c>
      <c r="H249" s="6"/>
      <c r="I249" s="6"/>
      <c r="J249" s="6"/>
      <c r="K249" s="6" t="s">
        <v>3</v>
      </c>
      <c r="L249" s="6"/>
      <c r="M249" s="6"/>
      <c r="N249" s="6"/>
      <c r="O249" s="6"/>
      <c r="P249" s="17" t="s">
        <v>3</v>
      </c>
      <c r="Q249" s="6" t="s">
        <v>812</v>
      </c>
      <c r="R249" s="17" t="s">
        <v>3</v>
      </c>
      <c r="S249" s="17" t="s">
        <v>1096</v>
      </c>
      <c r="T249" s="6" t="s">
        <v>25</v>
      </c>
      <c r="U249" s="6" t="s">
        <v>222</v>
      </c>
      <c r="V249" s="17" t="s">
        <v>223</v>
      </c>
      <c r="W249" s="6">
        <v>601</v>
      </c>
      <c r="X249" s="6" t="s">
        <v>224</v>
      </c>
    </row>
    <row r="250" spans="1:24" ht="40.5" x14ac:dyDescent="0.25">
      <c r="A250" s="6" t="s">
        <v>1097</v>
      </c>
      <c r="B250" s="14">
        <v>46125</v>
      </c>
      <c r="C250" s="14">
        <v>46126</v>
      </c>
      <c r="D250" s="6" t="s">
        <v>1098</v>
      </c>
      <c r="E250" s="6" t="s">
        <v>155</v>
      </c>
      <c r="F250" s="6" t="s">
        <v>155</v>
      </c>
      <c r="G250" s="6" t="s">
        <v>204</v>
      </c>
      <c r="H250" s="6"/>
      <c r="I250" s="6"/>
      <c r="J250" s="6"/>
      <c r="K250" s="6" t="s">
        <v>3</v>
      </c>
      <c r="L250" s="6"/>
      <c r="M250" s="10">
        <v>85</v>
      </c>
      <c r="N250" s="6"/>
      <c r="O250" s="6"/>
      <c r="P250" s="17" t="s">
        <v>3</v>
      </c>
      <c r="Q250" s="6" t="s">
        <v>205</v>
      </c>
      <c r="R250" s="17" t="s">
        <v>3</v>
      </c>
      <c r="S250" s="17" t="s">
        <v>1099</v>
      </c>
      <c r="T250" s="6" t="s">
        <v>25</v>
      </c>
      <c r="U250" s="6" t="s">
        <v>222</v>
      </c>
      <c r="V250" s="17" t="s">
        <v>223</v>
      </c>
      <c r="W250" s="6">
        <v>605</v>
      </c>
      <c r="X250" s="6" t="s">
        <v>224</v>
      </c>
    </row>
    <row r="251" spans="1:24" ht="54" x14ac:dyDescent="0.25">
      <c r="A251" s="6" t="s">
        <v>1100</v>
      </c>
      <c r="B251" s="14">
        <v>46125</v>
      </c>
      <c r="C251" s="14">
        <v>46125</v>
      </c>
      <c r="D251" s="6" t="s">
        <v>1101</v>
      </c>
      <c r="E251" s="6" t="s">
        <v>62</v>
      </c>
      <c r="F251" s="6" t="s">
        <v>62</v>
      </c>
      <c r="G251" s="6" t="s">
        <v>852</v>
      </c>
      <c r="H251" s="10">
        <v>500</v>
      </c>
      <c r="I251" s="10">
        <v>100</v>
      </c>
      <c r="J251" s="10">
        <v>100</v>
      </c>
      <c r="K251" s="6" t="s">
        <v>3</v>
      </c>
      <c r="L251" s="6"/>
      <c r="M251" s="6"/>
      <c r="N251" s="6"/>
      <c r="O251" s="6"/>
      <c r="P251" s="17" t="s">
        <v>1102</v>
      </c>
      <c r="Q251" s="6" t="s">
        <v>313</v>
      </c>
      <c r="R251" s="17" t="s">
        <v>3</v>
      </c>
      <c r="S251" s="17" t="s">
        <v>1103</v>
      </c>
      <c r="T251" s="6" t="s">
        <v>24</v>
      </c>
      <c r="U251" s="6" t="s">
        <v>207</v>
      </c>
      <c r="V251" s="17" t="s">
        <v>3</v>
      </c>
      <c r="W251" s="6">
        <v>602</v>
      </c>
      <c r="X251" s="6" t="s">
        <v>208</v>
      </c>
    </row>
    <row r="252" spans="1:24" ht="54" x14ac:dyDescent="0.25">
      <c r="A252" s="6" t="s">
        <v>1104</v>
      </c>
      <c r="B252" s="14">
        <v>46125</v>
      </c>
      <c r="C252" s="14">
        <v>46125</v>
      </c>
      <c r="D252" s="6" t="s">
        <v>1101</v>
      </c>
      <c r="E252" s="6" t="s">
        <v>62</v>
      </c>
      <c r="F252" s="6" t="s">
        <v>62</v>
      </c>
      <c r="G252" s="6" t="s">
        <v>1105</v>
      </c>
      <c r="H252" s="10">
        <v>400</v>
      </c>
      <c r="I252" s="10">
        <v>100</v>
      </c>
      <c r="J252" s="10">
        <v>100</v>
      </c>
      <c r="K252" s="6" t="s">
        <v>3</v>
      </c>
      <c r="L252" s="6"/>
      <c r="M252" s="6"/>
      <c r="N252" s="6"/>
      <c r="O252" s="6"/>
      <c r="P252" s="17" t="s">
        <v>1102</v>
      </c>
      <c r="Q252" s="6" t="s">
        <v>313</v>
      </c>
      <c r="R252" s="17" t="s">
        <v>3</v>
      </c>
      <c r="S252" s="17" t="s">
        <v>1103</v>
      </c>
      <c r="T252" s="6" t="s">
        <v>24</v>
      </c>
      <c r="U252" s="6" t="s">
        <v>207</v>
      </c>
      <c r="V252" s="17" t="s">
        <v>3</v>
      </c>
      <c r="W252" s="6">
        <v>602</v>
      </c>
      <c r="X252" s="6" t="s">
        <v>208</v>
      </c>
    </row>
    <row r="253" spans="1:24" ht="94.5" x14ac:dyDescent="0.25">
      <c r="A253" s="6" t="s">
        <v>1106</v>
      </c>
      <c r="B253" s="14">
        <v>46125</v>
      </c>
      <c r="C253" s="14">
        <v>46125</v>
      </c>
      <c r="D253" s="6" t="s">
        <v>1107</v>
      </c>
      <c r="E253" s="6" t="s">
        <v>35</v>
      </c>
      <c r="F253" s="6" t="s">
        <v>917</v>
      </c>
      <c r="G253" s="6" t="s">
        <v>236</v>
      </c>
      <c r="H253" s="10">
        <v>93</v>
      </c>
      <c r="I253" s="6"/>
      <c r="J253" s="6"/>
      <c r="K253" s="6" t="s">
        <v>3</v>
      </c>
      <c r="L253" s="10">
        <v>50</v>
      </c>
      <c r="M253" s="6"/>
      <c r="N253" s="6"/>
      <c r="O253" s="6"/>
      <c r="P253" s="17" t="s">
        <v>3</v>
      </c>
      <c r="Q253" s="6" t="s">
        <v>211</v>
      </c>
      <c r="R253" s="17" t="s">
        <v>3</v>
      </c>
      <c r="S253" s="17" t="s">
        <v>1108</v>
      </c>
      <c r="T253" s="6" t="s">
        <v>25</v>
      </c>
      <c r="U253" s="6" t="s">
        <v>222</v>
      </c>
      <c r="V253" s="17" t="s">
        <v>238</v>
      </c>
      <c r="W253" s="6">
        <v>603</v>
      </c>
      <c r="X253" s="6" t="s">
        <v>224</v>
      </c>
    </row>
    <row r="254" spans="1:24" ht="94.5" x14ac:dyDescent="0.25">
      <c r="A254" s="6" t="s">
        <v>1109</v>
      </c>
      <c r="B254" s="14">
        <v>46125</v>
      </c>
      <c r="C254" s="14">
        <v>46125</v>
      </c>
      <c r="D254" s="6" t="s">
        <v>1107</v>
      </c>
      <c r="E254" s="6" t="s">
        <v>35</v>
      </c>
      <c r="F254" s="6" t="s">
        <v>917</v>
      </c>
      <c r="G254" s="6" t="s">
        <v>1110</v>
      </c>
      <c r="H254" s="10">
        <v>50</v>
      </c>
      <c r="I254" s="6"/>
      <c r="J254" s="6"/>
      <c r="K254" s="6" t="s">
        <v>3</v>
      </c>
      <c r="L254" s="10">
        <v>50</v>
      </c>
      <c r="M254" s="6"/>
      <c r="N254" s="6"/>
      <c r="O254" s="6"/>
      <c r="P254" s="17" t="s">
        <v>3</v>
      </c>
      <c r="Q254" s="6" t="s">
        <v>211</v>
      </c>
      <c r="R254" s="17" t="s">
        <v>3</v>
      </c>
      <c r="S254" s="17" t="s">
        <v>1108</v>
      </c>
      <c r="T254" s="6" t="s">
        <v>25</v>
      </c>
      <c r="U254" s="6" t="s">
        <v>222</v>
      </c>
      <c r="V254" s="17" t="s">
        <v>238</v>
      </c>
      <c r="W254" s="6">
        <v>603</v>
      </c>
      <c r="X254" s="6" t="s">
        <v>224</v>
      </c>
    </row>
    <row r="255" spans="1:24" ht="54" x14ac:dyDescent="0.25">
      <c r="A255" s="6" t="s">
        <v>1111</v>
      </c>
      <c r="B255" s="14">
        <v>46126</v>
      </c>
      <c r="C255" s="14">
        <v>46126</v>
      </c>
      <c r="D255" s="6" t="s">
        <v>1112</v>
      </c>
      <c r="E255" s="6" t="s">
        <v>94</v>
      </c>
      <c r="F255" s="6" t="s">
        <v>94</v>
      </c>
      <c r="G255" s="6" t="s">
        <v>236</v>
      </c>
      <c r="H255" s="10">
        <v>100</v>
      </c>
      <c r="I255" s="6"/>
      <c r="J255" s="6"/>
      <c r="K255" s="6" t="s">
        <v>3</v>
      </c>
      <c r="L255" s="10">
        <v>34</v>
      </c>
      <c r="M255" s="6"/>
      <c r="N255" s="6"/>
      <c r="O255" s="6"/>
      <c r="P255" s="17" t="s">
        <v>3</v>
      </c>
      <c r="Q255" s="6" t="s">
        <v>313</v>
      </c>
      <c r="R255" s="17" t="s">
        <v>3</v>
      </c>
      <c r="S255" s="17" t="s">
        <v>1113</v>
      </c>
      <c r="T255" s="6" t="s">
        <v>24</v>
      </c>
      <c r="U255" s="6" t="s">
        <v>207</v>
      </c>
      <c r="V255" s="17" t="s">
        <v>3</v>
      </c>
      <c r="W255" s="6">
        <v>606</v>
      </c>
      <c r="X255" s="6" t="s">
        <v>208</v>
      </c>
    </row>
    <row r="256" spans="1:24" ht="40.5" x14ac:dyDescent="0.25">
      <c r="A256" s="6" t="s">
        <v>1114</v>
      </c>
      <c r="B256" s="14">
        <v>46126</v>
      </c>
      <c r="C256" s="14">
        <v>46127</v>
      </c>
      <c r="D256" s="6" t="s">
        <v>1115</v>
      </c>
      <c r="E256" s="6" t="s">
        <v>102</v>
      </c>
      <c r="F256" s="6" t="s">
        <v>102</v>
      </c>
      <c r="G256" s="6" t="s">
        <v>204</v>
      </c>
      <c r="H256" s="6"/>
      <c r="I256" s="6"/>
      <c r="J256" s="6"/>
      <c r="K256" s="6" t="s">
        <v>3</v>
      </c>
      <c r="L256" s="6"/>
      <c r="M256" s="10">
        <v>194</v>
      </c>
      <c r="N256" s="6"/>
      <c r="O256" s="6"/>
      <c r="P256" s="17" t="s">
        <v>3</v>
      </c>
      <c r="Q256" s="6" t="s">
        <v>205</v>
      </c>
      <c r="R256" s="17" t="s">
        <v>3</v>
      </c>
      <c r="S256" s="17" t="s">
        <v>1116</v>
      </c>
      <c r="T256" s="6" t="s">
        <v>25</v>
      </c>
      <c r="U256" s="6" t="s">
        <v>222</v>
      </c>
      <c r="V256" s="17" t="s">
        <v>223</v>
      </c>
      <c r="W256" s="6">
        <v>607</v>
      </c>
      <c r="X256" s="6" t="s">
        <v>224</v>
      </c>
    </row>
    <row r="257" spans="1:24" ht="40.5" x14ac:dyDescent="0.25">
      <c r="A257" s="6" t="s">
        <v>1117</v>
      </c>
      <c r="B257" s="14">
        <v>46127</v>
      </c>
      <c r="C257" s="14">
        <v>46127</v>
      </c>
      <c r="D257" s="6" t="s">
        <v>1118</v>
      </c>
      <c r="E257" s="6" t="s">
        <v>102</v>
      </c>
      <c r="F257" s="6" t="s">
        <v>102</v>
      </c>
      <c r="G257" s="6" t="s">
        <v>204</v>
      </c>
      <c r="H257" s="6"/>
      <c r="I257" s="6"/>
      <c r="J257" s="6"/>
      <c r="K257" s="6" t="s">
        <v>3</v>
      </c>
      <c r="L257" s="6"/>
      <c r="M257" s="10">
        <v>197</v>
      </c>
      <c r="N257" s="6"/>
      <c r="O257" s="6"/>
      <c r="P257" s="17" t="s">
        <v>3</v>
      </c>
      <c r="Q257" s="6" t="s">
        <v>205</v>
      </c>
      <c r="R257" s="17" t="s">
        <v>3</v>
      </c>
      <c r="S257" s="17" t="s">
        <v>1119</v>
      </c>
      <c r="T257" s="6" t="s">
        <v>25</v>
      </c>
      <c r="U257" s="6" t="s">
        <v>222</v>
      </c>
      <c r="V257" s="17" t="s">
        <v>223</v>
      </c>
      <c r="W257" s="6">
        <v>609</v>
      </c>
      <c r="X257" s="6" t="s">
        <v>224</v>
      </c>
    </row>
    <row r="258" spans="1:24" ht="54" x14ac:dyDescent="0.25">
      <c r="A258" s="6" t="s">
        <v>1120</v>
      </c>
      <c r="B258" s="14">
        <v>46128</v>
      </c>
      <c r="C258" s="14">
        <v>46129</v>
      </c>
      <c r="D258" s="6" t="s">
        <v>1121</v>
      </c>
      <c r="E258" s="6" t="s">
        <v>66</v>
      </c>
      <c r="F258" s="6" t="s">
        <v>66</v>
      </c>
      <c r="G258" s="6" t="s">
        <v>236</v>
      </c>
      <c r="H258" s="10">
        <v>300</v>
      </c>
      <c r="I258" s="6"/>
      <c r="J258" s="6"/>
      <c r="K258" s="6" t="s">
        <v>3</v>
      </c>
      <c r="L258" s="10">
        <v>127</v>
      </c>
      <c r="M258" s="6"/>
      <c r="N258" s="6"/>
      <c r="O258" s="6"/>
      <c r="P258" s="17" t="s">
        <v>3</v>
      </c>
      <c r="Q258" s="6" t="s">
        <v>313</v>
      </c>
      <c r="R258" s="17" t="s">
        <v>3</v>
      </c>
      <c r="S258" s="17" t="s">
        <v>1122</v>
      </c>
      <c r="T258" s="6" t="s">
        <v>24</v>
      </c>
      <c r="U258" s="6" t="s">
        <v>207</v>
      </c>
      <c r="V258" s="17" t="s">
        <v>3</v>
      </c>
      <c r="W258" s="6">
        <v>612</v>
      </c>
      <c r="X258" s="6" t="s">
        <v>208</v>
      </c>
    </row>
    <row r="259" spans="1:24" ht="67.5" x14ac:dyDescent="0.25">
      <c r="A259" s="6" t="s">
        <v>1123</v>
      </c>
      <c r="B259" s="14">
        <v>46128</v>
      </c>
      <c r="C259" s="14">
        <v>46128</v>
      </c>
      <c r="D259" s="6" t="s">
        <v>1124</v>
      </c>
      <c r="E259" s="6" t="s">
        <v>148</v>
      </c>
      <c r="F259" s="6" t="s">
        <v>148</v>
      </c>
      <c r="G259" s="6" t="s">
        <v>236</v>
      </c>
      <c r="H259" s="10">
        <v>354</v>
      </c>
      <c r="I259" s="6"/>
      <c r="J259" s="6"/>
      <c r="K259" s="6" t="s">
        <v>3</v>
      </c>
      <c r="L259" s="10">
        <v>136</v>
      </c>
      <c r="M259" s="6"/>
      <c r="N259" s="6"/>
      <c r="O259" s="6"/>
      <c r="P259" s="17" t="s">
        <v>3</v>
      </c>
      <c r="Q259" s="6" t="s">
        <v>211</v>
      </c>
      <c r="R259" s="17" t="s">
        <v>3</v>
      </c>
      <c r="S259" s="17" t="s">
        <v>1125</v>
      </c>
      <c r="T259" s="6" t="s">
        <v>24</v>
      </c>
      <c r="U259" s="6" t="s">
        <v>207</v>
      </c>
      <c r="V259" s="17" t="s">
        <v>3</v>
      </c>
      <c r="W259" s="6">
        <v>610</v>
      </c>
      <c r="X259" s="6" t="s">
        <v>208</v>
      </c>
    </row>
    <row r="260" spans="1:24" ht="54" x14ac:dyDescent="0.25">
      <c r="A260" s="6" t="s">
        <v>1126</v>
      </c>
      <c r="B260" s="14">
        <v>46128</v>
      </c>
      <c r="C260" s="14">
        <v>46128</v>
      </c>
      <c r="D260" s="6" t="s">
        <v>1127</v>
      </c>
      <c r="E260" s="6" t="s">
        <v>35</v>
      </c>
      <c r="F260" s="6" t="s">
        <v>35</v>
      </c>
      <c r="G260" s="6" t="s">
        <v>263</v>
      </c>
      <c r="H260" s="6"/>
      <c r="I260" s="6"/>
      <c r="J260" s="6"/>
      <c r="K260" s="6" t="s">
        <v>838</v>
      </c>
      <c r="L260" s="6"/>
      <c r="M260" s="10">
        <v>91</v>
      </c>
      <c r="N260" s="6"/>
      <c r="O260" s="6"/>
      <c r="P260" s="17" t="s">
        <v>3</v>
      </c>
      <c r="Q260" s="6" t="s">
        <v>205</v>
      </c>
      <c r="R260" s="17" t="s">
        <v>3</v>
      </c>
      <c r="S260" s="17" t="s">
        <v>1128</v>
      </c>
      <c r="T260" s="6" t="s">
        <v>26</v>
      </c>
      <c r="U260" s="6" t="s">
        <v>222</v>
      </c>
      <c r="V260" s="17" t="s">
        <v>1129</v>
      </c>
      <c r="W260" s="6">
        <v>611</v>
      </c>
      <c r="X260" s="6" t="s">
        <v>224</v>
      </c>
    </row>
    <row r="261" spans="1:24" ht="54" x14ac:dyDescent="0.25">
      <c r="A261" s="6" t="s">
        <v>1130</v>
      </c>
      <c r="B261" s="14">
        <v>46129</v>
      </c>
      <c r="C261" s="14">
        <v>46129</v>
      </c>
      <c r="D261" s="6" t="s">
        <v>1131</v>
      </c>
      <c r="E261" s="6" t="s">
        <v>66</v>
      </c>
      <c r="F261" s="6" t="s">
        <v>66</v>
      </c>
      <c r="G261" s="6" t="s">
        <v>236</v>
      </c>
      <c r="H261" s="10">
        <v>80</v>
      </c>
      <c r="I261" s="6"/>
      <c r="J261" s="6"/>
      <c r="K261" s="6" t="s">
        <v>3</v>
      </c>
      <c r="L261" s="10">
        <v>32</v>
      </c>
      <c r="M261" s="6"/>
      <c r="N261" s="6"/>
      <c r="O261" s="6"/>
      <c r="P261" s="17" t="s">
        <v>3</v>
      </c>
      <c r="Q261" s="6" t="s">
        <v>313</v>
      </c>
      <c r="R261" s="17" t="s">
        <v>3</v>
      </c>
      <c r="S261" s="17" t="s">
        <v>1132</v>
      </c>
      <c r="T261" s="6" t="s">
        <v>24</v>
      </c>
      <c r="U261" s="6" t="s">
        <v>207</v>
      </c>
      <c r="V261" s="17" t="s">
        <v>3</v>
      </c>
      <c r="W261" s="6">
        <v>613</v>
      </c>
      <c r="X261" s="6" t="s">
        <v>208</v>
      </c>
    </row>
    <row r="262" spans="1:24" ht="54" x14ac:dyDescent="0.25">
      <c r="A262" s="6" t="s">
        <v>1133</v>
      </c>
      <c r="B262" s="14">
        <v>46129</v>
      </c>
      <c r="C262" s="14">
        <v>46129</v>
      </c>
      <c r="D262" s="6" t="s">
        <v>1134</v>
      </c>
      <c r="E262" s="6" t="s">
        <v>35</v>
      </c>
      <c r="F262" s="6" t="s">
        <v>917</v>
      </c>
      <c r="G262" s="6" t="s">
        <v>236</v>
      </c>
      <c r="H262" s="10">
        <v>90</v>
      </c>
      <c r="I262" s="6"/>
      <c r="J262" s="6"/>
      <c r="K262" s="6" t="s">
        <v>3</v>
      </c>
      <c r="L262" s="6"/>
      <c r="M262" s="6"/>
      <c r="N262" s="6"/>
      <c r="O262" s="6"/>
      <c r="P262" s="17" t="s">
        <v>3</v>
      </c>
      <c r="Q262" s="6" t="s">
        <v>211</v>
      </c>
      <c r="R262" s="17" t="s">
        <v>1135</v>
      </c>
      <c r="S262" s="17" t="s">
        <v>1136</v>
      </c>
      <c r="T262" s="6" t="s">
        <v>25</v>
      </c>
      <c r="U262" s="6" t="s">
        <v>222</v>
      </c>
      <c r="V262" s="17" t="s">
        <v>404</v>
      </c>
      <c r="W262" s="6">
        <v>614</v>
      </c>
      <c r="X262" s="6" t="s">
        <v>224</v>
      </c>
    </row>
    <row r="263" spans="1:24" ht="54" x14ac:dyDescent="0.25">
      <c r="A263" s="6" t="s">
        <v>1137</v>
      </c>
      <c r="B263" s="14">
        <v>46129</v>
      </c>
      <c r="C263" s="14">
        <v>46129</v>
      </c>
      <c r="D263" s="6" t="s">
        <v>1138</v>
      </c>
      <c r="E263" s="6" t="s">
        <v>35</v>
      </c>
      <c r="F263" s="6" t="s">
        <v>35</v>
      </c>
      <c r="G263" s="6" t="s">
        <v>263</v>
      </c>
      <c r="H263" s="10">
        <v>250</v>
      </c>
      <c r="I263" s="6"/>
      <c r="J263" s="6"/>
      <c r="K263" s="6" t="s">
        <v>3</v>
      </c>
      <c r="L263" s="6"/>
      <c r="M263" s="10">
        <v>117</v>
      </c>
      <c r="N263" s="6"/>
      <c r="O263" s="6"/>
      <c r="P263" s="17" t="s">
        <v>3</v>
      </c>
      <c r="Q263" s="6" t="s">
        <v>205</v>
      </c>
      <c r="R263" s="17" t="s">
        <v>1139</v>
      </c>
      <c r="S263" s="17" t="s">
        <v>1140</v>
      </c>
      <c r="T263" s="6" t="s">
        <v>25</v>
      </c>
      <c r="U263" s="6" t="s">
        <v>222</v>
      </c>
      <c r="V263" s="17" t="s">
        <v>479</v>
      </c>
      <c r="W263" s="6">
        <v>616</v>
      </c>
      <c r="X263" s="6" t="s">
        <v>224</v>
      </c>
    </row>
    <row r="264" spans="1:24" ht="54" x14ac:dyDescent="0.25">
      <c r="A264" s="6" t="s">
        <v>1141</v>
      </c>
      <c r="B264" s="14">
        <v>46132</v>
      </c>
      <c r="C264" s="14">
        <v>46132</v>
      </c>
      <c r="D264" s="6" t="s">
        <v>1142</v>
      </c>
      <c r="E264" s="6" t="s">
        <v>58</v>
      </c>
      <c r="F264" s="6" t="s">
        <v>58</v>
      </c>
      <c r="G264" s="6" t="s">
        <v>204</v>
      </c>
      <c r="H264" s="6"/>
      <c r="I264" s="6"/>
      <c r="J264" s="6"/>
      <c r="K264" s="6" t="s">
        <v>1143</v>
      </c>
      <c r="L264" s="6"/>
      <c r="M264" s="10">
        <v>26</v>
      </c>
      <c r="N264" s="6"/>
      <c r="O264" s="6"/>
      <c r="P264" s="17" t="s">
        <v>3</v>
      </c>
      <c r="Q264" s="6" t="s">
        <v>205</v>
      </c>
      <c r="R264" s="17" t="s">
        <v>3</v>
      </c>
      <c r="S264" s="17" t="s">
        <v>1144</v>
      </c>
      <c r="T264" s="6" t="s">
        <v>25</v>
      </c>
      <c r="U264" s="6" t="s">
        <v>222</v>
      </c>
      <c r="V264" s="17" t="s">
        <v>223</v>
      </c>
      <c r="W264" s="6">
        <v>621</v>
      </c>
      <c r="X264" s="6" t="s">
        <v>224</v>
      </c>
    </row>
    <row r="265" spans="1:24" ht="67.5" x14ac:dyDescent="0.25">
      <c r="A265" s="6" t="s">
        <v>1145</v>
      </c>
      <c r="B265" s="14">
        <v>46132</v>
      </c>
      <c r="C265" s="14">
        <v>46132</v>
      </c>
      <c r="D265" s="6" t="s">
        <v>1146</v>
      </c>
      <c r="E265" s="6" t="s">
        <v>162</v>
      </c>
      <c r="F265" s="6" t="s">
        <v>162</v>
      </c>
      <c r="G265" s="6" t="s">
        <v>236</v>
      </c>
      <c r="H265" s="10">
        <v>250</v>
      </c>
      <c r="I265" s="6"/>
      <c r="J265" s="6"/>
      <c r="K265" s="6" t="s">
        <v>3</v>
      </c>
      <c r="L265" s="10">
        <v>96</v>
      </c>
      <c r="M265" s="6"/>
      <c r="N265" s="6"/>
      <c r="O265" s="6"/>
      <c r="P265" s="17" t="s">
        <v>3</v>
      </c>
      <c r="Q265" s="6" t="s">
        <v>313</v>
      </c>
      <c r="R265" s="17" t="s">
        <v>1147</v>
      </c>
      <c r="S265" s="17" t="s">
        <v>1148</v>
      </c>
      <c r="T265" s="6" t="s">
        <v>24</v>
      </c>
      <c r="U265" s="6" t="s">
        <v>207</v>
      </c>
      <c r="V265" s="17" t="s">
        <v>3</v>
      </c>
      <c r="W265" s="6">
        <v>620</v>
      </c>
      <c r="X265" s="6" t="s">
        <v>208</v>
      </c>
    </row>
    <row r="266" spans="1:24" ht="67.5" x14ac:dyDescent="0.25">
      <c r="A266" s="6" t="s">
        <v>1149</v>
      </c>
      <c r="B266" s="14">
        <v>46132</v>
      </c>
      <c r="C266" s="14">
        <v>46132</v>
      </c>
      <c r="D266" s="6" t="s">
        <v>1150</v>
      </c>
      <c r="E266" s="6" t="s">
        <v>35</v>
      </c>
      <c r="F266" s="6" t="s">
        <v>917</v>
      </c>
      <c r="G266" s="6" t="s">
        <v>236</v>
      </c>
      <c r="H266" s="10">
        <v>140</v>
      </c>
      <c r="I266" s="6"/>
      <c r="J266" s="6"/>
      <c r="K266" s="6" t="s">
        <v>3</v>
      </c>
      <c r="L266" s="10">
        <v>60</v>
      </c>
      <c r="M266" s="6"/>
      <c r="N266" s="6"/>
      <c r="O266" s="6"/>
      <c r="P266" s="17" t="s">
        <v>3</v>
      </c>
      <c r="Q266" s="6" t="s">
        <v>211</v>
      </c>
      <c r="R266" s="17" t="s">
        <v>1151</v>
      </c>
      <c r="S266" s="17" t="s">
        <v>1152</v>
      </c>
      <c r="T266" s="6" t="s">
        <v>24</v>
      </c>
      <c r="U266" s="6" t="s">
        <v>207</v>
      </c>
      <c r="V266" s="17" t="s">
        <v>3</v>
      </c>
      <c r="W266" s="6">
        <v>619</v>
      </c>
      <c r="X266" s="6" t="s">
        <v>208</v>
      </c>
    </row>
    <row r="267" spans="1:24" ht="54" x14ac:dyDescent="0.25">
      <c r="A267" s="6" t="s">
        <v>1153</v>
      </c>
      <c r="B267" s="14">
        <v>46133</v>
      </c>
      <c r="C267" s="14">
        <v>46133</v>
      </c>
      <c r="D267" s="6" t="s">
        <v>1154</v>
      </c>
      <c r="E267" s="6" t="s">
        <v>58</v>
      </c>
      <c r="F267" s="6" t="s">
        <v>58</v>
      </c>
      <c r="G267" s="6" t="s">
        <v>204</v>
      </c>
      <c r="H267" s="6"/>
      <c r="I267" s="6"/>
      <c r="J267" s="6"/>
      <c r="K267" s="6" t="s">
        <v>1143</v>
      </c>
      <c r="L267" s="6"/>
      <c r="M267" s="10">
        <v>40</v>
      </c>
      <c r="N267" s="6"/>
      <c r="O267" s="6"/>
      <c r="P267" s="17" t="s">
        <v>3</v>
      </c>
      <c r="Q267" s="6" t="s">
        <v>205</v>
      </c>
      <c r="R267" s="17" t="s">
        <v>3</v>
      </c>
      <c r="S267" s="17" t="s">
        <v>1155</v>
      </c>
      <c r="T267" s="6" t="s">
        <v>25</v>
      </c>
      <c r="U267" s="6" t="s">
        <v>222</v>
      </c>
      <c r="V267" s="17" t="s">
        <v>223</v>
      </c>
      <c r="W267" s="6">
        <v>622</v>
      </c>
      <c r="X267" s="6" t="s">
        <v>224</v>
      </c>
    </row>
    <row r="268" spans="1:24" ht="67.5" x14ac:dyDescent="0.25">
      <c r="A268" s="6" t="s">
        <v>1156</v>
      </c>
      <c r="B268" s="14">
        <v>46133</v>
      </c>
      <c r="C268" s="14">
        <v>46133</v>
      </c>
      <c r="D268" s="6" t="s">
        <v>1157</v>
      </c>
      <c r="E268" s="6" t="s">
        <v>62</v>
      </c>
      <c r="F268" s="6" t="s">
        <v>62</v>
      </c>
      <c r="G268" s="6" t="s">
        <v>236</v>
      </c>
      <c r="H268" s="10">
        <v>263</v>
      </c>
      <c r="I268" s="6"/>
      <c r="J268" s="6"/>
      <c r="K268" s="6" t="s">
        <v>3</v>
      </c>
      <c r="L268" s="10">
        <v>104</v>
      </c>
      <c r="M268" s="6"/>
      <c r="N268" s="6"/>
      <c r="O268" s="6"/>
      <c r="P268" s="17" t="s">
        <v>3</v>
      </c>
      <c r="Q268" s="6" t="s">
        <v>313</v>
      </c>
      <c r="R268" s="17" t="s">
        <v>1158</v>
      </c>
      <c r="S268" s="17" t="s">
        <v>1159</v>
      </c>
      <c r="T268" s="6" t="s">
        <v>25</v>
      </c>
      <c r="U268" s="6" t="s">
        <v>222</v>
      </c>
      <c r="V268" s="17" t="s">
        <v>404</v>
      </c>
      <c r="W268" s="6">
        <v>625</v>
      </c>
      <c r="X268" s="6" t="s">
        <v>224</v>
      </c>
    </row>
    <row r="269" spans="1:24" ht="81" x14ac:dyDescent="0.25">
      <c r="A269" s="6" t="s">
        <v>1160</v>
      </c>
      <c r="B269" s="14">
        <v>46133</v>
      </c>
      <c r="C269" s="14">
        <v>46133</v>
      </c>
      <c r="D269" s="6" t="s">
        <v>1161</v>
      </c>
      <c r="E269" s="6" t="s">
        <v>35</v>
      </c>
      <c r="F269" s="6" t="s">
        <v>917</v>
      </c>
      <c r="G269" s="6" t="s">
        <v>236</v>
      </c>
      <c r="H269" s="10">
        <v>160</v>
      </c>
      <c r="I269" s="6"/>
      <c r="J269" s="6"/>
      <c r="K269" s="6" t="s">
        <v>1162</v>
      </c>
      <c r="L269" s="10">
        <v>75</v>
      </c>
      <c r="M269" s="6"/>
      <c r="N269" s="6"/>
      <c r="O269" s="6"/>
      <c r="P269" s="17" t="s">
        <v>3</v>
      </c>
      <c r="Q269" s="6" t="s">
        <v>211</v>
      </c>
      <c r="R269" s="17" t="s">
        <v>3</v>
      </c>
      <c r="S269" s="17" t="s">
        <v>1163</v>
      </c>
      <c r="T269" s="6" t="s">
        <v>24</v>
      </c>
      <c r="U269" s="6" t="s">
        <v>207</v>
      </c>
      <c r="V269" s="17" t="s">
        <v>3</v>
      </c>
      <c r="W269" s="6">
        <v>623</v>
      </c>
      <c r="X269" s="6" t="s">
        <v>208</v>
      </c>
    </row>
    <row r="270" spans="1:24" ht="40.5" x14ac:dyDescent="0.25">
      <c r="A270" s="6" t="s">
        <v>1164</v>
      </c>
      <c r="B270" s="14">
        <v>46134</v>
      </c>
      <c r="C270" s="14">
        <v>46134</v>
      </c>
      <c r="D270" s="6" t="s">
        <v>1165</v>
      </c>
      <c r="E270" s="6" t="s">
        <v>126</v>
      </c>
      <c r="F270" s="6" t="s">
        <v>126</v>
      </c>
      <c r="G270" s="6" t="s">
        <v>204</v>
      </c>
      <c r="H270" s="6"/>
      <c r="I270" s="6"/>
      <c r="J270" s="6"/>
      <c r="K270" s="6" t="s">
        <v>3</v>
      </c>
      <c r="L270" s="6"/>
      <c r="M270" s="10">
        <v>72</v>
      </c>
      <c r="N270" s="6"/>
      <c r="O270" s="6"/>
      <c r="P270" s="17" t="s">
        <v>3</v>
      </c>
      <c r="Q270" s="6" t="s">
        <v>205</v>
      </c>
      <c r="R270" s="17" t="s">
        <v>3</v>
      </c>
      <c r="S270" s="17" t="s">
        <v>1166</v>
      </c>
      <c r="T270" s="6" t="s">
        <v>25</v>
      </c>
      <c r="U270" s="6" t="s">
        <v>222</v>
      </c>
      <c r="V270" s="17" t="s">
        <v>223</v>
      </c>
      <c r="W270" s="6">
        <v>628</v>
      </c>
      <c r="X270" s="6" t="s">
        <v>224</v>
      </c>
    </row>
    <row r="271" spans="1:24" ht="189" x14ac:dyDescent="0.25">
      <c r="A271" s="6" t="s">
        <v>1167</v>
      </c>
      <c r="B271" s="14">
        <v>46134</v>
      </c>
      <c r="C271" s="14">
        <v>46134</v>
      </c>
      <c r="D271" s="6" t="s">
        <v>1168</v>
      </c>
      <c r="E271" s="6" t="s">
        <v>45</v>
      </c>
      <c r="F271" s="6" t="s">
        <v>1169</v>
      </c>
      <c r="G271" s="6" t="s">
        <v>817</v>
      </c>
      <c r="H271" s="6"/>
      <c r="I271" s="6"/>
      <c r="J271" s="6"/>
      <c r="K271" s="6" t="s">
        <v>3</v>
      </c>
      <c r="L271" s="6"/>
      <c r="M271" s="6"/>
      <c r="N271" s="6"/>
      <c r="O271" s="6"/>
      <c r="P271" s="17" t="s">
        <v>1170</v>
      </c>
      <c r="Q271" s="6" t="s">
        <v>812</v>
      </c>
      <c r="R271" s="17" t="s">
        <v>3</v>
      </c>
      <c r="S271" s="17" t="s">
        <v>1171</v>
      </c>
      <c r="T271" s="6" t="s">
        <v>26</v>
      </c>
      <c r="U271" s="6" t="s">
        <v>222</v>
      </c>
      <c r="V271" s="17" t="s">
        <v>957</v>
      </c>
      <c r="W271" s="6">
        <v>627</v>
      </c>
      <c r="X271" s="6" t="s">
        <v>224</v>
      </c>
    </row>
    <row r="272" spans="1:24" ht="81" x14ac:dyDescent="0.25">
      <c r="A272" s="6" t="s">
        <v>1172</v>
      </c>
      <c r="B272" s="14">
        <v>46134</v>
      </c>
      <c r="C272" s="14">
        <v>46134</v>
      </c>
      <c r="D272" s="6" t="s">
        <v>1173</v>
      </c>
      <c r="E272" s="6" t="s">
        <v>35</v>
      </c>
      <c r="F272" s="6" t="s">
        <v>917</v>
      </c>
      <c r="G272" s="6" t="s">
        <v>236</v>
      </c>
      <c r="H272" s="10">
        <v>110</v>
      </c>
      <c r="I272" s="6"/>
      <c r="J272" s="6"/>
      <c r="K272" s="6" t="s">
        <v>3</v>
      </c>
      <c r="L272" s="10">
        <v>50</v>
      </c>
      <c r="M272" s="6"/>
      <c r="N272" s="6"/>
      <c r="O272" s="6"/>
      <c r="P272" s="17" t="s">
        <v>3</v>
      </c>
      <c r="Q272" s="6" t="s">
        <v>211</v>
      </c>
      <c r="R272" s="17" t="s">
        <v>1174</v>
      </c>
      <c r="S272" s="17" t="s">
        <v>1175</v>
      </c>
      <c r="T272" s="6" t="s">
        <v>24</v>
      </c>
      <c r="U272" s="6" t="s">
        <v>207</v>
      </c>
      <c r="V272" s="17" t="s">
        <v>3</v>
      </c>
      <c r="W272" s="6">
        <v>629</v>
      </c>
      <c r="X272" s="6" t="s">
        <v>208</v>
      </c>
    </row>
    <row r="273" spans="1:24" ht="135" x14ac:dyDescent="0.25">
      <c r="A273" s="6" t="s">
        <v>1176</v>
      </c>
      <c r="B273" s="14">
        <v>46134</v>
      </c>
      <c r="C273" s="14">
        <v>46135</v>
      </c>
      <c r="D273" s="6" t="s">
        <v>1177</v>
      </c>
      <c r="E273" s="6" t="s">
        <v>35</v>
      </c>
      <c r="F273" s="6" t="s">
        <v>917</v>
      </c>
      <c r="G273" s="6" t="s">
        <v>276</v>
      </c>
      <c r="H273" s="10">
        <v>260</v>
      </c>
      <c r="I273" s="6"/>
      <c r="J273" s="6"/>
      <c r="K273" s="6" t="s">
        <v>3</v>
      </c>
      <c r="L273" s="6"/>
      <c r="M273" s="6"/>
      <c r="N273" s="6"/>
      <c r="O273" s="6"/>
      <c r="P273" s="17" t="s">
        <v>3</v>
      </c>
      <c r="Q273" s="6" t="s">
        <v>313</v>
      </c>
      <c r="R273" s="17" t="s">
        <v>3</v>
      </c>
      <c r="S273" s="17" t="s">
        <v>1178</v>
      </c>
      <c r="T273" s="6" t="s">
        <v>25</v>
      </c>
      <c r="U273" s="6" t="s">
        <v>222</v>
      </c>
      <c r="V273" s="17" t="s">
        <v>785</v>
      </c>
      <c r="W273" s="6">
        <v>632</v>
      </c>
      <c r="X273" s="6" t="s">
        <v>224</v>
      </c>
    </row>
    <row r="274" spans="1:24" ht="135" x14ac:dyDescent="0.25">
      <c r="A274" s="6" t="s">
        <v>1179</v>
      </c>
      <c r="B274" s="14">
        <v>46134</v>
      </c>
      <c r="C274" s="14">
        <v>46135</v>
      </c>
      <c r="D274" s="6" t="s">
        <v>1177</v>
      </c>
      <c r="E274" s="6" t="s">
        <v>35</v>
      </c>
      <c r="F274" s="6" t="s">
        <v>917</v>
      </c>
      <c r="G274" s="6" t="s">
        <v>276</v>
      </c>
      <c r="H274" s="10">
        <v>260</v>
      </c>
      <c r="I274" s="6"/>
      <c r="J274" s="6"/>
      <c r="K274" s="6" t="s">
        <v>3</v>
      </c>
      <c r="L274" s="6"/>
      <c r="M274" s="6"/>
      <c r="N274" s="6"/>
      <c r="O274" s="6"/>
      <c r="P274" s="17" t="s">
        <v>3</v>
      </c>
      <c r="Q274" s="6" t="s">
        <v>313</v>
      </c>
      <c r="R274" s="17" t="s">
        <v>3</v>
      </c>
      <c r="S274" s="17" t="s">
        <v>1178</v>
      </c>
      <c r="T274" s="6" t="s">
        <v>25</v>
      </c>
      <c r="U274" s="6" t="s">
        <v>222</v>
      </c>
      <c r="V274" s="17" t="s">
        <v>785</v>
      </c>
      <c r="W274" s="6">
        <v>632</v>
      </c>
      <c r="X274" s="6" t="s">
        <v>224</v>
      </c>
    </row>
    <row r="275" spans="1:24" ht="67.5" x14ac:dyDescent="0.25">
      <c r="A275" s="6" t="s">
        <v>1180</v>
      </c>
      <c r="B275" s="14">
        <v>46135</v>
      </c>
      <c r="C275" s="14">
        <v>46135</v>
      </c>
      <c r="D275" s="6" t="s">
        <v>1181</v>
      </c>
      <c r="E275" s="6" t="s">
        <v>62</v>
      </c>
      <c r="F275" s="6" t="s">
        <v>62</v>
      </c>
      <c r="G275" s="6" t="s">
        <v>236</v>
      </c>
      <c r="H275" s="10">
        <v>203</v>
      </c>
      <c r="I275" s="6"/>
      <c r="J275" s="6"/>
      <c r="K275" s="6" t="s">
        <v>3</v>
      </c>
      <c r="L275" s="10">
        <v>88</v>
      </c>
      <c r="M275" s="6"/>
      <c r="N275" s="6"/>
      <c r="O275" s="6"/>
      <c r="P275" s="17" t="s">
        <v>3</v>
      </c>
      <c r="Q275" s="6" t="s">
        <v>313</v>
      </c>
      <c r="R275" s="17" t="s">
        <v>1182</v>
      </c>
      <c r="S275" s="17" t="s">
        <v>1183</v>
      </c>
      <c r="T275" s="6" t="s">
        <v>24</v>
      </c>
      <c r="U275" s="6" t="s">
        <v>207</v>
      </c>
      <c r="V275" s="17" t="s">
        <v>3</v>
      </c>
      <c r="W275" s="6">
        <v>633</v>
      </c>
      <c r="X275" s="6" t="s">
        <v>208</v>
      </c>
    </row>
    <row r="276" spans="1:24" ht="54" x14ac:dyDescent="0.25">
      <c r="A276" s="6" t="s">
        <v>1184</v>
      </c>
      <c r="B276" s="14">
        <v>46136</v>
      </c>
      <c r="C276" s="14">
        <v>46136</v>
      </c>
      <c r="D276" s="6" t="s">
        <v>1185</v>
      </c>
      <c r="E276" s="6" t="s">
        <v>66</v>
      </c>
      <c r="F276" s="6" t="s">
        <v>66</v>
      </c>
      <c r="G276" s="6" t="s">
        <v>236</v>
      </c>
      <c r="H276" s="10">
        <v>380</v>
      </c>
      <c r="I276" s="6"/>
      <c r="J276" s="6"/>
      <c r="K276" s="6" t="s">
        <v>3</v>
      </c>
      <c r="L276" s="10">
        <v>176</v>
      </c>
      <c r="M276" s="6"/>
      <c r="N276" s="6"/>
      <c r="O276" s="6"/>
      <c r="P276" s="17" t="s">
        <v>3</v>
      </c>
      <c r="Q276" s="6" t="s">
        <v>313</v>
      </c>
      <c r="R276" s="17" t="s">
        <v>3</v>
      </c>
      <c r="S276" s="17" t="s">
        <v>1186</v>
      </c>
      <c r="T276" s="6" t="s">
        <v>24</v>
      </c>
      <c r="U276" s="6" t="s">
        <v>207</v>
      </c>
      <c r="V276" s="17" t="s">
        <v>3</v>
      </c>
      <c r="W276" s="6">
        <v>639</v>
      </c>
      <c r="X276" s="6" t="s">
        <v>208</v>
      </c>
    </row>
    <row r="277" spans="1:24" ht="27" x14ac:dyDescent="0.25">
      <c r="A277" s="6" t="s">
        <v>1187</v>
      </c>
      <c r="B277" s="14">
        <v>46136</v>
      </c>
      <c r="C277" s="14">
        <v>46136</v>
      </c>
      <c r="D277" s="6" t="s">
        <v>1188</v>
      </c>
      <c r="E277" s="6" t="s">
        <v>49</v>
      </c>
      <c r="F277" s="6" t="s">
        <v>294</v>
      </c>
      <c r="G277" s="6" t="s">
        <v>236</v>
      </c>
      <c r="H277" s="10">
        <v>140</v>
      </c>
      <c r="I277" s="6"/>
      <c r="J277" s="6"/>
      <c r="K277" s="6" t="s">
        <v>3</v>
      </c>
      <c r="L277" s="6"/>
      <c r="M277" s="6"/>
      <c r="N277" s="6"/>
      <c r="O277" s="6"/>
      <c r="P277" s="17" t="s">
        <v>3</v>
      </c>
      <c r="Q277" s="6" t="s">
        <v>228</v>
      </c>
      <c r="R277" s="17" t="s">
        <v>3</v>
      </c>
      <c r="S277" s="17" t="s">
        <v>1189</v>
      </c>
      <c r="T277" s="6" t="s">
        <v>24</v>
      </c>
      <c r="U277" s="6" t="s">
        <v>207</v>
      </c>
      <c r="V277" s="17" t="s">
        <v>3</v>
      </c>
      <c r="W277" s="6">
        <v>638</v>
      </c>
      <c r="X277" s="6" t="s">
        <v>208</v>
      </c>
    </row>
    <row r="278" spans="1:24" ht="135" x14ac:dyDescent="0.25">
      <c r="A278" s="6" t="s">
        <v>1190</v>
      </c>
      <c r="B278" s="14">
        <v>46136</v>
      </c>
      <c r="C278" s="14">
        <v>46136</v>
      </c>
      <c r="D278" s="6" t="s">
        <v>1191</v>
      </c>
      <c r="E278" s="6" t="s">
        <v>75</v>
      </c>
      <c r="F278" s="6" t="s">
        <v>1192</v>
      </c>
      <c r="G278" s="6" t="s">
        <v>218</v>
      </c>
      <c r="H278" s="6"/>
      <c r="I278" s="6"/>
      <c r="J278" s="6"/>
      <c r="K278" s="6" t="s">
        <v>3</v>
      </c>
      <c r="L278" s="6"/>
      <c r="M278" s="6"/>
      <c r="N278" s="6"/>
      <c r="O278" s="6"/>
      <c r="P278" s="17" t="s">
        <v>1193</v>
      </c>
      <c r="Q278" s="6" t="s">
        <v>812</v>
      </c>
      <c r="R278" s="17" t="s">
        <v>1194</v>
      </c>
      <c r="S278" s="17" t="s">
        <v>1195</v>
      </c>
      <c r="T278" s="6" t="s">
        <v>25</v>
      </c>
      <c r="U278" s="6" t="s">
        <v>222</v>
      </c>
      <c r="V278" s="17" t="s">
        <v>223</v>
      </c>
      <c r="W278" s="6">
        <v>634</v>
      </c>
      <c r="X278" s="6" t="s">
        <v>224</v>
      </c>
    </row>
    <row r="279" spans="1:24" ht="81" x14ac:dyDescent="0.25">
      <c r="A279" s="6" t="s">
        <v>1196</v>
      </c>
      <c r="B279" s="14">
        <v>46136</v>
      </c>
      <c r="C279" s="14">
        <v>46136</v>
      </c>
      <c r="D279" s="6" t="s">
        <v>1197</v>
      </c>
      <c r="E279" s="6" t="s">
        <v>35</v>
      </c>
      <c r="F279" s="6" t="s">
        <v>917</v>
      </c>
      <c r="G279" s="6" t="s">
        <v>236</v>
      </c>
      <c r="H279" s="10">
        <v>140</v>
      </c>
      <c r="I279" s="6"/>
      <c r="J279" s="6"/>
      <c r="K279" s="6" t="s">
        <v>3</v>
      </c>
      <c r="L279" s="10">
        <v>65</v>
      </c>
      <c r="M279" s="6"/>
      <c r="N279" s="6"/>
      <c r="O279" s="6"/>
      <c r="P279" s="17" t="s">
        <v>3</v>
      </c>
      <c r="Q279" s="6" t="s">
        <v>211</v>
      </c>
      <c r="R279" s="17" t="s">
        <v>1198</v>
      </c>
      <c r="S279" s="17" t="s">
        <v>1199</v>
      </c>
      <c r="T279" s="6" t="s">
        <v>24</v>
      </c>
      <c r="U279" s="6" t="s">
        <v>207</v>
      </c>
      <c r="V279" s="17" t="s">
        <v>3</v>
      </c>
      <c r="W279" s="6">
        <v>637</v>
      </c>
      <c r="X279" s="6" t="s">
        <v>208</v>
      </c>
    </row>
    <row r="280" spans="1:24" ht="81" x14ac:dyDescent="0.25">
      <c r="A280" s="6" t="s">
        <v>1200</v>
      </c>
      <c r="B280" s="14">
        <v>46137</v>
      </c>
      <c r="C280" s="14">
        <v>46137</v>
      </c>
      <c r="D280" s="6" t="s">
        <v>1201</v>
      </c>
      <c r="E280" s="6" t="s">
        <v>56</v>
      </c>
      <c r="F280" s="6" t="s">
        <v>1202</v>
      </c>
      <c r="G280" s="6" t="s">
        <v>811</v>
      </c>
      <c r="H280" s="6"/>
      <c r="I280" s="6"/>
      <c r="J280" s="6"/>
      <c r="K280" s="6" t="s">
        <v>3</v>
      </c>
      <c r="L280" s="6"/>
      <c r="M280" s="6"/>
      <c r="N280" s="6"/>
      <c r="O280" s="6"/>
      <c r="P280" s="17" t="s">
        <v>1203</v>
      </c>
      <c r="Q280" s="6" t="s">
        <v>812</v>
      </c>
      <c r="R280" s="17" t="s">
        <v>3</v>
      </c>
      <c r="S280" s="17" t="s">
        <v>1204</v>
      </c>
      <c r="T280" s="6" t="s">
        <v>26</v>
      </c>
      <c r="U280" s="6" t="s">
        <v>222</v>
      </c>
      <c r="V280" s="17" t="s">
        <v>924</v>
      </c>
      <c r="W280" s="6">
        <v>643</v>
      </c>
      <c r="X280" s="6" t="s">
        <v>224</v>
      </c>
    </row>
    <row r="281" spans="1:24" ht="54" x14ac:dyDescent="0.25">
      <c r="A281" s="6" t="s">
        <v>1205</v>
      </c>
      <c r="B281" s="14">
        <v>46138</v>
      </c>
      <c r="C281" s="14">
        <v>46138</v>
      </c>
      <c r="D281" s="6" t="s">
        <v>1206</v>
      </c>
      <c r="E281" s="6" t="s">
        <v>117</v>
      </c>
      <c r="F281" s="6" t="s">
        <v>117</v>
      </c>
      <c r="G281" s="6" t="s">
        <v>236</v>
      </c>
      <c r="H281" s="10">
        <v>56</v>
      </c>
      <c r="I281" s="6"/>
      <c r="J281" s="6"/>
      <c r="K281" s="6" t="s">
        <v>3</v>
      </c>
      <c r="L281" s="10">
        <v>25</v>
      </c>
      <c r="M281" s="6"/>
      <c r="N281" s="6"/>
      <c r="O281" s="6"/>
      <c r="P281" s="17" t="s">
        <v>3</v>
      </c>
      <c r="Q281" s="6" t="s">
        <v>313</v>
      </c>
      <c r="R281" s="17" t="s">
        <v>1207</v>
      </c>
      <c r="S281" s="17" t="s">
        <v>1208</v>
      </c>
      <c r="T281" s="6" t="s">
        <v>24</v>
      </c>
      <c r="U281" s="6" t="s">
        <v>207</v>
      </c>
      <c r="V281" s="17" t="s">
        <v>3</v>
      </c>
      <c r="W281" s="6">
        <v>645</v>
      </c>
      <c r="X281" s="6" t="s">
        <v>208</v>
      </c>
    </row>
    <row r="282" spans="1:24" ht="108" x14ac:dyDescent="0.25">
      <c r="A282" s="6" t="s">
        <v>1209</v>
      </c>
      <c r="B282" s="14">
        <v>46138</v>
      </c>
      <c r="C282" s="14">
        <v>46138</v>
      </c>
      <c r="D282" s="6" t="s">
        <v>1210</v>
      </c>
      <c r="E282" s="6" t="s">
        <v>56</v>
      </c>
      <c r="F282" s="6" t="s">
        <v>1202</v>
      </c>
      <c r="G282" s="6" t="s">
        <v>218</v>
      </c>
      <c r="H282" s="6"/>
      <c r="I282" s="6"/>
      <c r="J282" s="6"/>
      <c r="K282" s="6" t="s">
        <v>3</v>
      </c>
      <c r="L282" s="6"/>
      <c r="M282" s="6"/>
      <c r="N282" s="6"/>
      <c r="O282" s="6"/>
      <c r="P282" s="17" t="s">
        <v>1193</v>
      </c>
      <c r="Q282" s="6" t="s">
        <v>812</v>
      </c>
      <c r="R282" s="17" t="s">
        <v>1211</v>
      </c>
      <c r="S282" s="17" t="s">
        <v>1212</v>
      </c>
      <c r="T282" s="6" t="s">
        <v>25</v>
      </c>
      <c r="U282" s="6" t="s">
        <v>222</v>
      </c>
      <c r="V282" s="17" t="s">
        <v>223</v>
      </c>
      <c r="W282" s="6">
        <v>644</v>
      </c>
      <c r="X282" s="6" t="s">
        <v>224</v>
      </c>
    </row>
    <row r="283" spans="1:24" ht="27" x14ac:dyDescent="0.25">
      <c r="A283" s="6" t="s">
        <v>1213</v>
      </c>
      <c r="B283" s="14">
        <v>46139</v>
      </c>
      <c r="C283" s="14">
        <v>46139</v>
      </c>
      <c r="D283" s="6" t="s">
        <v>1214</v>
      </c>
      <c r="E283" s="6" t="s">
        <v>49</v>
      </c>
      <c r="F283" s="6" t="s">
        <v>294</v>
      </c>
      <c r="G283" s="6" t="s">
        <v>236</v>
      </c>
      <c r="H283" s="10">
        <v>160</v>
      </c>
      <c r="I283" s="6"/>
      <c r="J283" s="6"/>
      <c r="K283" s="6" t="s">
        <v>3</v>
      </c>
      <c r="L283" s="6"/>
      <c r="M283" s="6"/>
      <c r="N283" s="6"/>
      <c r="O283" s="6"/>
      <c r="P283" s="17" t="s">
        <v>3</v>
      </c>
      <c r="Q283" s="6" t="s">
        <v>228</v>
      </c>
      <c r="R283" s="17" t="s">
        <v>3</v>
      </c>
      <c r="S283" s="17" t="s">
        <v>1215</v>
      </c>
      <c r="T283" s="6" t="s">
        <v>24</v>
      </c>
      <c r="U283" s="6" t="s">
        <v>207</v>
      </c>
      <c r="V283" s="17" t="s">
        <v>3</v>
      </c>
      <c r="W283" s="6">
        <v>646</v>
      </c>
      <c r="X283" s="6" t="s">
        <v>208</v>
      </c>
    </row>
    <row r="284" spans="1:24" ht="54" x14ac:dyDescent="0.25">
      <c r="A284" s="6" t="s">
        <v>1216</v>
      </c>
      <c r="B284" s="14">
        <v>46139</v>
      </c>
      <c r="C284" s="14">
        <v>46139</v>
      </c>
      <c r="D284" s="6" t="s">
        <v>837</v>
      </c>
      <c r="E284" s="6" t="s">
        <v>135</v>
      </c>
      <c r="F284" s="6" t="s">
        <v>135</v>
      </c>
      <c r="G284" s="6" t="s">
        <v>236</v>
      </c>
      <c r="H284" s="10">
        <v>142</v>
      </c>
      <c r="I284" s="6"/>
      <c r="J284" s="6"/>
      <c r="K284" s="6" t="s">
        <v>3</v>
      </c>
      <c r="L284" s="10">
        <v>58</v>
      </c>
      <c r="M284" s="6"/>
      <c r="N284" s="6"/>
      <c r="O284" s="6"/>
      <c r="P284" s="17" t="s">
        <v>3</v>
      </c>
      <c r="Q284" s="6" t="s">
        <v>313</v>
      </c>
      <c r="R284" s="17" t="s">
        <v>1217</v>
      </c>
      <c r="S284" s="17" t="s">
        <v>1218</v>
      </c>
      <c r="T284" s="6" t="s">
        <v>24</v>
      </c>
      <c r="U284" s="6" t="s">
        <v>207</v>
      </c>
      <c r="V284" s="17" t="s">
        <v>3</v>
      </c>
      <c r="W284" s="6">
        <v>647</v>
      </c>
      <c r="X284" s="6" t="s">
        <v>208</v>
      </c>
    </row>
    <row r="285" spans="1:24" ht="27" x14ac:dyDescent="0.25">
      <c r="A285" s="6" t="s">
        <v>1219</v>
      </c>
      <c r="B285" s="14">
        <v>46140</v>
      </c>
      <c r="C285" s="14">
        <v>46140</v>
      </c>
      <c r="D285" s="6" t="s">
        <v>1220</v>
      </c>
      <c r="E285" s="6" t="s">
        <v>49</v>
      </c>
      <c r="F285" s="6" t="s">
        <v>294</v>
      </c>
      <c r="G285" s="6" t="s">
        <v>236</v>
      </c>
      <c r="H285" s="10">
        <v>125</v>
      </c>
      <c r="I285" s="6"/>
      <c r="J285" s="6"/>
      <c r="K285" s="6" t="s">
        <v>3</v>
      </c>
      <c r="L285" s="6"/>
      <c r="M285" s="6"/>
      <c r="N285" s="6"/>
      <c r="O285" s="6"/>
      <c r="P285" s="17" t="s">
        <v>3</v>
      </c>
      <c r="Q285" s="6" t="s">
        <v>228</v>
      </c>
      <c r="R285" s="17" t="s">
        <v>3</v>
      </c>
      <c r="S285" s="17" t="s">
        <v>1221</v>
      </c>
      <c r="T285" s="6" t="s">
        <v>24</v>
      </c>
      <c r="U285" s="6" t="s">
        <v>207</v>
      </c>
      <c r="V285" s="17" t="s">
        <v>3</v>
      </c>
      <c r="W285" s="6">
        <v>649</v>
      </c>
      <c r="X285" s="6" t="s">
        <v>208</v>
      </c>
    </row>
    <row r="286" spans="1:24" ht="67.5" x14ac:dyDescent="0.25">
      <c r="A286" s="6" t="s">
        <v>1222</v>
      </c>
      <c r="B286" s="14">
        <v>46140</v>
      </c>
      <c r="C286" s="14">
        <v>46140</v>
      </c>
      <c r="D286" s="6" t="s">
        <v>1223</v>
      </c>
      <c r="E286" s="6" t="s">
        <v>70</v>
      </c>
      <c r="F286" s="6" t="s">
        <v>70</v>
      </c>
      <c r="G286" s="6" t="s">
        <v>236</v>
      </c>
      <c r="H286" s="10">
        <v>296</v>
      </c>
      <c r="I286" s="6"/>
      <c r="J286" s="6"/>
      <c r="K286" s="6" t="s">
        <v>1224</v>
      </c>
      <c r="L286" s="10">
        <v>106</v>
      </c>
      <c r="M286" s="6"/>
      <c r="N286" s="6"/>
      <c r="O286" s="6"/>
      <c r="P286" s="17" t="s">
        <v>3</v>
      </c>
      <c r="Q286" s="6" t="s">
        <v>313</v>
      </c>
      <c r="R286" s="17" t="s">
        <v>1225</v>
      </c>
      <c r="S286" s="17" t="s">
        <v>1226</v>
      </c>
      <c r="T286" s="6" t="s">
        <v>25</v>
      </c>
      <c r="U286" s="6" t="s">
        <v>222</v>
      </c>
      <c r="V286" s="17" t="s">
        <v>404</v>
      </c>
      <c r="W286" s="6">
        <v>651</v>
      </c>
      <c r="X286" s="6" t="s">
        <v>224</v>
      </c>
    </row>
    <row r="287" spans="1:24" ht="67.5" x14ac:dyDescent="0.25">
      <c r="A287" s="6" t="s">
        <v>1227</v>
      </c>
      <c r="B287" s="14">
        <v>46140</v>
      </c>
      <c r="C287" s="14">
        <v>46140</v>
      </c>
      <c r="D287" s="6" t="s">
        <v>1228</v>
      </c>
      <c r="E287" s="6" t="s">
        <v>35</v>
      </c>
      <c r="F287" s="6" t="s">
        <v>35</v>
      </c>
      <c r="G287" s="6" t="s">
        <v>236</v>
      </c>
      <c r="H287" s="10">
        <v>210</v>
      </c>
      <c r="I287" s="6"/>
      <c r="J287" s="6"/>
      <c r="K287" s="6" t="s">
        <v>3</v>
      </c>
      <c r="L287" s="10">
        <v>105</v>
      </c>
      <c r="M287" s="6"/>
      <c r="N287" s="6"/>
      <c r="O287" s="6"/>
      <c r="P287" s="17" t="s">
        <v>3</v>
      </c>
      <c r="Q287" s="6" t="s">
        <v>211</v>
      </c>
      <c r="R287" s="17" t="s">
        <v>1229</v>
      </c>
      <c r="S287" s="17" t="s">
        <v>1230</v>
      </c>
      <c r="T287" s="6" t="s">
        <v>24</v>
      </c>
      <c r="U287" s="6" t="s">
        <v>207</v>
      </c>
      <c r="V287" s="17" t="s">
        <v>3</v>
      </c>
      <c r="W287" s="6">
        <v>648</v>
      </c>
      <c r="X287" s="6" t="s">
        <v>208</v>
      </c>
    </row>
    <row r="288" spans="1:24" ht="67.5" x14ac:dyDescent="0.25">
      <c r="A288" s="6" t="s">
        <v>1231</v>
      </c>
      <c r="B288" s="14">
        <v>46141</v>
      </c>
      <c r="C288" s="14">
        <v>46141</v>
      </c>
      <c r="D288" s="6" t="s">
        <v>1232</v>
      </c>
      <c r="E288" s="6" t="s">
        <v>70</v>
      </c>
      <c r="F288" s="6" t="s">
        <v>70</v>
      </c>
      <c r="G288" s="6" t="s">
        <v>236</v>
      </c>
      <c r="H288" s="10">
        <v>344</v>
      </c>
      <c r="I288" s="6"/>
      <c r="J288" s="6"/>
      <c r="K288" s="6" t="s">
        <v>1233</v>
      </c>
      <c r="L288" s="10">
        <v>112</v>
      </c>
      <c r="M288" s="6"/>
      <c r="N288" s="6"/>
      <c r="O288" s="6"/>
      <c r="P288" s="17" t="s">
        <v>3</v>
      </c>
      <c r="Q288" s="6" t="s">
        <v>313</v>
      </c>
      <c r="R288" s="17" t="s">
        <v>1234</v>
      </c>
      <c r="S288" s="17" t="s">
        <v>1235</v>
      </c>
      <c r="T288" s="6" t="s">
        <v>25</v>
      </c>
      <c r="U288" s="6" t="s">
        <v>222</v>
      </c>
      <c r="V288" s="17" t="s">
        <v>404</v>
      </c>
      <c r="W288" s="6">
        <v>654</v>
      </c>
      <c r="X288" s="6" t="s">
        <v>224</v>
      </c>
    </row>
    <row r="289" spans="1:24" ht="81" x14ac:dyDescent="0.25">
      <c r="A289" s="6" t="s">
        <v>1236</v>
      </c>
      <c r="B289" s="14">
        <v>46141</v>
      </c>
      <c r="C289" s="14">
        <v>46142</v>
      </c>
      <c r="D289" s="6" t="s">
        <v>1237</v>
      </c>
      <c r="E289" s="6" t="s">
        <v>35</v>
      </c>
      <c r="F289" s="6" t="s">
        <v>917</v>
      </c>
      <c r="G289" s="6" t="s">
        <v>236</v>
      </c>
      <c r="H289" s="10">
        <v>120</v>
      </c>
      <c r="I289" s="6"/>
      <c r="J289" s="6"/>
      <c r="K289" s="6" t="s">
        <v>3</v>
      </c>
      <c r="L289" s="10">
        <v>60</v>
      </c>
      <c r="M289" s="6"/>
      <c r="N289" s="6"/>
      <c r="O289" s="6"/>
      <c r="P289" s="17" t="s">
        <v>3</v>
      </c>
      <c r="Q289" s="6" t="s">
        <v>211</v>
      </c>
      <c r="R289" s="17" t="s">
        <v>3</v>
      </c>
      <c r="S289" s="17" t="s">
        <v>1238</v>
      </c>
      <c r="T289" s="6" t="s">
        <v>25</v>
      </c>
      <c r="U289" s="6" t="s">
        <v>222</v>
      </c>
      <c r="V289" s="17" t="s">
        <v>238</v>
      </c>
      <c r="W289" s="6">
        <v>656</v>
      </c>
      <c r="X289" s="6" t="s">
        <v>224</v>
      </c>
    </row>
    <row r="290" spans="1:24" ht="40.5" x14ac:dyDescent="0.25">
      <c r="A290" s="6" t="s">
        <v>1239</v>
      </c>
      <c r="B290" s="14">
        <v>46142</v>
      </c>
      <c r="C290" s="14">
        <v>46142</v>
      </c>
      <c r="D290" s="6" t="s">
        <v>1240</v>
      </c>
      <c r="E290" s="6" t="s">
        <v>49</v>
      </c>
      <c r="F290" s="6" t="s">
        <v>294</v>
      </c>
      <c r="G290" s="6" t="s">
        <v>263</v>
      </c>
      <c r="H290" s="10">
        <v>86</v>
      </c>
      <c r="I290" s="6"/>
      <c r="J290" s="6"/>
      <c r="K290" s="6" t="s">
        <v>3</v>
      </c>
      <c r="L290" s="6"/>
      <c r="M290" s="6"/>
      <c r="N290" s="6"/>
      <c r="O290" s="6"/>
      <c r="P290" s="17" t="s">
        <v>3</v>
      </c>
      <c r="Q290" s="6" t="s">
        <v>228</v>
      </c>
      <c r="R290" s="17" t="s">
        <v>3</v>
      </c>
      <c r="S290" s="17" t="s">
        <v>1241</v>
      </c>
      <c r="T290" s="6" t="s">
        <v>25</v>
      </c>
      <c r="U290" s="6" t="s">
        <v>222</v>
      </c>
      <c r="V290" s="17" t="s">
        <v>267</v>
      </c>
      <c r="W290" s="6">
        <v>657</v>
      </c>
      <c r="X290" s="6" t="s">
        <v>224</v>
      </c>
    </row>
    <row r="291" spans="1:24" ht="27" x14ac:dyDescent="0.25">
      <c r="A291" s="6" t="s">
        <v>1242</v>
      </c>
      <c r="B291" s="14">
        <v>46142</v>
      </c>
      <c r="C291" s="14">
        <v>46142</v>
      </c>
      <c r="D291" s="6" t="s">
        <v>1243</v>
      </c>
      <c r="E291" s="6" t="s">
        <v>49</v>
      </c>
      <c r="F291" s="6" t="s">
        <v>294</v>
      </c>
      <c r="G291" s="6" t="s">
        <v>236</v>
      </c>
      <c r="H291" s="10">
        <v>140</v>
      </c>
      <c r="I291" s="6"/>
      <c r="J291" s="6"/>
      <c r="K291" s="6" t="s">
        <v>3</v>
      </c>
      <c r="L291" s="6"/>
      <c r="M291" s="6"/>
      <c r="N291" s="6"/>
      <c r="O291" s="6"/>
      <c r="P291" s="17" t="s">
        <v>3</v>
      </c>
      <c r="Q291" s="6" t="s">
        <v>228</v>
      </c>
      <c r="R291" s="17" t="s">
        <v>3</v>
      </c>
      <c r="S291" s="17" t="s">
        <v>1189</v>
      </c>
      <c r="T291" s="6" t="s">
        <v>25</v>
      </c>
      <c r="U291" s="6" t="s">
        <v>222</v>
      </c>
      <c r="V291" s="17" t="s">
        <v>1244</v>
      </c>
      <c r="W291" s="6">
        <v>658</v>
      </c>
      <c r="X291" s="6" t="s">
        <v>224</v>
      </c>
    </row>
    <row r="292" spans="1:24" ht="67.5" x14ac:dyDescent="0.25">
      <c r="A292" s="6" t="s">
        <v>1245</v>
      </c>
      <c r="B292" s="14">
        <v>46142</v>
      </c>
      <c r="C292" s="14">
        <v>46142</v>
      </c>
      <c r="D292" s="6" t="s">
        <v>1246</v>
      </c>
      <c r="E292" s="6" t="s">
        <v>71</v>
      </c>
      <c r="F292" s="6" t="s">
        <v>71</v>
      </c>
      <c r="G292" s="6" t="s">
        <v>236</v>
      </c>
      <c r="H292" s="10">
        <v>260</v>
      </c>
      <c r="I292" s="6"/>
      <c r="J292" s="6"/>
      <c r="K292" s="6" t="s">
        <v>3</v>
      </c>
      <c r="L292" s="10">
        <v>84</v>
      </c>
      <c r="M292" s="6"/>
      <c r="N292" s="6"/>
      <c r="O292" s="6"/>
      <c r="P292" s="17" t="s">
        <v>3</v>
      </c>
      <c r="Q292" s="6" t="s">
        <v>313</v>
      </c>
      <c r="R292" s="17" t="s">
        <v>1247</v>
      </c>
      <c r="S292" s="17" t="s">
        <v>1248</v>
      </c>
      <c r="T292" s="6" t="s">
        <v>24</v>
      </c>
      <c r="U292" s="6" t="s">
        <v>207</v>
      </c>
      <c r="V292" s="17" t="s">
        <v>3</v>
      </c>
      <c r="W292" s="6">
        <v>659</v>
      </c>
      <c r="X292" s="6" t="s">
        <v>208</v>
      </c>
    </row>
    <row r="293" spans="1:24" ht="54" x14ac:dyDescent="0.25">
      <c r="A293" s="6" t="s">
        <v>1249</v>
      </c>
      <c r="B293" s="14">
        <v>46142</v>
      </c>
      <c r="C293" s="14">
        <v>46111</v>
      </c>
      <c r="D293" s="6" t="s">
        <v>1250</v>
      </c>
      <c r="E293" s="6" t="s">
        <v>40</v>
      </c>
      <c r="F293" s="6" t="s">
        <v>40</v>
      </c>
      <c r="G293" s="6" t="s">
        <v>236</v>
      </c>
      <c r="H293" s="10">
        <v>305</v>
      </c>
      <c r="I293" s="6"/>
      <c r="J293" s="6"/>
      <c r="K293" s="6" t="s">
        <v>3</v>
      </c>
      <c r="L293" s="10">
        <v>121</v>
      </c>
      <c r="M293" s="6"/>
      <c r="N293" s="6"/>
      <c r="O293" s="6"/>
      <c r="P293" s="17" t="s">
        <v>3</v>
      </c>
      <c r="Q293" s="6" t="s">
        <v>313</v>
      </c>
      <c r="R293" s="17" t="s">
        <v>1251</v>
      </c>
      <c r="S293" s="17" t="s">
        <v>1252</v>
      </c>
      <c r="T293" s="6" t="s">
        <v>25</v>
      </c>
      <c r="U293" s="6" t="s">
        <v>222</v>
      </c>
      <c r="V293" s="17" t="s">
        <v>1253</v>
      </c>
      <c r="W293" s="6">
        <v>572</v>
      </c>
      <c r="X293" s="6" t="s">
        <v>224</v>
      </c>
    </row>
    <row r="294" spans="1:24" ht="67.5" x14ac:dyDescent="0.25">
      <c r="A294" s="6" t="s">
        <v>1254</v>
      </c>
      <c r="B294" s="14">
        <v>46143</v>
      </c>
      <c r="C294" s="14">
        <v>46143</v>
      </c>
      <c r="D294" s="6" t="s">
        <v>1255</v>
      </c>
      <c r="E294" s="6" t="s">
        <v>35</v>
      </c>
      <c r="F294" s="6" t="s">
        <v>917</v>
      </c>
      <c r="G294" s="6" t="s">
        <v>204</v>
      </c>
      <c r="H294" s="10">
        <v>163</v>
      </c>
      <c r="I294" s="6"/>
      <c r="J294" s="6"/>
      <c r="K294" s="6" t="s">
        <v>1256</v>
      </c>
      <c r="L294" s="6"/>
      <c r="M294" s="6"/>
      <c r="N294" s="6"/>
      <c r="O294" s="6"/>
      <c r="P294" s="17" t="s">
        <v>3</v>
      </c>
      <c r="Q294" s="6" t="s">
        <v>313</v>
      </c>
      <c r="R294" s="17" t="s">
        <v>3</v>
      </c>
      <c r="S294" s="17" t="s">
        <v>1257</v>
      </c>
      <c r="T294" s="6" t="s">
        <v>25</v>
      </c>
      <c r="U294" s="6" t="s">
        <v>222</v>
      </c>
      <c r="V294" s="17" t="s">
        <v>238</v>
      </c>
      <c r="W294" s="6">
        <v>660</v>
      </c>
      <c r="X294" s="6" t="s">
        <v>224</v>
      </c>
    </row>
    <row r="295" spans="1:24" ht="67.5" x14ac:dyDescent="0.25">
      <c r="A295" s="6" t="s">
        <v>1258</v>
      </c>
      <c r="B295" s="14">
        <v>46144</v>
      </c>
      <c r="C295" s="14">
        <v>46144</v>
      </c>
      <c r="D295" s="6" t="s">
        <v>1259</v>
      </c>
      <c r="E295" s="6" t="s">
        <v>40</v>
      </c>
      <c r="F295" s="6" t="s">
        <v>40</v>
      </c>
      <c r="G295" s="6" t="s">
        <v>236</v>
      </c>
      <c r="H295" s="6"/>
      <c r="I295" s="6"/>
      <c r="J295" s="6"/>
      <c r="K295" s="6" t="s">
        <v>3</v>
      </c>
      <c r="L295" s="10">
        <v>5</v>
      </c>
      <c r="M295" s="6"/>
      <c r="N295" s="6"/>
      <c r="O295" s="6"/>
      <c r="P295" s="17" t="s">
        <v>3</v>
      </c>
      <c r="Q295" s="6" t="s">
        <v>313</v>
      </c>
      <c r="R295" s="17" t="s">
        <v>3</v>
      </c>
      <c r="S295" s="17" t="s">
        <v>1260</v>
      </c>
      <c r="T295" s="6" t="s">
        <v>26</v>
      </c>
      <c r="U295" s="6" t="s">
        <v>222</v>
      </c>
      <c r="V295" s="17" t="s">
        <v>924</v>
      </c>
      <c r="W295" s="6">
        <v>661</v>
      </c>
      <c r="X295" s="6" t="s">
        <v>224</v>
      </c>
    </row>
    <row r="296" spans="1:24" ht="54" x14ac:dyDescent="0.25">
      <c r="A296" s="6" t="s">
        <v>1261</v>
      </c>
      <c r="B296" s="14">
        <v>46147</v>
      </c>
      <c r="C296" s="14">
        <v>46147</v>
      </c>
      <c r="D296" s="6" t="s">
        <v>1262</v>
      </c>
      <c r="E296" s="6" t="s">
        <v>35</v>
      </c>
      <c r="F296" s="6" t="s">
        <v>35</v>
      </c>
      <c r="G296" s="6" t="s">
        <v>204</v>
      </c>
      <c r="H296" s="10">
        <v>70</v>
      </c>
      <c r="I296" s="6"/>
      <c r="J296" s="6"/>
      <c r="K296" s="6" t="s">
        <v>3</v>
      </c>
      <c r="L296" s="6"/>
      <c r="M296" s="10">
        <v>85</v>
      </c>
      <c r="N296" s="6"/>
      <c r="O296" s="6"/>
      <c r="P296" s="17" t="s">
        <v>3</v>
      </c>
      <c r="Q296" s="6" t="s">
        <v>211</v>
      </c>
      <c r="R296" s="17" t="s">
        <v>3</v>
      </c>
      <c r="S296" s="17" t="s">
        <v>1263</v>
      </c>
      <c r="T296" s="6" t="s">
        <v>24</v>
      </c>
      <c r="U296" s="6" t="s">
        <v>207</v>
      </c>
      <c r="V296" s="17" t="s">
        <v>3</v>
      </c>
      <c r="W296" s="6">
        <v>662</v>
      </c>
      <c r="X296" s="6" t="s">
        <v>208</v>
      </c>
    </row>
    <row r="297" spans="1:24" ht="40.5" x14ac:dyDescent="0.25">
      <c r="A297" s="6" t="s">
        <v>1264</v>
      </c>
      <c r="B297" s="14">
        <v>46148</v>
      </c>
      <c r="C297" s="14">
        <v>46149</v>
      </c>
      <c r="D297" s="6" t="s">
        <v>1265</v>
      </c>
      <c r="E297" s="6" t="s">
        <v>103</v>
      </c>
      <c r="F297" s="6" t="s">
        <v>103</v>
      </c>
      <c r="G297" s="6" t="s">
        <v>1266</v>
      </c>
      <c r="H297" s="6"/>
      <c r="I297" s="6"/>
      <c r="J297" s="6"/>
      <c r="K297" s="6" t="s">
        <v>3</v>
      </c>
      <c r="L297" s="6"/>
      <c r="M297" s="6"/>
      <c r="N297" s="6"/>
      <c r="O297" s="6"/>
      <c r="P297" s="17" t="s">
        <v>3</v>
      </c>
      <c r="Q297" s="6" t="s">
        <v>812</v>
      </c>
      <c r="R297" s="17" t="s">
        <v>3</v>
      </c>
      <c r="S297" s="17" t="s">
        <v>1267</v>
      </c>
      <c r="T297" s="6" t="s">
        <v>25</v>
      </c>
      <c r="U297" s="6" t="s">
        <v>222</v>
      </c>
      <c r="V297" s="17" t="s">
        <v>223</v>
      </c>
      <c r="W297" s="6">
        <v>666</v>
      </c>
      <c r="X297" s="6" t="s">
        <v>224</v>
      </c>
    </row>
    <row r="298" spans="1:24" ht="27" x14ac:dyDescent="0.25">
      <c r="A298" s="6" t="s">
        <v>1268</v>
      </c>
      <c r="B298" s="14">
        <v>46148</v>
      </c>
      <c r="C298" s="14">
        <v>46148</v>
      </c>
      <c r="D298" s="6" t="s">
        <v>1269</v>
      </c>
      <c r="E298" s="6" t="s">
        <v>49</v>
      </c>
      <c r="F298" s="6" t="s">
        <v>294</v>
      </c>
      <c r="G298" s="6" t="s">
        <v>236</v>
      </c>
      <c r="H298" s="10">
        <v>140</v>
      </c>
      <c r="I298" s="6"/>
      <c r="J298" s="6"/>
      <c r="K298" s="6" t="s">
        <v>3</v>
      </c>
      <c r="L298" s="6"/>
      <c r="M298" s="6"/>
      <c r="N298" s="6"/>
      <c r="O298" s="6"/>
      <c r="P298" s="17" t="s">
        <v>3</v>
      </c>
      <c r="Q298" s="6" t="s">
        <v>228</v>
      </c>
      <c r="R298" s="17" t="s">
        <v>3</v>
      </c>
      <c r="S298" s="17" t="s">
        <v>1189</v>
      </c>
      <c r="T298" s="6" t="s">
        <v>25</v>
      </c>
      <c r="U298" s="6" t="s">
        <v>222</v>
      </c>
      <c r="V298" s="17" t="s">
        <v>1244</v>
      </c>
      <c r="W298" s="6">
        <v>664</v>
      </c>
      <c r="X298" s="6" t="s">
        <v>224</v>
      </c>
    </row>
    <row r="299" spans="1:24" ht="81" x14ac:dyDescent="0.25">
      <c r="A299" s="6" t="s">
        <v>1270</v>
      </c>
      <c r="B299" s="14">
        <v>46148</v>
      </c>
      <c r="C299" s="14">
        <v>46148</v>
      </c>
      <c r="D299" s="6" t="s">
        <v>1271</v>
      </c>
      <c r="E299" s="6" t="s">
        <v>35</v>
      </c>
      <c r="F299" s="6" t="s">
        <v>917</v>
      </c>
      <c r="G299" s="6" t="s">
        <v>236</v>
      </c>
      <c r="H299" s="10">
        <v>140</v>
      </c>
      <c r="I299" s="6"/>
      <c r="J299" s="6"/>
      <c r="K299" s="6" t="s">
        <v>3</v>
      </c>
      <c r="L299" s="10">
        <v>75</v>
      </c>
      <c r="M299" s="6"/>
      <c r="N299" s="6"/>
      <c r="O299" s="6"/>
      <c r="P299" s="17" t="s">
        <v>3</v>
      </c>
      <c r="Q299" s="6" t="s">
        <v>211</v>
      </c>
      <c r="R299" s="17" t="s">
        <v>1272</v>
      </c>
      <c r="S299" s="17" t="s">
        <v>1273</v>
      </c>
      <c r="T299" s="6" t="s">
        <v>24</v>
      </c>
      <c r="U299" s="6" t="s">
        <v>207</v>
      </c>
      <c r="V299" s="17" t="s">
        <v>3</v>
      </c>
      <c r="W299" s="6">
        <v>665</v>
      </c>
      <c r="X299" s="6" t="s">
        <v>208</v>
      </c>
    </row>
    <row r="300" spans="1:24" ht="81" x14ac:dyDescent="0.25">
      <c r="A300" s="6" t="s">
        <v>1274</v>
      </c>
      <c r="B300" s="14">
        <v>46148</v>
      </c>
      <c r="C300" s="14">
        <v>46148</v>
      </c>
      <c r="D300" s="6" t="s">
        <v>1271</v>
      </c>
      <c r="E300" s="6" t="s">
        <v>35</v>
      </c>
      <c r="F300" s="6" t="s">
        <v>917</v>
      </c>
      <c r="G300" s="6" t="s">
        <v>1275</v>
      </c>
      <c r="H300" s="10">
        <v>15</v>
      </c>
      <c r="I300" s="6"/>
      <c r="J300" s="6"/>
      <c r="K300" s="6" t="s">
        <v>3</v>
      </c>
      <c r="L300" s="10">
        <v>75</v>
      </c>
      <c r="M300" s="6"/>
      <c r="N300" s="6"/>
      <c r="O300" s="6"/>
      <c r="P300" s="17" t="s">
        <v>3</v>
      </c>
      <c r="Q300" s="6" t="s">
        <v>211</v>
      </c>
      <c r="R300" s="17" t="s">
        <v>1272</v>
      </c>
      <c r="S300" s="17" t="s">
        <v>1273</v>
      </c>
      <c r="T300" s="6" t="s">
        <v>24</v>
      </c>
      <c r="U300" s="6" t="s">
        <v>207</v>
      </c>
      <c r="V300" s="17" t="s">
        <v>3</v>
      </c>
      <c r="W300" s="6">
        <v>665</v>
      </c>
      <c r="X300" s="6" t="s">
        <v>208</v>
      </c>
    </row>
    <row r="301" spans="1:24" ht="54" x14ac:dyDescent="0.25">
      <c r="A301" s="6" t="s">
        <v>1276</v>
      </c>
      <c r="B301" s="14">
        <v>46149</v>
      </c>
      <c r="C301" s="14">
        <v>46149</v>
      </c>
      <c r="D301" s="6" t="s">
        <v>1277</v>
      </c>
      <c r="E301" s="6" t="s">
        <v>66</v>
      </c>
      <c r="F301" s="6" t="s">
        <v>66</v>
      </c>
      <c r="G301" s="6" t="s">
        <v>236</v>
      </c>
      <c r="H301" s="10">
        <v>330</v>
      </c>
      <c r="I301" s="6"/>
      <c r="J301" s="6"/>
      <c r="K301" s="6" t="s">
        <v>3</v>
      </c>
      <c r="L301" s="10">
        <v>105</v>
      </c>
      <c r="M301" s="6"/>
      <c r="N301" s="6"/>
      <c r="O301" s="6"/>
      <c r="P301" s="17" t="s">
        <v>3</v>
      </c>
      <c r="Q301" s="6" t="s">
        <v>313</v>
      </c>
      <c r="R301" s="17" t="s">
        <v>3</v>
      </c>
      <c r="S301" s="17" t="s">
        <v>1278</v>
      </c>
      <c r="T301" s="6" t="s">
        <v>24</v>
      </c>
      <c r="U301" s="6" t="s">
        <v>207</v>
      </c>
      <c r="V301" s="17" t="s">
        <v>3</v>
      </c>
      <c r="W301" s="6">
        <v>669</v>
      </c>
      <c r="X301" s="6" t="s">
        <v>208</v>
      </c>
    </row>
    <row r="302" spans="1:24" ht="27" x14ac:dyDescent="0.25">
      <c r="A302" s="6" t="s">
        <v>1279</v>
      </c>
      <c r="B302" s="14">
        <v>46149</v>
      </c>
      <c r="C302" s="14">
        <v>46149</v>
      </c>
      <c r="D302" s="6" t="s">
        <v>1280</v>
      </c>
      <c r="E302" s="6" t="s">
        <v>49</v>
      </c>
      <c r="F302" s="6" t="s">
        <v>294</v>
      </c>
      <c r="G302" s="6" t="s">
        <v>236</v>
      </c>
      <c r="H302" s="10">
        <v>152</v>
      </c>
      <c r="I302" s="6"/>
      <c r="J302" s="6"/>
      <c r="K302" s="6" t="s">
        <v>3</v>
      </c>
      <c r="L302" s="6"/>
      <c r="M302" s="6"/>
      <c r="N302" s="6"/>
      <c r="O302" s="6"/>
      <c r="P302" s="17" t="s">
        <v>3</v>
      </c>
      <c r="Q302" s="6" t="s">
        <v>228</v>
      </c>
      <c r="R302" s="17" t="s">
        <v>3</v>
      </c>
      <c r="S302" s="17" t="s">
        <v>1281</v>
      </c>
      <c r="T302" s="6" t="s">
        <v>24</v>
      </c>
      <c r="U302" s="6" t="s">
        <v>207</v>
      </c>
      <c r="V302" s="17" t="s">
        <v>3</v>
      </c>
      <c r="W302" s="6">
        <v>667</v>
      </c>
      <c r="X302" s="6" t="s">
        <v>208</v>
      </c>
    </row>
    <row r="303" spans="1:24" ht="108" x14ac:dyDescent="0.25">
      <c r="A303" s="6" t="s">
        <v>1282</v>
      </c>
      <c r="B303" s="14">
        <v>46149</v>
      </c>
      <c r="C303" s="14">
        <v>46149</v>
      </c>
      <c r="D303" s="6" t="s">
        <v>1283</v>
      </c>
      <c r="E303" s="6" t="s">
        <v>56</v>
      </c>
      <c r="F303" s="6" t="s">
        <v>922</v>
      </c>
      <c r="G303" s="6" t="s">
        <v>817</v>
      </c>
      <c r="H303" s="6"/>
      <c r="I303" s="6"/>
      <c r="J303" s="6"/>
      <c r="K303" s="6" t="s">
        <v>3</v>
      </c>
      <c r="L303" s="6"/>
      <c r="M303" s="6"/>
      <c r="N303" s="6"/>
      <c r="O303" s="6"/>
      <c r="P303" s="17" t="s">
        <v>3</v>
      </c>
      <c r="Q303" s="6" t="s">
        <v>812</v>
      </c>
      <c r="R303" s="17" t="s">
        <v>1284</v>
      </c>
      <c r="S303" s="17" t="s">
        <v>1285</v>
      </c>
      <c r="T303" s="6" t="s">
        <v>25</v>
      </c>
      <c r="U303" s="6" t="s">
        <v>222</v>
      </c>
      <c r="V303" s="17" t="s">
        <v>223</v>
      </c>
      <c r="W303" s="6">
        <v>668</v>
      </c>
      <c r="X303" s="6" t="s">
        <v>224</v>
      </c>
    </row>
    <row r="304" spans="1:24" ht="40.5" x14ac:dyDescent="0.25">
      <c r="A304" s="6" t="s">
        <v>1286</v>
      </c>
      <c r="B304" s="14">
        <v>46150</v>
      </c>
      <c r="C304" s="14">
        <v>46150</v>
      </c>
      <c r="D304" s="6" t="s">
        <v>1287</v>
      </c>
      <c r="E304" s="6" t="s">
        <v>108</v>
      </c>
      <c r="F304" s="6" t="s">
        <v>108</v>
      </c>
      <c r="G304" s="6" t="s">
        <v>204</v>
      </c>
      <c r="H304" s="6"/>
      <c r="I304" s="6"/>
      <c r="J304" s="6"/>
      <c r="K304" s="6" t="s">
        <v>3</v>
      </c>
      <c r="L304" s="6"/>
      <c r="M304" s="6"/>
      <c r="N304" s="6"/>
      <c r="O304" s="6"/>
      <c r="P304" s="17" t="s">
        <v>3</v>
      </c>
      <c r="Q304" s="6" t="s">
        <v>313</v>
      </c>
      <c r="R304" s="17" t="s">
        <v>3</v>
      </c>
      <c r="S304" s="17" t="s">
        <v>1288</v>
      </c>
      <c r="T304" s="6" t="s">
        <v>25</v>
      </c>
      <c r="U304" s="6" t="s">
        <v>222</v>
      </c>
      <c r="V304" s="17" t="s">
        <v>223</v>
      </c>
      <c r="W304" s="6">
        <v>671</v>
      </c>
      <c r="X304" s="6" t="s">
        <v>224</v>
      </c>
    </row>
    <row r="305" spans="1:24" ht="27" x14ac:dyDescent="0.25">
      <c r="A305" s="6" t="s">
        <v>1289</v>
      </c>
      <c r="B305" s="14">
        <v>46150</v>
      </c>
      <c r="C305" s="14">
        <v>46150</v>
      </c>
      <c r="D305" s="6" t="s">
        <v>1290</v>
      </c>
      <c r="E305" s="6" t="s">
        <v>49</v>
      </c>
      <c r="F305" s="6" t="s">
        <v>294</v>
      </c>
      <c r="G305" s="6" t="s">
        <v>236</v>
      </c>
      <c r="H305" s="10">
        <v>92</v>
      </c>
      <c r="I305" s="6"/>
      <c r="J305" s="6"/>
      <c r="K305" s="6" t="s">
        <v>3</v>
      </c>
      <c r="L305" s="6"/>
      <c r="M305" s="6"/>
      <c r="N305" s="6"/>
      <c r="O305" s="6"/>
      <c r="P305" s="17" t="s">
        <v>3</v>
      </c>
      <c r="Q305" s="6" t="s">
        <v>228</v>
      </c>
      <c r="R305" s="17" t="s">
        <v>3</v>
      </c>
      <c r="S305" s="17" t="s">
        <v>1291</v>
      </c>
      <c r="T305" s="6" t="s">
        <v>24</v>
      </c>
      <c r="U305" s="6" t="s">
        <v>207</v>
      </c>
      <c r="V305" s="17" t="s">
        <v>3</v>
      </c>
      <c r="W305" s="6">
        <v>670</v>
      </c>
      <c r="X305" s="6" t="s">
        <v>208</v>
      </c>
    </row>
    <row r="306" spans="1:24" ht="40.5" x14ac:dyDescent="0.25">
      <c r="A306" s="6" t="s">
        <v>1292</v>
      </c>
      <c r="B306" s="14">
        <v>46150</v>
      </c>
      <c r="C306" s="14">
        <v>46150</v>
      </c>
      <c r="D306" s="6" t="s">
        <v>1293</v>
      </c>
      <c r="E306" s="6" t="s">
        <v>118</v>
      </c>
      <c r="F306" s="6" t="s">
        <v>118</v>
      </c>
      <c r="G306" s="6" t="s">
        <v>204</v>
      </c>
      <c r="H306" s="6"/>
      <c r="I306" s="6"/>
      <c r="J306" s="6"/>
      <c r="K306" s="6" t="s">
        <v>3</v>
      </c>
      <c r="L306" s="6"/>
      <c r="M306" s="10">
        <v>18</v>
      </c>
      <c r="N306" s="6"/>
      <c r="O306" s="6"/>
      <c r="P306" s="17" t="s">
        <v>3</v>
      </c>
      <c r="Q306" s="6" t="s">
        <v>205</v>
      </c>
      <c r="R306" s="17" t="s">
        <v>3</v>
      </c>
      <c r="S306" s="17" t="s">
        <v>1294</v>
      </c>
      <c r="T306" s="6" t="s">
        <v>25</v>
      </c>
      <c r="U306" s="6" t="s">
        <v>222</v>
      </c>
      <c r="V306" s="17" t="s">
        <v>223</v>
      </c>
      <c r="W306" s="6">
        <v>673</v>
      </c>
      <c r="X306" s="6" t="s">
        <v>224</v>
      </c>
    </row>
    <row r="307" spans="1:24" ht="67.5" x14ac:dyDescent="0.25">
      <c r="A307" s="6" t="s">
        <v>1295</v>
      </c>
      <c r="B307" s="14">
        <v>46151</v>
      </c>
      <c r="C307" s="14">
        <v>46151</v>
      </c>
      <c r="D307" s="6" t="s">
        <v>1296</v>
      </c>
      <c r="E307" s="6" t="s">
        <v>114</v>
      </c>
      <c r="F307" s="6" t="s">
        <v>114</v>
      </c>
      <c r="G307" s="6" t="s">
        <v>236</v>
      </c>
      <c r="H307" s="10">
        <v>50</v>
      </c>
      <c r="I307" s="6"/>
      <c r="J307" s="6"/>
      <c r="K307" s="6" t="s">
        <v>3</v>
      </c>
      <c r="L307" s="10">
        <v>23</v>
      </c>
      <c r="M307" s="6"/>
      <c r="N307" s="6"/>
      <c r="O307" s="6"/>
      <c r="P307" s="17" t="s">
        <v>3</v>
      </c>
      <c r="Q307" s="6" t="s">
        <v>313</v>
      </c>
      <c r="R307" s="17" t="s">
        <v>3</v>
      </c>
      <c r="S307" s="17" t="s">
        <v>1297</v>
      </c>
      <c r="T307" s="6" t="s">
        <v>24</v>
      </c>
      <c r="U307" s="6" t="s">
        <v>207</v>
      </c>
      <c r="V307" s="17" t="s">
        <v>3</v>
      </c>
      <c r="W307" s="6">
        <v>674</v>
      </c>
      <c r="X307" s="6" t="s">
        <v>208</v>
      </c>
    </row>
    <row r="308" spans="1:24" ht="27" x14ac:dyDescent="0.25">
      <c r="A308" s="6" t="s">
        <v>1298</v>
      </c>
      <c r="B308" s="14">
        <v>46153</v>
      </c>
      <c r="C308" s="14">
        <v>46153</v>
      </c>
      <c r="D308" s="6" t="s">
        <v>1299</v>
      </c>
      <c r="E308" s="6" t="s">
        <v>49</v>
      </c>
      <c r="F308" s="6" t="s">
        <v>294</v>
      </c>
      <c r="G308" s="6" t="s">
        <v>236</v>
      </c>
      <c r="H308" s="10">
        <v>105</v>
      </c>
      <c r="I308" s="6"/>
      <c r="J308" s="6"/>
      <c r="K308" s="6" t="s">
        <v>3</v>
      </c>
      <c r="L308" s="6"/>
      <c r="M308" s="6"/>
      <c r="N308" s="6"/>
      <c r="O308" s="6"/>
      <c r="P308" s="17" t="s">
        <v>3</v>
      </c>
      <c r="Q308" s="6" t="s">
        <v>228</v>
      </c>
      <c r="R308" s="17" t="s">
        <v>3</v>
      </c>
      <c r="S308" s="17" t="s">
        <v>1300</v>
      </c>
      <c r="T308" s="6" t="s">
        <v>24</v>
      </c>
      <c r="U308" s="6" t="s">
        <v>207</v>
      </c>
      <c r="V308" s="17" t="s">
        <v>3</v>
      </c>
      <c r="W308" s="6">
        <v>678</v>
      </c>
      <c r="X308" s="6" t="s">
        <v>208</v>
      </c>
    </row>
    <row r="309" spans="1:24" ht="54" x14ac:dyDescent="0.25">
      <c r="A309" s="6" t="s">
        <v>1301</v>
      </c>
      <c r="B309" s="14">
        <v>46153</v>
      </c>
      <c r="C309" s="14">
        <v>46153</v>
      </c>
      <c r="D309" s="6" t="s">
        <v>1302</v>
      </c>
      <c r="E309" s="6" t="s">
        <v>58</v>
      </c>
      <c r="F309" s="6" t="s">
        <v>58</v>
      </c>
      <c r="G309" s="6" t="s">
        <v>204</v>
      </c>
      <c r="H309" s="10">
        <v>328</v>
      </c>
      <c r="I309" s="6"/>
      <c r="J309" s="6"/>
      <c r="K309" s="6" t="s">
        <v>3</v>
      </c>
      <c r="L309" s="6"/>
      <c r="M309" s="10">
        <v>50</v>
      </c>
      <c r="N309" s="6"/>
      <c r="O309" s="6"/>
      <c r="P309" s="17" t="s">
        <v>3</v>
      </c>
      <c r="Q309" s="6" t="s">
        <v>205</v>
      </c>
      <c r="R309" s="17" t="s">
        <v>3</v>
      </c>
      <c r="S309" s="17" t="s">
        <v>1303</v>
      </c>
      <c r="T309" s="6" t="s">
        <v>24</v>
      </c>
      <c r="U309" s="6" t="s">
        <v>207</v>
      </c>
      <c r="V309" s="17" t="s">
        <v>3</v>
      </c>
      <c r="W309" s="6">
        <v>679</v>
      </c>
      <c r="X309" s="6" t="s">
        <v>208</v>
      </c>
    </row>
    <row r="310" spans="1:24" ht="27" x14ac:dyDescent="0.25">
      <c r="A310" s="6" t="s">
        <v>1304</v>
      </c>
      <c r="B310" s="14">
        <v>46153</v>
      </c>
      <c r="C310" s="14">
        <v>46153</v>
      </c>
      <c r="D310" s="6" t="s">
        <v>1305</v>
      </c>
      <c r="E310" s="6" t="s">
        <v>137</v>
      </c>
      <c r="F310" s="6" t="s">
        <v>137</v>
      </c>
      <c r="G310" s="6" t="s">
        <v>263</v>
      </c>
      <c r="H310" s="10">
        <v>200</v>
      </c>
      <c r="I310" s="6"/>
      <c r="J310" s="6"/>
      <c r="K310" s="6" t="s">
        <v>3</v>
      </c>
      <c r="L310" s="6"/>
      <c r="M310" s="6"/>
      <c r="N310" s="6"/>
      <c r="O310" s="6"/>
      <c r="P310" s="17" t="s">
        <v>3</v>
      </c>
      <c r="Q310" s="6" t="s">
        <v>265</v>
      </c>
      <c r="R310" s="17" t="s">
        <v>1306</v>
      </c>
      <c r="S310" s="17" t="s">
        <v>1307</v>
      </c>
      <c r="T310" s="6" t="s">
        <v>25</v>
      </c>
      <c r="U310" s="6" t="s">
        <v>222</v>
      </c>
      <c r="V310" s="17" t="s">
        <v>479</v>
      </c>
      <c r="W310" s="6">
        <v>676</v>
      </c>
      <c r="X310" s="6" t="s">
        <v>224</v>
      </c>
    </row>
    <row r="311" spans="1:24" ht="67.5" x14ac:dyDescent="0.25">
      <c r="A311" s="6" t="s">
        <v>1308</v>
      </c>
      <c r="B311" s="14">
        <v>46153</v>
      </c>
      <c r="C311" s="14">
        <v>46154</v>
      </c>
      <c r="D311" s="6" t="s">
        <v>1309</v>
      </c>
      <c r="E311" s="6" t="s">
        <v>77</v>
      </c>
      <c r="F311" s="6" t="s">
        <v>77</v>
      </c>
      <c r="G311" s="6" t="s">
        <v>236</v>
      </c>
      <c r="H311" s="10">
        <v>260</v>
      </c>
      <c r="I311" s="6"/>
      <c r="J311" s="6"/>
      <c r="K311" s="6" t="s">
        <v>3</v>
      </c>
      <c r="L311" s="10">
        <v>119</v>
      </c>
      <c r="M311" s="6"/>
      <c r="N311" s="6"/>
      <c r="O311" s="6"/>
      <c r="P311" s="17" t="s">
        <v>3</v>
      </c>
      <c r="Q311" s="6" t="s">
        <v>313</v>
      </c>
      <c r="R311" s="17" t="s">
        <v>1310</v>
      </c>
      <c r="S311" s="17" t="s">
        <v>1311</v>
      </c>
      <c r="T311" s="6" t="s">
        <v>24</v>
      </c>
      <c r="U311" s="6" t="s">
        <v>207</v>
      </c>
      <c r="V311" s="17" t="s">
        <v>3</v>
      </c>
      <c r="W311" s="6">
        <v>681</v>
      </c>
      <c r="X311" s="6" t="s">
        <v>208</v>
      </c>
    </row>
    <row r="312" spans="1:24" ht="54" x14ac:dyDescent="0.25">
      <c r="A312" s="6" t="s">
        <v>1312</v>
      </c>
      <c r="B312" s="14">
        <v>46153</v>
      </c>
      <c r="C312" s="14">
        <v>46153</v>
      </c>
      <c r="D312" s="6" t="s">
        <v>1313</v>
      </c>
      <c r="E312" s="6" t="s">
        <v>35</v>
      </c>
      <c r="F312" s="6" t="s">
        <v>917</v>
      </c>
      <c r="G312" s="6" t="s">
        <v>236</v>
      </c>
      <c r="H312" s="10">
        <v>192</v>
      </c>
      <c r="I312" s="6"/>
      <c r="J312" s="6"/>
      <c r="K312" s="6" t="s">
        <v>3</v>
      </c>
      <c r="L312" s="10">
        <v>75</v>
      </c>
      <c r="M312" s="6"/>
      <c r="N312" s="6"/>
      <c r="O312" s="6"/>
      <c r="P312" s="17" t="s">
        <v>3</v>
      </c>
      <c r="Q312" s="6" t="s">
        <v>211</v>
      </c>
      <c r="R312" s="17" t="s">
        <v>3</v>
      </c>
      <c r="S312" s="17" t="s">
        <v>1314</v>
      </c>
      <c r="T312" s="6" t="s">
        <v>24</v>
      </c>
      <c r="U312" s="6" t="s">
        <v>207</v>
      </c>
      <c r="V312" s="17" t="s">
        <v>3</v>
      </c>
      <c r="W312" s="6">
        <v>680</v>
      </c>
      <c r="X312" s="6" t="s">
        <v>208</v>
      </c>
    </row>
    <row r="313" spans="1:24" ht="27" x14ac:dyDescent="0.25">
      <c r="A313" s="6" t="s">
        <v>1315</v>
      </c>
      <c r="B313" s="14">
        <v>46154</v>
      </c>
      <c r="C313" s="14">
        <v>46154</v>
      </c>
      <c r="D313" s="6" t="s">
        <v>1316</v>
      </c>
      <c r="E313" s="6" t="s">
        <v>49</v>
      </c>
      <c r="F313" s="6" t="s">
        <v>294</v>
      </c>
      <c r="G313" s="6" t="s">
        <v>236</v>
      </c>
      <c r="H313" s="10">
        <v>120</v>
      </c>
      <c r="I313" s="6"/>
      <c r="J313" s="6"/>
      <c r="K313" s="6" t="s">
        <v>3</v>
      </c>
      <c r="L313" s="6"/>
      <c r="M313" s="6"/>
      <c r="N313" s="6"/>
      <c r="O313" s="6"/>
      <c r="P313" s="17" t="s">
        <v>3</v>
      </c>
      <c r="Q313" s="6" t="s">
        <v>228</v>
      </c>
      <c r="R313" s="17" t="s">
        <v>3</v>
      </c>
      <c r="S313" s="17" t="s">
        <v>1317</v>
      </c>
      <c r="T313" s="6" t="s">
        <v>24</v>
      </c>
      <c r="U313" s="6" t="s">
        <v>207</v>
      </c>
      <c r="V313" s="17" t="s">
        <v>3</v>
      </c>
      <c r="W313" s="6">
        <v>682</v>
      </c>
      <c r="X313" s="6" t="s">
        <v>208</v>
      </c>
    </row>
    <row r="314" spans="1:24" ht="40.5" x14ac:dyDescent="0.25">
      <c r="A314" s="6" t="s">
        <v>1318</v>
      </c>
      <c r="B314" s="14">
        <v>46154</v>
      </c>
      <c r="C314" s="14">
        <v>46154</v>
      </c>
      <c r="D314" s="6" t="s">
        <v>1319</v>
      </c>
      <c r="E314" s="6" t="s">
        <v>58</v>
      </c>
      <c r="F314" s="6" t="s">
        <v>58</v>
      </c>
      <c r="G314" s="6" t="s">
        <v>204</v>
      </c>
      <c r="H314" s="6"/>
      <c r="I314" s="6"/>
      <c r="J314" s="6"/>
      <c r="K314" s="6" t="s">
        <v>3</v>
      </c>
      <c r="L314" s="6"/>
      <c r="M314" s="10">
        <v>23</v>
      </c>
      <c r="N314" s="6"/>
      <c r="O314" s="6"/>
      <c r="P314" s="17" t="s">
        <v>3</v>
      </c>
      <c r="Q314" s="6" t="s">
        <v>205</v>
      </c>
      <c r="R314" s="17" t="s">
        <v>3</v>
      </c>
      <c r="S314" s="17" t="s">
        <v>1320</v>
      </c>
      <c r="T314" s="6" t="s">
        <v>25</v>
      </c>
      <c r="U314" s="6" t="s">
        <v>222</v>
      </c>
      <c r="V314" s="17" t="s">
        <v>223</v>
      </c>
      <c r="W314" s="6">
        <v>683</v>
      </c>
      <c r="X314" s="6" t="s">
        <v>224</v>
      </c>
    </row>
    <row r="315" spans="1:24" ht="67.5" x14ac:dyDescent="0.25">
      <c r="A315" s="6" t="s">
        <v>1321</v>
      </c>
      <c r="B315" s="14">
        <v>46154</v>
      </c>
      <c r="C315" s="14">
        <v>46154</v>
      </c>
      <c r="D315" s="6" t="s">
        <v>1322</v>
      </c>
      <c r="E315" s="6" t="s">
        <v>77</v>
      </c>
      <c r="F315" s="6" t="s">
        <v>77</v>
      </c>
      <c r="G315" s="6" t="s">
        <v>236</v>
      </c>
      <c r="H315" s="10">
        <v>270</v>
      </c>
      <c r="I315" s="6"/>
      <c r="J315" s="6"/>
      <c r="K315" s="6" t="s">
        <v>3</v>
      </c>
      <c r="L315" s="10">
        <v>128</v>
      </c>
      <c r="M315" s="6"/>
      <c r="N315" s="6"/>
      <c r="O315" s="6"/>
      <c r="P315" s="17" t="s">
        <v>3</v>
      </c>
      <c r="Q315" s="6" t="s">
        <v>313</v>
      </c>
      <c r="R315" s="17" t="s">
        <v>1323</v>
      </c>
      <c r="S315" s="17" t="s">
        <v>1324</v>
      </c>
      <c r="T315" s="6" t="s">
        <v>24</v>
      </c>
      <c r="U315" s="6" t="s">
        <v>207</v>
      </c>
      <c r="V315" s="17" t="s">
        <v>3</v>
      </c>
      <c r="W315" s="6">
        <v>684</v>
      </c>
      <c r="X315" s="6" t="s">
        <v>208</v>
      </c>
    </row>
    <row r="316" spans="1:24" ht="67.5" x14ac:dyDescent="0.25">
      <c r="A316" s="6" t="s">
        <v>1325</v>
      </c>
      <c r="B316" s="14">
        <v>46155</v>
      </c>
      <c r="C316" s="14">
        <v>46156</v>
      </c>
      <c r="D316" s="6" t="s">
        <v>1326</v>
      </c>
      <c r="E316" s="6" t="s">
        <v>77</v>
      </c>
      <c r="F316" s="6" t="s">
        <v>77</v>
      </c>
      <c r="G316" s="6" t="s">
        <v>236</v>
      </c>
      <c r="H316" s="10">
        <v>330</v>
      </c>
      <c r="I316" s="6"/>
      <c r="J316" s="6"/>
      <c r="K316" s="6" t="s">
        <v>3</v>
      </c>
      <c r="L316" s="10">
        <v>146</v>
      </c>
      <c r="M316" s="6"/>
      <c r="N316" s="6"/>
      <c r="O316" s="6"/>
      <c r="P316" s="17" t="s">
        <v>3</v>
      </c>
      <c r="Q316" s="6" t="s">
        <v>313</v>
      </c>
      <c r="R316" s="17" t="s">
        <v>1327</v>
      </c>
      <c r="S316" s="17" t="s">
        <v>1328</v>
      </c>
      <c r="T316" s="6" t="s">
        <v>24</v>
      </c>
      <c r="U316" s="6" t="s">
        <v>207</v>
      </c>
      <c r="V316" s="17" t="s">
        <v>3</v>
      </c>
      <c r="W316" s="6">
        <v>687</v>
      </c>
      <c r="X316" s="6" t="s">
        <v>208</v>
      </c>
    </row>
    <row r="317" spans="1:24" ht="40.5" x14ac:dyDescent="0.25">
      <c r="A317" s="6" t="s">
        <v>1329</v>
      </c>
      <c r="B317" s="14">
        <v>46155</v>
      </c>
      <c r="C317" s="14">
        <v>46156</v>
      </c>
      <c r="D317" s="6" t="s">
        <v>1330</v>
      </c>
      <c r="E317" s="6" t="s">
        <v>167</v>
      </c>
      <c r="F317" s="6" t="s">
        <v>167</v>
      </c>
      <c r="G317" s="6" t="s">
        <v>236</v>
      </c>
      <c r="H317" s="10">
        <v>100</v>
      </c>
      <c r="I317" s="6"/>
      <c r="J317" s="6"/>
      <c r="K317" s="6" t="s">
        <v>3</v>
      </c>
      <c r="L317" s="6"/>
      <c r="M317" s="6"/>
      <c r="N317" s="6"/>
      <c r="O317" s="6"/>
      <c r="P317" s="17" t="s">
        <v>3</v>
      </c>
      <c r="Q317" s="6" t="s">
        <v>228</v>
      </c>
      <c r="R317" s="17" t="s">
        <v>3</v>
      </c>
      <c r="S317" s="17" t="s">
        <v>1331</v>
      </c>
      <c r="T317" s="6" t="s">
        <v>24</v>
      </c>
      <c r="U317" s="6" t="s">
        <v>207</v>
      </c>
      <c r="V317" s="17" t="s">
        <v>3</v>
      </c>
      <c r="W317" s="6">
        <v>685</v>
      </c>
      <c r="X317" s="6" t="s">
        <v>208</v>
      </c>
    </row>
    <row r="318" spans="1:24" ht="67.5" x14ac:dyDescent="0.25">
      <c r="A318" s="6" t="s">
        <v>1332</v>
      </c>
      <c r="B318" s="14">
        <v>46155</v>
      </c>
      <c r="C318" s="14">
        <v>46156</v>
      </c>
      <c r="D318" s="6" t="s">
        <v>1333</v>
      </c>
      <c r="E318" s="6" t="s">
        <v>35</v>
      </c>
      <c r="F318" s="6" t="s">
        <v>35</v>
      </c>
      <c r="G318" s="6" t="s">
        <v>236</v>
      </c>
      <c r="H318" s="10">
        <v>140</v>
      </c>
      <c r="I318" s="6"/>
      <c r="J318" s="6"/>
      <c r="K318" s="6" t="s">
        <v>3</v>
      </c>
      <c r="L318" s="10">
        <v>65</v>
      </c>
      <c r="M318" s="6"/>
      <c r="N318" s="6"/>
      <c r="O318" s="6"/>
      <c r="P318" s="17" t="s">
        <v>3</v>
      </c>
      <c r="Q318" s="6" t="s">
        <v>211</v>
      </c>
      <c r="R318" s="17" t="s">
        <v>3</v>
      </c>
      <c r="S318" s="17" t="s">
        <v>1334</v>
      </c>
      <c r="T318" s="6" t="s">
        <v>24</v>
      </c>
      <c r="U318" s="6" t="s">
        <v>207</v>
      </c>
      <c r="V318" s="17" t="s">
        <v>3</v>
      </c>
      <c r="W318" s="6">
        <v>686</v>
      </c>
      <c r="X318" s="6" t="s">
        <v>208</v>
      </c>
    </row>
    <row r="319" spans="1:24" ht="148.5" x14ac:dyDescent="0.25">
      <c r="A319" s="6" t="s">
        <v>1335</v>
      </c>
      <c r="B319" s="14">
        <v>46156</v>
      </c>
      <c r="C319" s="14">
        <v>46156</v>
      </c>
      <c r="D319" s="6" t="s">
        <v>1336</v>
      </c>
      <c r="E319" s="6" t="s">
        <v>63</v>
      </c>
      <c r="F319" s="6" t="s">
        <v>64</v>
      </c>
      <c r="G319" s="6" t="s">
        <v>236</v>
      </c>
      <c r="H319" s="10">
        <v>72</v>
      </c>
      <c r="I319" s="6"/>
      <c r="J319" s="6"/>
      <c r="K319" s="6" t="s">
        <v>3</v>
      </c>
      <c r="L319" s="10">
        <v>40</v>
      </c>
      <c r="M319" s="6"/>
      <c r="N319" s="6"/>
      <c r="O319" s="6"/>
      <c r="P319" s="17" t="s">
        <v>3</v>
      </c>
      <c r="Q319" s="6" t="s">
        <v>313</v>
      </c>
      <c r="R319" s="17" t="s">
        <v>3</v>
      </c>
      <c r="S319" s="17" t="s">
        <v>1337</v>
      </c>
      <c r="T319" s="6" t="s">
        <v>25</v>
      </c>
      <c r="U319" s="6" t="s">
        <v>222</v>
      </c>
      <c r="V319" s="17" t="s">
        <v>1338</v>
      </c>
      <c r="W319" s="6">
        <v>688</v>
      </c>
      <c r="X319" s="6" t="s">
        <v>224</v>
      </c>
    </row>
    <row r="320" spans="1:24" ht="148.5" x14ac:dyDescent="0.25">
      <c r="A320" s="6" t="s">
        <v>1339</v>
      </c>
      <c r="B320" s="14">
        <v>46156</v>
      </c>
      <c r="C320" s="14">
        <v>46156</v>
      </c>
      <c r="D320" s="6" t="s">
        <v>1336</v>
      </c>
      <c r="E320" s="6" t="s">
        <v>63</v>
      </c>
      <c r="F320" s="6" t="s">
        <v>64</v>
      </c>
      <c r="G320" s="6" t="s">
        <v>236</v>
      </c>
      <c r="H320" s="10">
        <v>50</v>
      </c>
      <c r="I320" s="6"/>
      <c r="J320" s="6"/>
      <c r="K320" s="6" t="s">
        <v>3</v>
      </c>
      <c r="L320" s="10">
        <v>40</v>
      </c>
      <c r="M320" s="6"/>
      <c r="N320" s="6"/>
      <c r="O320" s="6"/>
      <c r="P320" s="17" t="s">
        <v>3</v>
      </c>
      <c r="Q320" s="6" t="s">
        <v>313</v>
      </c>
      <c r="R320" s="17" t="s">
        <v>3</v>
      </c>
      <c r="S320" s="17" t="s">
        <v>1337</v>
      </c>
      <c r="T320" s="6" t="s">
        <v>25</v>
      </c>
      <c r="U320" s="6" t="s">
        <v>222</v>
      </c>
      <c r="V320" s="17" t="s">
        <v>1338</v>
      </c>
      <c r="W320" s="6">
        <v>688</v>
      </c>
      <c r="X320" s="6" t="s">
        <v>224</v>
      </c>
    </row>
    <row r="321" spans="1:24" ht="148.5" x14ac:dyDescent="0.25">
      <c r="A321" s="6" t="s">
        <v>1340</v>
      </c>
      <c r="B321" s="14">
        <v>46156</v>
      </c>
      <c r="C321" s="14">
        <v>46156</v>
      </c>
      <c r="D321" s="6" t="s">
        <v>1336</v>
      </c>
      <c r="E321" s="6" t="s">
        <v>63</v>
      </c>
      <c r="F321" s="6" t="s">
        <v>64</v>
      </c>
      <c r="G321" s="6" t="s">
        <v>236</v>
      </c>
      <c r="H321" s="10">
        <v>4</v>
      </c>
      <c r="I321" s="6"/>
      <c r="J321" s="6"/>
      <c r="K321" s="6" t="s">
        <v>3</v>
      </c>
      <c r="L321" s="10">
        <v>40</v>
      </c>
      <c r="M321" s="6"/>
      <c r="N321" s="6"/>
      <c r="O321" s="6"/>
      <c r="P321" s="17" t="s">
        <v>3</v>
      </c>
      <c r="Q321" s="6" t="s">
        <v>313</v>
      </c>
      <c r="R321" s="17" t="s">
        <v>3</v>
      </c>
      <c r="S321" s="17" t="s">
        <v>1337</v>
      </c>
      <c r="T321" s="6" t="s">
        <v>25</v>
      </c>
      <c r="U321" s="6" t="s">
        <v>222</v>
      </c>
      <c r="V321" s="17" t="s">
        <v>1338</v>
      </c>
      <c r="W321" s="6">
        <v>688</v>
      </c>
      <c r="X321" s="6" t="s">
        <v>224</v>
      </c>
    </row>
    <row r="322" spans="1:24" ht="54" x14ac:dyDescent="0.25">
      <c r="A322" s="6" t="s">
        <v>1341</v>
      </c>
      <c r="B322" s="14">
        <v>46157</v>
      </c>
      <c r="C322" s="14">
        <v>46160</v>
      </c>
      <c r="D322" s="6" t="s">
        <v>1342</v>
      </c>
      <c r="E322" s="6" t="s">
        <v>35</v>
      </c>
      <c r="F322" s="6" t="s">
        <v>917</v>
      </c>
      <c r="G322" s="6" t="s">
        <v>236</v>
      </c>
      <c r="H322" s="10">
        <v>146</v>
      </c>
      <c r="I322" s="6"/>
      <c r="J322" s="6"/>
      <c r="K322" s="6" t="s">
        <v>3</v>
      </c>
      <c r="L322" s="6"/>
      <c r="M322" s="6"/>
      <c r="N322" s="6"/>
      <c r="O322" s="6"/>
      <c r="P322" s="17" t="s">
        <v>3</v>
      </c>
      <c r="Q322" s="6" t="s">
        <v>211</v>
      </c>
      <c r="R322" s="17" t="s">
        <v>3</v>
      </c>
      <c r="S322" s="17" t="s">
        <v>1343</v>
      </c>
      <c r="T322" s="6" t="s">
        <v>24</v>
      </c>
      <c r="U322" s="6" t="s">
        <v>207</v>
      </c>
      <c r="V322" s="17" t="s">
        <v>3</v>
      </c>
      <c r="W322" s="6">
        <v>689</v>
      </c>
      <c r="X322" s="6" t="s">
        <v>208</v>
      </c>
    </row>
    <row r="323" spans="1:24" ht="27" x14ac:dyDescent="0.25">
      <c r="A323" s="6" t="s">
        <v>1344</v>
      </c>
      <c r="B323" s="14">
        <v>46160</v>
      </c>
      <c r="C323" s="14">
        <v>46160</v>
      </c>
      <c r="D323" s="6" t="s">
        <v>1345</v>
      </c>
      <c r="E323" s="6" t="s">
        <v>49</v>
      </c>
      <c r="F323" s="6" t="s">
        <v>294</v>
      </c>
      <c r="G323" s="6" t="s">
        <v>236</v>
      </c>
      <c r="H323" s="10">
        <v>126</v>
      </c>
      <c r="I323" s="6"/>
      <c r="J323" s="6"/>
      <c r="K323" s="6" t="s">
        <v>3</v>
      </c>
      <c r="L323" s="6"/>
      <c r="M323" s="6"/>
      <c r="N323" s="6"/>
      <c r="O323" s="6"/>
      <c r="P323" s="17" t="s">
        <v>3</v>
      </c>
      <c r="Q323" s="6" t="s">
        <v>228</v>
      </c>
      <c r="R323" s="17" t="s">
        <v>3</v>
      </c>
      <c r="S323" s="17" t="s">
        <v>1346</v>
      </c>
      <c r="T323" s="6" t="s">
        <v>24</v>
      </c>
      <c r="U323" s="6" t="s">
        <v>207</v>
      </c>
      <c r="V323" s="17" t="s">
        <v>3</v>
      </c>
      <c r="W323" s="6">
        <v>690</v>
      </c>
      <c r="X323" s="6" t="s">
        <v>208</v>
      </c>
    </row>
    <row r="324" spans="1:24" ht="67.5" x14ac:dyDescent="0.25">
      <c r="A324" s="6" t="s">
        <v>1347</v>
      </c>
      <c r="B324" s="14">
        <v>46160</v>
      </c>
      <c r="C324" s="14">
        <v>46160</v>
      </c>
      <c r="D324" s="6" t="s">
        <v>1348</v>
      </c>
      <c r="E324" s="6" t="s">
        <v>71</v>
      </c>
      <c r="F324" s="6" t="s">
        <v>71</v>
      </c>
      <c r="G324" s="6" t="s">
        <v>236</v>
      </c>
      <c r="H324" s="10">
        <v>280</v>
      </c>
      <c r="I324" s="6"/>
      <c r="J324" s="6"/>
      <c r="K324" s="6" t="s">
        <v>3</v>
      </c>
      <c r="L324" s="10">
        <v>88</v>
      </c>
      <c r="M324" s="6"/>
      <c r="N324" s="6"/>
      <c r="O324" s="6"/>
      <c r="P324" s="17" t="s">
        <v>3</v>
      </c>
      <c r="Q324" s="6" t="s">
        <v>313</v>
      </c>
      <c r="R324" s="17" t="s">
        <v>1349</v>
      </c>
      <c r="S324" s="17" t="s">
        <v>1350</v>
      </c>
      <c r="T324" s="6" t="s">
        <v>24</v>
      </c>
      <c r="U324" s="6" t="s">
        <v>207</v>
      </c>
      <c r="V324" s="17" t="s">
        <v>3</v>
      </c>
      <c r="W324" s="6">
        <v>691</v>
      </c>
      <c r="X324" s="6" t="s">
        <v>208</v>
      </c>
    </row>
    <row r="325" spans="1:24" ht="27" x14ac:dyDescent="0.25">
      <c r="A325" s="6" t="s">
        <v>1351</v>
      </c>
      <c r="B325" s="14">
        <v>46161</v>
      </c>
      <c r="C325" s="14">
        <v>46161</v>
      </c>
      <c r="D325" s="6" t="s">
        <v>1352</v>
      </c>
      <c r="E325" s="6" t="s">
        <v>49</v>
      </c>
      <c r="F325" s="6" t="s">
        <v>294</v>
      </c>
      <c r="G325" s="6" t="s">
        <v>236</v>
      </c>
      <c r="H325" s="10">
        <v>80</v>
      </c>
      <c r="I325" s="6"/>
      <c r="J325" s="6"/>
      <c r="K325" s="6" t="s">
        <v>3</v>
      </c>
      <c r="L325" s="6"/>
      <c r="M325" s="6"/>
      <c r="N325" s="6"/>
      <c r="O325" s="6"/>
      <c r="P325" s="17" t="s">
        <v>3</v>
      </c>
      <c r="Q325" s="6" t="s">
        <v>228</v>
      </c>
      <c r="R325" s="17" t="s">
        <v>3</v>
      </c>
      <c r="S325" s="17" t="s">
        <v>1353</v>
      </c>
      <c r="T325" s="6" t="s">
        <v>24</v>
      </c>
      <c r="U325" s="6" t="s">
        <v>207</v>
      </c>
      <c r="V325" s="17" t="s">
        <v>3</v>
      </c>
      <c r="W325" s="6">
        <v>694</v>
      </c>
      <c r="X325" s="6" t="s">
        <v>208</v>
      </c>
    </row>
    <row r="326" spans="1:24" ht="162" x14ac:dyDescent="0.25">
      <c r="A326" s="6" t="s">
        <v>1354</v>
      </c>
      <c r="B326" s="14">
        <v>46161</v>
      </c>
      <c r="C326" s="14">
        <v>46161</v>
      </c>
      <c r="D326" s="6" t="s">
        <v>1355</v>
      </c>
      <c r="E326" s="6" t="s">
        <v>127</v>
      </c>
      <c r="F326" s="6" t="s">
        <v>127</v>
      </c>
      <c r="G326" s="6" t="s">
        <v>263</v>
      </c>
      <c r="H326" s="6"/>
      <c r="I326" s="6"/>
      <c r="J326" s="6"/>
      <c r="K326" s="6" t="s">
        <v>3</v>
      </c>
      <c r="L326" s="6"/>
      <c r="M326" s="6"/>
      <c r="N326" s="6"/>
      <c r="O326" s="6"/>
      <c r="P326" s="17" t="s">
        <v>1356</v>
      </c>
      <c r="Q326" s="6" t="s">
        <v>812</v>
      </c>
      <c r="R326" s="17" t="s">
        <v>3</v>
      </c>
      <c r="S326" s="17" t="s">
        <v>1357</v>
      </c>
      <c r="T326" s="6" t="s">
        <v>26</v>
      </c>
      <c r="U326" s="6" t="s">
        <v>222</v>
      </c>
      <c r="V326" s="17" t="s">
        <v>1358</v>
      </c>
      <c r="W326" s="6">
        <v>692</v>
      </c>
      <c r="X326" s="6" t="s">
        <v>224</v>
      </c>
    </row>
    <row r="327" spans="1:24" ht="54" x14ac:dyDescent="0.25">
      <c r="A327" s="6" t="s">
        <v>1359</v>
      </c>
      <c r="B327" s="14">
        <v>46161</v>
      </c>
      <c r="C327" s="14">
        <v>46161</v>
      </c>
      <c r="D327" s="6" t="s">
        <v>1360</v>
      </c>
      <c r="E327" s="6" t="s">
        <v>47</v>
      </c>
      <c r="F327" s="6" t="s">
        <v>1361</v>
      </c>
      <c r="G327" s="6" t="s">
        <v>204</v>
      </c>
      <c r="H327" s="10">
        <v>120</v>
      </c>
      <c r="I327" s="6"/>
      <c r="J327" s="6"/>
      <c r="K327" s="6" t="s">
        <v>3</v>
      </c>
      <c r="L327" s="6"/>
      <c r="M327" s="10">
        <v>25</v>
      </c>
      <c r="N327" s="6"/>
      <c r="O327" s="6"/>
      <c r="P327" s="17" t="s">
        <v>3</v>
      </c>
      <c r="Q327" s="6" t="s">
        <v>205</v>
      </c>
      <c r="R327" s="17" t="s">
        <v>3</v>
      </c>
      <c r="S327" s="17" t="s">
        <v>1362</v>
      </c>
      <c r="T327" s="6" t="s">
        <v>24</v>
      </c>
      <c r="U327" s="6" t="s">
        <v>207</v>
      </c>
      <c r="V327" s="17" t="s">
        <v>3</v>
      </c>
      <c r="W327" s="6">
        <v>695</v>
      </c>
      <c r="X327" s="6" t="s">
        <v>208</v>
      </c>
    </row>
    <row r="328" spans="1:24" ht="81" x14ac:dyDescent="0.25">
      <c r="A328" s="6" t="s">
        <v>1363</v>
      </c>
      <c r="B328" s="14">
        <v>46161</v>
      </c>
      <c r="C328" s="14">
        <v>46161</v>
      </c>
      <c r="D328" s="6" t="s">
        <v>1364</v>
      </c>
      <c r="E328" s="6" t="s">
        <v>35</v>
      </c>
      <c r="F328" s="6" t="s">
        <v>917</v>
      </c>
      <c r="G328" s="6" t="s">
        <v>236</v>
      </c>
      <c r="H328" s="10">
        <v>100</v>
      </c>
      <c r="I328" s="6"/>
      <c r="J328" s="6"/>
      <c r="K328" s="6" t="s">
        <v>838</v>
      </c>
      <c r="L328" s="10">
        <v>65</v>
      </c>
      <c r="M328" s="6"/>
      <c r="N328" s="6"/>
      <c r="O328" s="6"/>
      <c r="P328" s="17" t="s">
        <v>3</v>
      </c>
      <c r="Q328" s="6" t="s">
        <v>211</v>
      </c>
      <c r="R328" s="17" t="s">
        <v>3</v>
      </c>
      <c r="S328" s="17" t="s">
        <v>1365</v>
      </c>
      <c r="T328" s="6" t="s">
        <v>24</v>
      </c>
      <c r="U328" s="6" t="s">
        <v>207</v>
      </c>
      <c r="V328" s="17" t="s">
        <v>3</v>
      </c>
      <c r="W328" s="6">
        <v>693</v>
      </c>
      <c r="X328" s="6" t="s">
        <v>208</v>
      </c>
    </row>
    <row r="329" spans="1:24" ht="121.5" x14ac:dyDescent="0.25">
      <c r="A329" s="6" t="s">
        <v>1366</v>
      </c>
      <c r="B329" s="14">
        <v>46161</v>
      </c>
      <c r="C329" s="14">
        <v>46162</v>
      </c>
      <c r="D329" s="6" t="s">
        <v>1367</v>
      </c>
      <c r="E329" s="6" t="s">
        <v>35</v>
      </c>
      <c r="F329" s="6" t="s">
        <v>1368</v>
      </c>
      <c r="G329" s="6" t="s">
        <v>218</v>
      </c>
      <c r="H329" s="6"/>
      <c r="I329" s="6"/>
      <c r="J329" s="6"/>
      <c r="K329" s="6" t="s">
        <v>1369</v>
      </c>
      <c r="L329" s="6"/>
      <c r="M329" s="6"/>
      <c r="N329" s="6"/>
      <c r="O329" s="6"/>
      <c r="P329" s="17" t="s">
        <v>1370</v>
      </c>
      <c r="Q329" s="6" t="s">
        <v>812</v>
      </c>
      <c r="R329" s="17" t="s">
        <v>3</v>
      </c>
      <c r="S329" s="17" t="s">
        <v>1371</v>
      </c>
      <c r="T329" s="6" t="s">
        <v>26</v>
      </c>
      <c r="U329" s="6" t="s">
        <v>222</v>
      </c>
      <c r="V329" s="17" t="s">
        <v>1372</v>
      </c>
      <c r="W329" s="6">
        <v>698</v>
      </c>
      <c r="X329" s="6" t="s">
        <v>224</v>
      </c>
    </row>
    <row r="330" spans="1:24" ht="135" x14ac:dyDescent="0.25">
      <c r="A330" s="6" t="s">
        <v>1373</v>
      </c>
      <c r="B330" s="14">
        <v>46161</v>
      </c>
      <c r="C330" s="14">
        <v>46161</v>
      </c>
      <c r="D330" s="6" t="s">
        <v>1374</v>
      </c>
      <c r="E330" s="6" t="s">
        <v>63</v>
      </c>
      <c r="F330" s="6" t="s">
        <v>64</v>
      </c>
      <c r="G330" s="6" t="s">
        <v>236</v>
      </c>
      <c r="H330" s="10">
        <v>20</v>
      </c>
      <c r="I330" s="6"/>
      <c r="J330" s="6"/>
      <c r="K330" s="6" t="s">
        <v>3</v>
      </c>
      <c r="L330" s="10">
        <v>27</v>
      </c>
      <c r="M330" s="6"/>
      <c r="N330" s="6"/>
      <c r="O330" s="6"/>
      <c r="P330" s="17" t="s">
        <v>3</v>
      </c>
      <c r="Q330" s="6" t="s">
        <v>313</v>
      </c>
      <c r="R330" s="17" t="s">
        <v>3</v>
      </c>
      <c r="S330" s="17" t="s">
        <v>1375</v>
      </c>
      <c r="T330" s="6" t="s">
        <v>26</v>
      </c>
      <c r="U330" s="6" t="s">
        <v>222</v>
      </c>
      <c r="V330" s="17" t="s">
        <v>1376</v>
      </c>
      <c r="W330" s="6">
        <v>697</v>
      </c>
      <c r="X330" s="6" t="s">
        <v>224</v>
      </c>
    </row>
    <row r="331" spans="1:24" ht="135" x14ac:dyDescent="0.25">
      <c r="A331" s="6" t="s">
        <v>1377</v>
      </c>
      <c r="B331" s="14">
        <v>46161</v>
      </c>
      <c r="C331" s="14">
        <v>46161</v>
      </c>
      <c r="D331" s="6" t="s">
        <v>1374</v>
      </c>
      <c r="E331" s="6" t="s">
        <v>63</v>
      </c>
      <c r="F331" s="6" t="s">
        <v>64</v>
      </c>
      <c r="G331" s="6" t="s">
        <v>236</v>
      </c>
      <c r="H331" s="10">
        <v>65</v>
      </c>
      <c r="I331" s="6"/>
      <c r="J331" s="6"/>
      <c r="K331" s="6" t="s">
        <v>3</v>
      </c>
      <c r="L331" s="10">
        <v>27</v>
      </c>
      <c r="M331" s="6"/>
      <c r="N331" s="6"/>
      <c r="O331" s="6"/>
      <c r="P331" s="17" t="s">
        <v>3</v>
      </c>
      <c r="Q331" s="6" t="s">
        <v>313</v>
      </c>
      <c r="R331" s="17" t="s">
        <v>3</v>
      </c>
      <c r="S331" s="17" t="s">
        <v>1375</v>
      </c>
      <c r="T331" s="6" t="s">
        <v>26</v>
      </c>
      <c r="U331" s="6" t="s">
        <v>222</v>
      </c>
      <c r="V331" s="17" t="s">
        <v>1376</v>
      </c>
      <c r="W331" s="6">
        <v>697</v>
      </c>
      <c r="X331" s="6" t="s">
        <v>224</v>
      </c>
    </row>
    <row r="332" spans="1:24" ht="121.5" x14ac:dyDescent="0.25">
      <c r="A332" s="6" t="s">
        <v>1378</v>
      </c>
      <c r="B332" s="14">
        <v>46162</v>
      </c>
      <c r="C332" s="14">
        <v>46162</v>
      </c>
      <c r="D332" s="6" t="s">
        <v>1379</v>
      </c>
      <c r="E332" s="6" t="s">
        <v>75</v>
      </c>
      <c r="F332" s="6" t="s">
        <v>75</v>
      </c>
      <c r="G332" s="6" t="s">
        <v>218</v>
      </c>
      <c r="H332" s="6"/>
      <c r="I332" s="10">
        <v>6</v>
      </c>
      <c r="J332" s="10">
        <v>6</v>
      </c>
      <c r="K332" s="6" t="s">
        <v>3</v>
      </c>
      <c r="L332" s="6"/>
      <c r="M332" s="6"/>
      <c r="N332" s="6"/>
      <c r="O332" s="6"/>
      <c r="P332" s="17" t="s">
        <v>3</v>
      </c>
      <c r="Q332" s="6" t="s">
        <v>812</v>
      </c>
      <c r="R332" s="17" t="s">
        <v>3</v>
      </c>
      <c r="S332" s="17" t="s">
        <v>1380</v>
      </c>
      <c r="T332" s="6" t="s">
        <v>26</v>
      </c>
      <c r="U332" s="6" t="s">
        <v>222</v>
      </c>
      <c r="V332" s="17" t="s">
        <v>924</v>
      </c>
      <c r="W332" s="6">
        <v>699</v>
      </c>
      <c r="X332" s="6" t="s">
        <v>224</v>
      </c>
    </row>
    <row r="333" spans="1:24" ht="27" x14ac:dyDescent="0.25">
      <c r="A333" s="6" t="s">
        <v>1381</v>
      </c>
      <c r="B333" s="14">
        <v>46162</v>
      </c>
      <c r="C333" s="14">
        <v>46162</v>
      </c>
      <c r="D333" s="6" t="s">
        <v>1382</v>
      </c>
      <c r="E333" s="6" t="s">
        <v>136</v>
      </c>
      <c r="F333" s="6" t="s">
        <v>136</v>
      </c>
      <c r="G333" s="6" t="s">
        <v>236</v>
      </c>
      <c r="H333" s="10">
        <v>30</v>
      </c>
      <c r="I333" s="6"/>
      <c r="J333" s="6"/>
      <c r="K333" s="6" t="s">
        <v>3</v>
      </c>
      <c r="L333" s="6"/>
      <c r="M333" s="6"/>
      <c r="N333" s="6"/>
      <c r="O333" s="6"/>
      <c r="P333" s="17" t="s">
        <v>3</v>
      </c>
      <c r="Q333" s="6" t="s">
        <v>228</v>
      </c>
      <c r="R333" s="17" t="s">
        <v>3</v>
      </c>
      <c r="S333" s="17" t="s">
        <v>1383</v>
      </c>
      <c r="T333" s="6" t="s">
        <v>24</v>
      </c>
      <c r="U333" s="6" t="s">
        <v>207</v>
      </c>
      <c r="V333" s="17" t="s">
        <v>3</v>
      </c>
      <c r="W333" s="6">
        <v>700</v>
      </c>
      <c r="X333" s="6" t="s">
        <v>208</v>
      </c>
    </row>
    <row r="334" spans="1:24" ht="40.5" x14ac:dyDescent="0.25">
      <c r="A334" s="6" t="s">
        <v>1384</v>
      </c>
      <c r="B334" s="14">
        <v>46162</v>
      </c>
      <c r="C334" s="14">
        <v>46162</v>
      </c>
      <c r="D334" s="6" t="s">
        <v>1385</v>
      </c>
      <c r="E334" s="6" t="s">
        <v>35</v>
      </c>
      <c r="F334" s="6" t="s">
        <v>1386</v>
      </c>
      <c r="G334" s="6" t="s">
        <v>204</v>
      </c>
      <c r="H334" s="6"/>
      <c r="I334" s="6"/>
      <c r="J334" s="6"/>
      <c r="K334" s="6" t="s">
        <v>3</v>
      </c>
      <c r="L334" s="6"/>
      <c r="M334" s="10">
        <v>47</v>
      </c>
      <c r="N334" s="6"/>
      <c r="O334" s="6"/>
      <c r="P334" s="17" t="s">
        <v>3</v>
      </c>
      <c r="Q334" s="6" t="s">
        <v>205</v>
      </c>
      <c r="R334" s="17" t="s">
        <v>3</v>
      </c>
      <c r="S334" s="17" t="s">
        <v>1387</v>
      </c>
      <c r="T334" s="6" t="s">
        <v>25</v>
      </c>
      <c r="U334" s="6" t="s">
        <v>222</v>
      </c>
      <c r="V334" s="17" t="s">
        <v>223</v>
      </c>
      <c r="W334" s="6">
        <v>701</v>
      </c>
      <c r="X334" s="6" t="s">
        <v>224</v>
      </c>
    </row>
    <row r="335" spans="1:24" ht="67.5" x14ac:dyDescent="0.25">
      <c r="A335" s="6" t="s">
        <v>1388</v>
      </c>
      <c r="B335" s="14">
        <v>46163</v>
      </c>
      <c r="C335" s="14">
        <v>46163</v>
      </c>
      <c r="D335" s="6" t="s">
        <v>1389</v>
      </c>
      <c r="E335" s="6" t="s">
        <v>58</v>
      </c>
      <c r="F335" s="6" t="s">
        <v>58</v>
      </c>
      <c r="G335" s="6" t="s">
        <v>236</v>
      </c>
      <c r="H335" s="10">
        <v>280</v>
      </c>
      <c r="I335" s="6"/>
      <c r="J335" s="6"/>
      <c r="K335" s="6" t="s">
        <v>3</v>
      </c>
      <c r="L335" s="10">
        <v>92</v>
      </c>
      <c r="M335" s="6"/>
      <c r="N335" s="6"/>
      <c r="O335" s="6"/>
      <c r="P335" s="17" t="s">
        <v>3</v>
      </c>
      <c r="Q335" s="6" t="s">
        <v>313</v>
      </c>
      <c r="R335" s="17" t="s">
        <v>1390</v>
      </c>
      <c r="S335" s="17" t="s">
        <v>1391</v>
      </c>
      <c r="T335" s="6" t="s">
        <v>24</v>
      </c>
      <c r="U335" s="6" t="s">
        <v>207</v>
      </c>
      <c r="V335" s="17" t="s">
        <v>3</v>
      </c>
      <c r="W335" s="6">
        <v>703</v>
      </c>
      <c r="X335" s="6" t="s">
        <v>208</v>
      </c>
    </row>
    <row r="336" spans="1:24" ht="27" x14ac:dyDescent="0.25">
      <c r="A336" s="6" t="s">
        <v>1392</v>
      </c>
      <c r="B336" s="14">
        <v>46163</v>
      </c>
      <c r="C336" s="14">
        <v>46163</v>
      </c>
      <c r="D336" s="6" t="s">
        <v>1393</v>
      </c>
      <c r="E336" s="6" t="s">
        <v>47</v>
      </c>
      <c r="F336" s="6" t="s">
        <v>489</v>
      </c>
      <c r="G336" s="6" t="s">
        <v>236</v>
      </c>
      <c r="H336" s="10">
        <v>80</v>
      </c>
      <c r="I336" s="6"/>
      <c r="J336" s="6"/>
      <c r="K336" s="6" t="s">
        <v>3</v>
      </c>
      <c r="L336" s="6"/>
      <c r="M336" s="6"/>
      <c r="N336" s="6"/>
      <c r="O336" s="6"/>
      <c r="P336" s="17" t="s">
        <v>3</v>
      </c>
      <c r="Q336" s="6" t="s">
        <v>228</v>
      </c>
      <c r="R336" s="17" t="s">
        <v>3</v>
      </c>
      <c r="S336" s="17" t="s">
        <v>1394</v>
      </c>
      <c r="T336" s="6" t="s">
        <v>24</v>
      </c>
      <c r="U336" s="6" t="s">
        <v>207</v>
      </c>
      <c r="V336" s="17" t="s">
        <v>3</v>
      </c>
      <c r="W336" s="6">
        <v>702</v>
      </c>
      <c r="X336" s="6" t="s">
        <v>208</v>
      </c>
    </row>
    <row r="337" spans="1:24" ht="40.5" x14ac:dyDescent="0.25">
      <c r="A337" s="6" t="s">
        <v>1395</v>
      </c>
      <c r="B337" s="14">
        <v>46163</v>
      </c>
      <c r="C337" s="14">
        <v>46164</v>
      </c>
      <c r="D337" s="6" t="s">
        <v>1396</v>
      </c>
      <c r="E337" s="6" t="s">
        <v>35</v>
      </c>
      <c r="F337" s="6" t="s">
        <v>1386</v>
      </c>
      <c r="G337" s="6" t="s">
        <v>204</v>
      </c>
      <c r="H337" s="6"/>
      <c r="I337" s="6"/>
      <c r="J337" s="6"/>
      <c r="K337" s="6" t="s">
        <v>3</v>
      </c>
      <c r="L337" s="6"/>
      <c r="M337" s="10">
        <v>50</v>
      </c>
      <c r="N337" s="6"/>
      <c r="O337" s="6"/>
      <c r="P337" s="17" t="s">
        <v>3</v>
      </c>
      <c r="Q337" s="6" t="s">
        <v>205</v>
      </c>
      <c r="R337" s="17" t="s">
        <v>3</v>
      </c>
      <c r="S337" s="17" t="s">
        <v>1397</v>
      </c>
      <c r="T337" s="6" t="s">
        <v>25</v>
      </c>
      <c r="U337" s="6" t="s">
        <v>222</v>
      </c>
      <c r="V337" s="17" t="s">
        <v>223</v>
      </c>
      <c r="W337" s="6">
        <v>704</v>
      </c>
      <c r="X337" s="6" t="s">
        <v>224</v>
      </c>
    </row>
    <row r="338" spans="1:24" ht="67.5" x14ac:dyDescent="0.25">
      <c r="A338" s="6" t="s">
        <v>1398</v>
      </c>
      <c r="B338" s="14">
        <v>46164</v>
      </c>
      <c r="C338" s="14">
        <v>46164</v>
      </c>
      <c r="D338" s="6" t="s">
        <v>1399</v>
      </c>
      <c r="E338" s="6" t="s">
        <v>58</v>
      </c>
      <c r="F338" s="6" t="s">
        <v>58</v>
      </c>
      <c r="G338" s="6" t="s">
        <v>236</v>
      </c>
      <c r="H338" s="10">
        <v>120</v>
      </c>
      <c r="I338" s="6"/>
      <c r="J338" s="6"/>
      <c r="K338" s="6" t="s">
        <v>3</v>
      </c>
      <c r="L338" s="10">
        <v>44</v>
      </c>
      <c r="M338" s="6"/>
      <c r="N338" s="6"/>
      <c r="O338" s="6"/>
      <c r="P338" s="17" t="s">
        <v>3</v>
      </c>
      <c r="Q338" s="6" t="s">
        <v>313</v>
      </c>
      <c r="R338" s="17" t="s">
        <v>1400</v>
      </c>
      <c r="S338" s="17" t="s">
        <v>1401</v>
      </c>
      <c r="T338" s="6" t="s">
        <v>24</v>
      </c>
      <c r="U338" s="6" t="s">
        <v>207</v>
      </c>
      <c r="V338" s="17" t="s">
        <v>3</v>
      </c>
      <c r="W338" s="6">
        <v>706</v>
      </c>
      <c r="X338" s="6" t="s">
        <v>208</v>
      </c>
    </row>
    <row r="339" spans="1:24" ht="40.5" x14ac:dyDescent="0.25">
      <c r="A339" s="6" t="s">
        <v>1402</v>
      </c>
      <c r="B339" s="14">
        <v>46164</v>
      </c>
      <c r="C339" s="14">
        <v>46164</v>
      </c>
      <c r="D339" s="6" t="s">
        <v>1027</v>
      </c>
      <c r="E339" s="6" t="s">
        <v>47</v>
      </c>
      <c r="F339" s="6" t="s">
        <v>489</v>
      </c>
      <c r="G339" s="6" t="s">
        <v>204</v>
      </c>
      <c r="H339" s="10">
        <v>81</v>
      </c>
      <c r="I339" s="6"/>
      <c r="J339" s="6"/>
      <c r="K339" s="6" t="s">
        <v>3</v>
      </c>
      <c r="L339" s="6"/>
      <c r="M339" s="6"/>
      <c r="N339" s="6"/>
      <c r="O339" s="6"/>
      <c r="P339" s="17" t="s">
        <v>3</v>
      </c>
      <c r="Q339" s="6" t="s">
        <v>228</v>
      </c>
      <c r="R339" s="17" t="s">
        <v>3</v>
      </c>
      <c r="S339" s="17" t="s">
        <v>1403</v>
      </c>
      <c r="T339" s="6" t="s">
        <v>24</v>
      </c>
      <c r="U339" s="6" t="s">
        <v>207</v>
      </c>
      <c r="V339" s="17" t="s">
        <v>3</v>
      </c>
      <c r="W339" s="6">
        <v>705</v>
      </c>
      <c r="X339" s="6" t="s">
        <v>208</v>
      </c>
    </row>
    <row r="340" spans="1:24" ht="40.5" x14ac:dyDescent="0.25">
      <c r="A340" s="6" t="s">
        <v>1404</v>
      </c>
      <c r="B340" s="14">
        <v>46164</v>
      </c>
      <c r="C340" s="14">
        <v>46164</v>
      </c>
      <c r="D340" s="6" t="s">
        <v>1027</v>
      </c>
      <c r="E340" s="6" t="s">
        <v>47</v>
      </c>
      <c r="F340" s="6" t="s">
        <v>489</v>
      </c>
      <c r="G340" s="6" t="s">
        <v>506</v>
      </c>
      <c r="H340" s="10">
        <v>38</v>
      </c>
      <c r="I340" s="6"/>
      <c r="J340" s="6"/>
      <c r="K340" s="6" t="s">
        <v>3</v>
      </c>
      <c r="L340" s="6"/>
      <c r="M340" s="6"/>
      <c r="N340" s="6"/>
      <c r="O340" s="6"/>
      <c r="P340" s="17" t="s">
        <v>3</v>
      </c>
      <c r="Q340" s="6" t="s">
        <v>228</v>
      </c>
      <c r="R340" s="17" t="s">
        <v>3</v>
      </c>
      <c r="S340" s="17" t="s">
        <v>1403</v>
      </c>
      <c r="T340" s="6" t="s">
        <v>24</v>
      </c>
      <c r="U340" s="6" t="s">
        <v>207</v>
      </c>
      <c r="V340" s="17" t="s">
        <v>3</v>
      </c>
      <c r="W340" s="6">
        <v>705</v>
      </c>
      <c r="X340" s="6" t="s">
        <v>208</v>
      </c>
    </row>
    <row r="341" spans="1:24" ht="54" x14ac:dyDescent="0.25">
      <c r="A341" s="6" t="s">
        <v>1405</v>
      </c>
      <c r="B341" s="14">
        <v>46164</v>
      </c>
      <c r="C341" s="14">
        <v>46164</v>
      </c>
      <c r="D341" s="6" t="s">
        <v>1406</v>
      </c>
      <c r="E341" s="6" t="s">
        <v>35</v>
      </c>
      <c r="F341" s="6" t="s">
        <v>1386</v>
      </c>
      <c r="G341" s="6" t="s">
        <v>204</v>
      </c>
      <c r="H341" s="6"/>
      <c r="I341" s="6"/>
      <c r="J341" s="6"/>
      <c r="K341" s="6" t="s">
        <v>838</v>
      </c>
      <c r="L341" s="6"/>
      <c r="M341" s="10">
        <v>50</v>
      </c>
      <c r="N341" s="6"/>
      <c r="O341" s="6"/>
      <c r="P341" s="17" t="s">
        <v>3</v>
      </c>
      <c r="Q341" s="6" t="s">
        <v>205</v>
      </c>
      <c r="R341" s="17" t="s">
        <v>3</v>
      </c>
      <c r="S341" s="17" t="s">
        <v>1407</v>
      </c>
      <c r="T341" s="6" t="s">
        <v>25</v>
      </c>
      <c r="U341" s="6" t="s">
        <v>222</v>
      </c>
      <c r="V341" s="17" t="s">
        <v>223</v>
      </c>
      <c r="W341" s="6">
        <v>707</v>
      </c>
      <c r="X341" s="6" t="s">
        <v>224</v>
      </c>
    </row>
    <row r="342" spans="1:24" ht="229.5" x14ac:dyDescent="0.25">
      <c r="A342" s="6" t="s">
        <v>1408</v>
      </c>
      <c r="B342" s="14">
        <v>46165</v>
      </c>
      <c r="C342" s="14">
        <v>46167</v>
      </c>
      <c r="D342" s="6" t="s">
        <v>1409</v>
      </c>
      <c r="E342" s="6" t="s">
        <v>86</v>
      </c>
      <c r="F342" s="6" t="s">
        <v>86</v>
      </c>
      <c r="G342" s="6" t="s">
        <v>1410</v>
      </c>
      <c r="H342" s="10">
        <v>100</v>
      </c>
      <c r="I342" s="6"/>
      <c r="J342" s="6"/>
      <c r="K342" s="6" t="s">
        <v>3</v>
      </c>
      <c r="L342" s="6"/>
      <c r="M342" s="6"/>
      <c r="N342" s="6"/>
      <c r="O342" s="6"/>
      <c r="P342" s="17" t="s">
        <v>1411</v>
      </c>
      <c r="Q342" s="6" t="s">
        <v>812</v>
      </c>
      <c r="R342" s="17" t="s">
        <v>3</v>
      </c>
      <c r="S342" s="17" t="s">
        <v>1412</v>
      </c>
      <c r="T342" s="6" t="s">
        <v>25</v>
      </c>
      <c r="U342" s="6" t="s">
        <v>222</v>
      </c>
      <c r="V342" s="17" t="s">
        <v>238</v>
      </c>
      <c r="W342" s="6">
        <v>708</v>
      </c>
      <c r="X342" s="6" t="s">
        <v>224</v>
      </c>
    </row>
    <row r="343" spans="1:24" ht="229.5" x14ac:dyDescent="0.25">
      <c r="A343" s="6" t="s">
        <v>1413</v>
      </c>
      <c r="B343" s="14">
        <v>46165</v>
      </c>
      <c r="C343" s="14">
        <v>46167</v>
      </c>
      <c r="D343" s="6" t="s">
        <v>1409</v>
      </c>
      <c r="E343" s="6" t="s">
        <v>86</v>
      </c>
      <c r="F343" s="6" t="s">
        <v>86</v>
      </c>
      <c r="G343" s="6" t="s">
        <v>1410</v>
      </c>
      <c r="H343" s="10">
        <v>100</v>
      </c>
      <c r="I343" s="6"/>
      <c r="J343" s="6"/>
      <c r="K343" s="6" t="s">
        <v>3</v>
      </c>
      <c r="L343" s="6"/>
      <c r="M343" s="6"/>
      <c r="N343" s="6"/>
      <c r="O343" s="6"/>
      <c r="P343" s="17" t="s">
        <v>1411</v>
      </c>
      <c r="Q343" s="6" t="s">
        <v>812</v>
      </c>
      <c r="R343" s="17" t="s">
        <v>3</v>
      </c>
      <c r="S343" s="17" t="s">
        <v>1412</v>
      </c>
      <c r="T343" s="6" t="s">
        <v>25</v>
      </c>
      <c r="U343" s="6" t="s">
        <v>222</v>
      </c>
      <c r="V343" s="17" t="s">
        <v>238</v>
      </c>
      <c r="W343" s="6">
        <v>708</v>
      </c>
      <c r="X343" s="6" t="s">
        <v>224</v>
      </c>
    </row>
    <row r="344" spans="1:24" ht="54" x14ac:dyDescent="0.25">
      <c r="A344" s="6" t="s">
        <v>1414</v>
      </c>
      <c r="B344" s="14">
        <v>46165</v>
      </c>
      <c r="C344" s="14">
        <v>46167</v>
      </c>
      <c r="D344" s="6" t="s">
        <v>1415</v>
      </c>
      <c r="E344" s="6" t="s">
        <v>35</v>
      </c>
      <c r="F344" s="6" t="s">
        <v>35</v>
      </c>
      <c r="G344" s="6" t="s">
        <v>236</v>
      </c>
      <c r="H344" s="10">
        <v>40</v>
      </c>
      <c r="I344" s="6"/>
      <c r="J344" s="6"/>
      <c r="K344" s="6" t="s">
        <v>3</v>
      </c>
      <c r="L344" s="10">
        <v>18</v>
      </c>
      <c r="M344" s="6"/>
      <c r="N344" s="6"/>
      <c r="O344" s="6"/>
      <c r="P344" s="17" t="s">
        <v>3</v>
      </c>
      <c r="Q344" s="6" t="s">
        <v>313</v>
      </c>
      <c r="R344" s="17" t="s">
        <v>1416</v>
      </c>
      <c r="S344" s="17" t="s">
        <v>1417</v>
      </c>
      <c r="T344" s="6" t="s">
        <v>24</v>
      </c>
      <c r="U344" s="6" t="s">
        <v>207</v>
      </c>
      <c r="V344" s="17" t="s">
        <v>3</v>
      </c>
      <c r="W344" s="6">
        <v>714</v>
      </c>
      <c r="X344" s="6" t="s">
        <v>208</v>
      </c>
    </row>
    <row r="345" spans="1:24" ht="27" x14ac:dyDescent="0.25">
      <c r="A345" s="6" t="s">
        <v>1418</v>
      </c>
      <c r="B345" s="14">
        <v>46167</v>
      </c>
      <c r="C345" s="14">
        <v>46167</v>
      </c>
      <c r="D345" s="6" t="s">
        <v>1419</v>
      </c>
      <c r="E345" s="6" t="s">
        <v>45</v>
      </c>
      <c r="F345" s="6" t="s">
        <v>3</v>
      </c>
      <c r="G345" s="6" t="s">
        <v>1420</v>
      </c>
      <c r="H345" s="10">
        <v>208.38</v>
      </c>
      <c r="I345" s="6"/>
      <c r="J345" s="6"/>
      <c r="K345" s="6" t="s">
        <v>3</v>
      </c>
      <c r="L345" s="6"/>
      <c r="M345" s="6"/>
      <c r="N345" s="6"/>
      <c r="O345" s="6"/>
      <c r="P345" s="17" t="s">
        <v>1421</v>
      </c>
      <c r="Q345" s="6" t="s">
        <v>313</v>
      </c>
      <c r="R345" s="17" t="s">
        <v>1422</v>
      </c>
      <c r="S345" s="17" t="s">
        <v>1423</v>
      </c>
      <c r="T345" s="6" t="s">
        <v>26</v>
      </c>
      <c r="U345" s="6" t="s">
        <v>222</v>
      </c>
      <c r="V345" s="17" t="s">
        <v>543</v>
      </c>
      <c r="W345" s="6">
        <v>709</v>
      </c>
      <c r="X345" s="6" t="s">
        <v>224</v>
      </c>
    </row>
    <row r="346" spans="1:24" ht="27" x14ac:dyDescent="0.25">
      <c r="A346" s="6" t="s">
        <v>1424</v>
      </c>
      <c r="B346" s="14">
        <v>46167</v>
      </c>
      <c r="C346" s="14">
        <v>46167</v>
      </c>
      <c r="D346" s="6" t="s">
        <v>1419</v>
      </c>
      <c r="E346" s="6" t="s">
        <v>45</v>
      </c>
      <c r="F346" s="6" t="s">
        <v>3</v>
      </c>
      <c r="G346" s="6" t="s">
        <v>852</v>
      </c>
      <c r="H346" s="10">
        <v>272.89999999999998</v>
      </c>
      <c r="I346" s="6"/>
      <c r="J346" s="6"/>
      <c r="K346" s="6" t="s">
        <v>3</v>
      </c>
      <c r="L346" s="6"/>
      <c r="M346" s="6"/>
      <c r="N346" s="6"/>
      <c r="O346" s="6"/>
      <c r="P346" s="17" t="s">
        <v>1425</v>
      </c>
      <c r="Q346" s="6" t="s">
        <v>313</v>
      </c>
      <c r="R346" s="17" t="s">
        <v>1426</v>
      </c>
      <c r="S346" s="17" t="s">
        <v>1427</v>
      </c>
      <c r="T346" s="6" t="s">
        <v>26</v>
      </c>
      <c r="U346" s="6" t="s">
        <v>222</v>
      </c>
      <c r="V346" s="17" t="s">
        <v>543</v>
      </c>
      <c r="W346" s="6">
        <v>710</v>
      </c>
      <c r="X346" s="6" t="s">
        <v>224</v>
      </c>
    </row>
    <row r="347" spans="1:24" ht="67.5" x14ac:dyDescent="0.25">
      <c r="A347" s="6" t="s">
        <v>1428</v>
      </c>
      <c r="B347" s="14">
        <v>46167</v>
      </c>
      <c r="C347" s="14">
        <v>46167</v>
      </c>
      <c r="D347" s="6" t="s">
        <v>1429</v>
      </c>
      <c r="E347" s="6" t="s">
        <v>92</v>
      </c>
      <c r="F347" s="6" t="s">
        <v>92</v>
      </c>
      <c r="G347" s="6" t="s">
        <v>1420</v>
      </c>
      <c r="H347" s="10">
        <v>208</v>
      </c>
      <c r="I347" s="6"/>
      <c r="J347" s="6"/>
      <c r="K347" s="6" t="s">
        <v>3</v>
      </c>
      <c r="L347" s="6"/>
      <c r="M347" s="6"/>
      <c r="N347" s="6"/>
      <c r="O347" s="6"/>
      <c r="P347" s="17" t="s">
        <v>1430</v>
      </c>
      <c r="Q347" s="6" t="s">
        <v>313</v>
      </c>
      <c r="R347" s="17" t="s">
        <v>3</v>
      </c>
      <c r="S347" s="17" t="s">
        <v>1431</v>
      </c>
      <c r="T347" s="6" t="s">
        <v>24</v>
      </c>
      <c r="U347" s="6" t="s">
        <v>207</v>
      </c>
      <c r="V347" s="17" t="s">
        <v>3</v>
      </c>
      <c r="W347" s="6">
        <v>711</v>
      </c>
      <c r="X347" s="6" t="s">
        <v>208</v>
      </c>
    </row>
    <row r="348" spans="1:24" ht="40.5" x14ac:dyDescent="0.25">
      <c r="A348" s="6" t="s">
        <v>1432</v>
      </c>
      <c r="B348" s="14">
        <v>46167</v>
      </c>
      <c r="C348" s="14">
        <v>46167</v>
      </c>
      <c r="D348" s="6" t="s">
        <v>1433</v>
      </c>
      <c r="E348" s="6" t="s">
        <v>47</v>
      </c>
      <c r="F348" s="6" t="s">
        <v>1361</v>
      </c>
      <c r="G348" s="6" t="s">
        <v>204</v>
      </c>
      <c r="H348" s="6"/>
      <c r="I348" s="6"/>
      <c r="J348" s="6"/>
      <c r="K348" s="6" t="s">
        <v>3</v>
      </c>
      <c r="L348" s="6"/>
      <c r="M348" s="10">
        <v>18</v>
      </c>
      <c r="N348" s="6"/>
      <c r="O348" s="6"/>
      <c r="P348" s="17" t="s">
        <v>3</v>
      </c>
      <c r="Q348" s="6" t="s">
        <v>205</v>
      </c>
      <c r="R348" s="17" t="s">
        <v>3</v>
      </c>
      <c r="S348" s="17" t="s">
        <v>1434</v>
      </c>
      <c r="T348" s="6" t="s">
        <v>25</v>
      </c>
      <c r="U348" s="6" t="s">
        <v>222</v>
      </c>
      <c r="V348" s="17" t="s">
        <v>223</v>
      </c>
      <c r="W348" s="6">
        <v>712</v>
      </c>
      <c r="X348" s="6" t="s">
        <v>224</v>
      </c>
    </row>
    <row r="349" spans="1:24" ht="27" x14ac:dyDescent="0.25">
      <c r="A349" s="6" t="s">
        <v>1435</v>
      </c>
      <c r="B349" s="14">
        <v>46167</v>
      </c>
      <c r="C349" s="14">
        <v>46167</v>
      </c>
      <c r="D349" s="6" t="s">
        <v>1436</v>
      </c>
      <c r="E349" s="6" t="s">
        <v>47</v>
      </c>
      <c r="F349" s="6" t="s">
        <v>489</v>
      </c>
      <c r="G349" s="6" t="s">
        <v>236</v>
      </c>
      <c r="H349" s="10">
        <v>81</v>
      </c>
      <c r="I349" s="6"/>
      <c r="J349" s="6"/>
      <c r="K349" s="6" t="s">
        <v>3</v>
      </c>
      <c r="L349" s="6"/>
      <c r="M349" s="6"/>
      <c r="N349" s="6"/>
      <c r="O349" s="6"/>
      <c r="P349" s="17" t="s">
        <v>3</v>
      </c>
      <c r="Q349" s="6" t="s">
        <v>228</v>
      </c>
      <c r="R349" s="17" t="s">
        <v>3</v>
      </c>
      <c r="S349" s="17" t="s">
        <v>1437</v>
      </c>
      <c r="T349" s="6" t="s">
        <v>24</v>
      </c>
      <c r="U349" s="6" t="s">
        <v>207</v>
      </c>
      <c r="V349" s="17" t="s">
        <v>3</v>
      </c>
      <c r="W349" s="6">
        <v>713</v>
      </c>
      <c r="X349" s="6" t="s">
        <v>208</v>
      </c>
    </row>
    <row r="350" spans="1:24" ht="54" x14ac:dyDescent="0.25">
      <c r="A350" s="6" t="s">
        <v>1438</v>
      </c>
      <c r="B350" s="14">
        <v>46168</v>
      </c>
      <c r="C350" s="14">
        <v>46168</v>
      </c>
      <c r="D350" s="6" t="s">
        <v>1439</v>
      </c>
      <c r="E350" s="6" t="s">
        <v>88</v>
      </c>
      <c r="F350" s="6" t="s">
        <v>88</v>
      </c>
      <c r="G350" s="6" t="s">
        <v>263</v>
      </c>
      <c r="H350" s="6"/>
      <c r="I350" s="6"/>
      <c r="J350" s="6"/>
      <c r="K350" s="6" t="s">
        <v>1440</v>
      </c>
      <c r="L350" s="6"/>
      <c r="M350" s="10">
        <v>31</v>
      </c>
      <c r="N350" s="6"/>
      <c r="O350" s="6"/>
      <c r="P350" s="17" t="s">
        <v>3</v>
      </c>
      <c r="Q350" s="6" t="s">
        <v>205</v>
      </c>
      <c r="R350" s="17" t="s">
        <v>3</v>
      </c>
      <c r="S350" s="17" t="s">
        <v>1441</v>
      </c>
      <c r="T350" s="6" t="s">
        <v>26</v>
      </c>
      <c r="U350" s="6" t="s">
        <v>222</v>
      </c>
      <c r="V350" s="17" t="s">
        <v>1129</v>
      </c>
      <c r="W350" s="6">
        <v>716</v>
      </c>
      <c r="X350" s="6" t="s">
        <v>224</v>
      </c>
    </row>
    <row r="351" spans="1:24" ht="67.5" x14ac:dyDescent="0.25">
      <c r="A351" s="6" t="s">
        <v>1442</v>
      </c>
      <c r="B351" s="14">
        <v>46168</v>
      </c>
      <c r="C351" s="14">
        <v>46174</v>
      </c>
      <c r="D351" s="6" t="s">
        <v>1443</v>
      </c>
      <c r="E351" s="6" t="s">
        <v>92</v>
      </c>
      <c r="F351" s="6" t="s">
        <v>92</v>
      </c>
      <c r="G351" s="6" t="s">
        <v>236</v>
      </c>
      <c r="H351" s="10">
        <v>100</v>
      </c>
      <c r="I351" s="6"/>
      <c r="J351" s="6"/>
      <c r="K351" s="6" t="s">
        <v>3</v>
      </c>
      <c r="L351" s="10">
        <v>35</v>
      </c>
      <c r="M351" s="6"/>
      <c r="N351" s="6"/>
      <c r="O351" s="6"/>
      <c r="P351" s="17" t="s">
        <v>3</v>
      </c>
      <c r="Q351" s="6" t="s">
        <v>313</v>
      </c>
      <c r="R351" s="17" t="s">
        <v>1444</v>
      </c>
      <c r="S351" s="17" t="s">
        <v>1445</v>
      </c>
      <c r="T351" s="6" t="s">
        <v>24</v>
      </c>
      <c r="U351" s="6" t="s">
        <v>207</v>
      </c>
      <c r="V351" s="17" t="s">
        <v>3</v>
      </c>
      <c r="W351" s="6">
        <v>730</v>
      </c>
      <c r="X351" s="6" t="s">
        <v>208</v>
      </c>
    </row>
    <row r="352" spans="1:24" ht="27" x14ac:dyDescent="0.25">
      <c r="A352" s="6" t="s">
        <v>1446</v>
      </c>
      <c r="B352" s="14">
        <v>46168</v>
      </c>
      <c r="C352" s="14">
        <v>46168</v>
      </c>
      <c r="D352" s="6" t="s">
        <v>1447</v>
      </c>
      <c r="E352" s="6" t="s">
        <v>47</v>
      </c>
      <c r="F352" s="6" t="s">
        <v>489</v>
      </c>
      <c r="G352" s="6" t="s">
        <v>236</v>
      </c>
      <c r="H352" s="10">
        <v>95</v>
      </c>
      <c r="I352" s="6"/>
      <c r="J352" s="6"/>
      <c r="K352" s="6" t="s">
        <v>3</v>
      </c>
      <c r="L352" s="6"/>
      <c r="M352" s="6"/>
      <c r="N352" s="6"/>
      <c r="O352" s="6"/>
      <c r="P352" s="17" t="s">
        <v>3</v>
      </c>
      <c r="Q352" s="6" t="s">
        <v>228</v>
      </c>
      <c r="R352" s="17" t="s">
        <v>3</v>
      </c>
      <c r="S352" s="17" t="s">
        <v>1448</v>
      </c>
      <c r="T352" s="6" t="s">
        <v>24</v>
      </c>
      <c r="U352" s="6" t="s">
        <v>207</v>
      </c>
      <c r="V352" s="17" t="s">
        <v>3</v>
      </c>
      <c r="W352" s="6">
        <v>715</v>
      </c>
      <c r="X352" s="6" t="s">
        <v>208</v>
      </c>
    </row>
    <row r="353" spans="1:24" ht="27" x14ac:dyDescent="0.25">
      <c r="A353" s="6" t="s">
        <v>1449</v>
      </c>
      <c r="B353" s="14">
        <v>46169</v>
      </c>
      <c r="C353" s="14">
        <v>46169</v>
      </c>
      <c r="D353" s="6" t="s">
        <v>1450</v>
      </c>
      <c r="E353" s="6" t="s">
        <v>71</v>
      </c>
      <c r="F353" s="6" t="s">
        <v>71</v>
      </c>
      <c r="G353" s="6" t="s">
        <v>263</v>
      </c>
      <c r="H353" s="10">
        <v>160</v>
      </c>
      <c r="I353" s="6"/>
      <c r="J353" s="6"/>
      <c r="K353" s="6" t="s">
        <v>3</v>
      </c>
      <c r="L353" s="6"/>
      <c r="M353" s="6"/>
      <c r="N353" s="6"/>
      <c r="O353" s="6"/>
      <c r="P353" s="17" t="s">
        <v>3</v>
      </c>
      <c r="Q353" s="6" t="s">
        <v>228</v>
      </c>
      <c r="R353" s="17" t="s">
        <v>3</v>
      </c>
      <c r="S353" s="17" t="s">
        <v>1451</v>
      </c>
      <c r="T353" s="6" t="s">
        <v>25</v>
      </c>
      <c r="U353" s="6" t="s">
        <v>222</v>
      </c>
      <c r="V353" s="17" t="s">
        <v>267</v>
      </c>
      <c r="W353" s="6">
        <v>720</v>
      </c>
      <c r="X353" s="6" t="s">
        <v>224</v>
      </c>
    </row>
    <row r="354" spans="1:24" ht="54" x14ac:dyDescent="0.25">
      <c r="A354" s="6" t="s">
        <v>1452</v>
      </c>
      <c r="B354" s="14">
        <v>46169</v>
      </c>
      <c r="C354" s="14">
        <v>46169</v>
      </c>
      <c r="D354" s="6" t="s">
        <v>1453</v>
      </c>
      <c r="E354" s="6" t="s">
        <v>74</v>
      </c>
      <c r="F354" s="6" t="s">
        <v>74</v>
      </c>
      <c r="G354" s="6" t="s">
        <v>204</v>
      </c>
      <c r="H354" s="10">
        <v>347</v>
      </c>
      <c r="I354" s="6"/>
      <c r="J354" s="6"/>
      <c r="K354" s="6" t="s">
        <v>3</v>
      </c>
      <c r="L354" s="6"/>
      <c r="M354" s="10">
        <v>109</v>
      </c>
      <c r="N354" s="6"/>
      <c r="O354" s="6"/>
      <c r="P354" s="17" t="s">
        <v>3</v>
      </c>
      <c r="Q354" s="6" t="s">
        <v>205</v>
      </c>
      <c r="R354" s="17" t="s">
        <v>3</v>
      </c>
      <c r="S354" s="17" t="s">
        <v>1454</v>
      </c>
      <c r="T354" s="6" t="s">
        <v>24</v>
      </c>
      <c r="U354" s="6" t="s">
        <v>207</v>
      </c>
      <c r="V354" s="17" t="s">
        <v>3</v>
      </c>
      <c r="W354" s="6">
        <v>721</v>
      </c>
      <c r="X354" s="6" t="s">
        <v>208</v>
      </c>
    </row>
    <row r="355" spans="1:24" ht="54" x14ac:dyDescent="0.25">
      <c r="A355" s="6" t="s">
        <v>1455</v>
      </c>
      <c r="B355" s="14">
        <v>46170</v>
      </c>
      <c r="C355" s="14">
        <v>46170</v>
      </c>
      <c r="D355" s="6" t="s">
        <v>1456</v>
      </c>
      <c r="E355" s="6" t="s">
        <v>74</v>
      </c>
      <c r="F355" s="6" t="s">
        <v>74</v>
      </c>
      <c r="G355" s="6" t="s">
        <v>204</v>
      </c>
      <c r="H355" s="10">
        <v>350</v>
      </c>
      <c r="I355" s="6"/>
      <c r="J355" s="6"/>
      <c r="K355" s="6" t="s">
        <v>3</v>
      </c>
      <c r="L355" s="6"/>
      <c r="M355" s="10">
        <v>113</v>
      </c>
      <c r="N355" s="6"/>
      <c r="O355" s="6"/>
      <c r="P355" s="17" t="s">
        <v>3</v>
      </c>
      <c r="Q355" s="6" t="s">
        <v>205</v>
      </c>
      <c r="R355" s="17" t="s">
        <v>3</v>
      </c>
      <c r="S355" s="17" t="s">
        <v>1457</v>
      </c>
      <c r="T355" s="6" t="s">
        <v>24</v>
      </c>
      <c r="U355" s="6" t="s">
        <v>207</v>
      </c>
      <c r="V355" s="17" t="s">
        <v>3</v>
      </c>
      <c r="W355" s="6">
        <v>722</v>
      </c>
      <c r="X355" s="6" t="s">
        <v>208</v>
      </c>
    </row>
    <row r="356" spans="1:24" ht="67.5" x14ac:dyDescent="0.25">
      <c r="A356" s="6" t="s">
        <v>1458</v>
      </c>
      <c r="B356" s="14">
        <v>46171</v>
      </c>
      <c r="C356" s="14">
        <v>46171</v>
      </c>
      <c r="D356" s="6" t="s">
        <v>1459</v>
      </c>
      <c r="E356" s="6" t="s">
        <v>74</v>
      </c>
      <c r="F356" s="6" t="s">
        <v>74</v>
      </c>
      <c r="G356" s="6" t="s">
        <v>204</v>
      </c>
      <c r="H356" s="10">
        <v>217</v>
      </c>
      <c r="I356" s="6"/>
      <c r="J356" s="6"/>
      <c r="K356" s="6" t="s">
        <v>3</v>
      </c>
      <c r="L356" s="6"/>
      <c r="M356" s="10">
        <v>110</v>
      </c>
      <c r="N356" s="6"/>
      <c r="O356" s="6"/>
      <c r="P356" s="17" t="s">
        <v>3</v>
      </c>
      <c r="Q356" s="6" t="s">
        <v>205</v>
      </c>
      <c r="R356" s="17" t="s">
        <v>3</v>
      </c>
      <c r="S356" s="17" t="s">
        <v>1460</v>
      </c>
      <c r="T356" s="6" t="s">
        <v>24</v>
      </c>
      <c r="U356" s="6" t="s">
        <v>207</v>
      </c>
      <c r="V356" s="17" t="s">
        <v>3</v>
      </c>
      <c r="W356" s="6">
        <v>723</v>
      </c>
      <c r="X356" s="6" t="s">
        <v>208</v>
      </c>
    </row>
    <row r="357" spans="1:24" ht="67.5" x14ac:dyDescent="0.25">
      <c r="A357" s="6" t="s">
        <v>1461</v>
      </c>
      <c r="B357" s="14">
        <v>46172</v>
      </c>
      <c r="C357" s="14">
        <v>46172</v>
      </c>
      <c r="D357" s="6" t="s">
        <v>1462</v>
      </c>
      <c r="E357" s="6" t="s">
        <v>49</v>
      </c>
      <c r="F357" s="6" t="s">
        <v>49</v>
      </c>
      <c r="G357" s="6" t="s">
        <v>204</v>
      </c>
      <c r="H357" s="10">
        <v>176</v>
      </c>
      <c r="I357" s="6"/>
      <c r="J357" s="6"/>
      <c r="K357" s="6" t="s">
        <v>3</v>
      </c>
      <c r="L357" s="6"/>
      <c r="M357" s="6"/>
      <c r="N357" s="6"/>
      <c r="O357" s="6"/>
      <c r="P357" s="17" t="s">
        <v>3</v>
      </c>
      <c r="Q357" s="6" t="s">
        <v>313</v>
      </c>
      <c r="R357" s="17" t="s">
        <v>1463</v>
      </c>
      <c r="S357" s="17" t="s">
        <v>1464</v>
      </c>
      <c r="T357" s="6" t="s">
        <v>24</v>
      </c>
      <c r="U357" s="6" t="s">
        <v>207</v>
      </c>
      <c r="V357" s="17" t="s">
        <v>3</v>
      </c>
      <c r="W357" s="6">
        <v>724</v>
      </c>
      <c r="X357" s="6" t="s">
        <v>208</v>
      </c>
    </row>
    <row r="358" spans="1:24" ht="54" x14ac:dyDescent="0.25">
      <c r="A358" s="6" t="s">
        <v>1465</v>
      </c>
      <c r="B358" s="14">
        <v>46173</v>
      </c>
      <c r="C358" s="14">
        <v>46173</v>
      </c>
      <c r="D358" s="6" t="s">
        <v>1466</v>
      </c>
      <c r="E358" s="6" t="s">
        <v>153</v>
      </c>
      <c r="F358" s="6" t="s">
        <v>153</v>
      </c>
      <c r="G358" s="6" t="s">
        <v>236</v>
      </c>
      <c r="H358" s="10">
        <v>208</v>
      </c>
      <c r="I358" s="6"/>
      <c r="J358" s="6"/>
      <c r="K358" s="6" t="s">
        <v>3</v>
      </c>
      <c r="L358" s="10">
        <v>105</v>
      </c>
      <c r="M358" s="6"/>
      <c r="N358" s="6"/>
      <c r="O358" s="6"/>
      <c r="P358" s="17" t="s">
        <v>3</v>
      </c>
      <c r="Q358" s="6" t="s">
        <v>313</v>
      </c>
      <c r="R358" s="17" t="s">
        <v>3</v>
      </c>
      <c r="S358" s="17" t="s">
        <v>1467</v>
      </c>
      <c r="T358" s="6" t="s">
        <v>24</v>
      </c>
      <c r="U358" s="6" t="s">
        <v>207</v>
      </c>
      <c r="V358" s="17" t="s">
        <v>3</v>
      </c>
      <c r="W358" s="6">
        <v>725</v>
      </c>
      <c r="X358" s="6" t="s">
        <v>208</v>
      </c>
    </row>
    <row r="359" spans="1:24" ht="54" x14ac:dyDescent="0.25">
      <c r="A359" s="6" t="s">
        <v>1468</v>
      </c>
      <c r="B359" s="14">
        <v>46174</v>
      </c>
      <c r="C359" s="14">
        <v>46174</v>
      </c>
      <c r="D359" s="6" t="s">
        <v>1469</v>
      </c>
      <c r="E359" s="6" t="s">
        <v>58</v>
      </c>
      <c r="F359" s="6" t="s">
        <v>58</v>
      </c>
      <c r="G359" s="6" t="s">
        <v>204</v>
      </c>
      <c r="H359" s="10">
        <v>290</v>
      </c>
      <c r="I359" s="6"/>
      <c r="J359" s="6"/>
      <c r="K359" s="6" t="s">
        <v>3</v>
      </c>
      <c r="L359" s="6"/>
      <c r="M359" s="10">
        <v>54</v>
      </c>
      <c r="N359" s="6"/>
      <c r="O359" s="6"/>
      <c r="P359" s="17" t="s">
        <v>3</v>
      </c>
      <c r="Q359" s="6" t="s">
        <v>205</v>
      </c>
      <c r="R359" s="17" t="s">
        <v>3</v>
      </c>
      <c r="S359" s="17" t="s">
        <v>1470</v>
      </c>
      <c r="T359" s="6" t="s">
        <v>24</v>
      </c>
      <c r="U359" s="6" t="s">
        <v>207</v>
      </c>
      <c r="V359" s="17" t="s">
        <v>3</v>
      </c>
      <c r="W359" s="6">
        <v>729</v>
      </c>
      <c r="X359" s="6" t="s">
        <v>208</v>
      </c>
    </row>
    <row r="360" spans="1:24" ht="40.5" x14ac:dyDescent="0.25">
      <c r="A360" s="6" t="s">
        <v>1471</v>
      </c>
      <c r="B360" s="14">
        <v>46174</v>
      </c>
      <c r="C360" s="14">
        <v>46175</v>
      </c>
      <c r="D360" s="6" t="s">
        <v>1472</v>
      </c>
      <c r="E360" s="6" t="s">
        <v>56</v>
      </c>
      <c r="F360" s="6" t="s">
        <v>1473</v>
      </c>
      <c r="G360" s="6" t="s">
        <v>1474</v>
      </c>
      <c r="H360" s="10">
        <v>8</v>
      </c>
      <c r="I360" s="6"/>
      <c r="J360" s="6"/>
      <c r="K360" s="6" t="s">
        <v>3</v>
      </c>
      <c r="L360" s="6"/>
      <c r="M360" s="6"/>
      <c r="N360" s="6"/>
      <c r="O360" s="6"/>
      <c r="P360" s="17" t="s">
        <v>3</v>
      </c>
      <c r="Q360" s="6" t="s">
        <v>812</v>
      </c>
      <c r="R360" s="17" t="s">
        <v>3</v>
      </c>
      <c r="S360" s="17" t="s">
        <v>1475</v>
      </c>
      <c r="T360" s="6" t="s">
        <v>24</v>
      </c>
      <c r="U360" s="6" t="s">
        <v>207</v>
      </c>
      <c r="V360" s="17" t="s">
        <v>3</v>
      </c>
      <c r="W360" s="6">
        <v>731</v>
      </c>
      <c r="X360" s="6" t="s">
        <v>208</v>
      </c>
    </row>
    <row r="361" spans="1:24" ht="81" x14ac:dyDescent="0.25">
      <c r="A361" s="6" t="s">
        <v>1476</v>
      </c>
      <c r="B361" s="14">
        <v>46175</v>
      </c>
      <c r="C361" s="14">
        <v>46175</v>
      </c>
      <c r="D361" s="6" t="s">
        <v>1477</v>
      </c>
      <c r="E361" s="6" t="s">
        <v>104</v>
      </c>
      <c r="F361" s="6" t="s">
        <v>104</v>
      </c>
      <c r="G361" s="6" t="s">
        <v>263</v>
      </c>
      <c r="H361" s="10">
        <v>290</v>
      </c>
      <c r="I361" s="6"/>
      <c r="J361" s="6"/>
      <c r="K361" s="6" t="s">
        <v>3</v>
      </c>
      <c r="L361" s="6"/>
      <c r="M361" s="6"/>
      <c r="N361" s="6"/>
      <c r="O361" s="6"/>
      <c r="P361" s="17" t="s">
        <v>1478</v>
      </c>
      <c r="Q361" s="6" t="s">
        <v>812</v>
      </c>
      <c r="R361" s="17" t="s">
        <v>1479</v>
      </c>
      <c r="S361" s="17" t="s">
        <v>1480</v>
      </c>
      <c r="T361" s="6" t="s">
        <v>25</v>
      </c>
      <c r="U361" s="6" t="s">
        <v>222</v>
      </c>
      <c r="V361" s="17" t="s">
        <v>267</v>
      </c>
      <c r="W361" s="6">
        <v>732</v>
      </c>
      <c r="X361" s="6" t="s">
        <v>224</v>
      </c>
    </row>
    <row r="362" spans="1:24" ht="54" x14ac:dyDescent="0.25">
      <c r="A362" s="6" t="s">
        <v>1481</v>
      </c>
      <c r="B362" s="14">
        <v>46175</v>
      </c>
      <c r="C362" s="14">
        <v>46175</v>
      </c>
      <c r="D362" s="6" t="s">
        <v>1482</v>
      </c>
      <c r="E362" s="6" t="s">
        <v>42</v>
      </c>
      <c r="F362" s="6" t="s">
        <v>1483</v>
      </c>
      <c r="G362" s="6" t="s">
        <v>204</v>
      </c>
      <c r="H362" s="6"/>
      <c r="I362" s="6"/>
      <c r="J362" s="6"/>
      <c r="K362" s="6" t="s">
        <v>838</v>
      </c>
      <c r="L362" s="6"/>
      <c r="M362" s="10">
        <v>183</v>
      </c>
      <c r="N362" s="6"/>
      <c r="O362" s="6"/>
      <c r="P362" s="17" t="s">
        <v>3</v>
      </c>
      <c r="Q362" s="6" t="s">
        <v>205</v>
      </c>
      <c r="R362" s="17" t="s">
        <v>3</v>
      </c>
      <c r="S362" s="17" t="s">
        <v>1484</v>
      </c>
      <c r="T362" s="6" t="s">
        <v>25</v>
      </c>
      <c r="U362" s="6" t="s">
        <v>222</v>
      </c>
      <c r="V362" s="17" t="s">
        <v>223</v>
      </c>
      <c r="W362" s="6">
        <v>733</v>
      </c>
      <c r="X362" s="6" t="s">
        <v>224</v>
      </c>
    </row>
    <row r="363" spans="1:24" ht="67.5" x14ac:dyDescent="0.25">
      <c r="A363" s="6" t="s">
        <v>1485</v>
      </c>
      <c r="B363" s="14">
        <v>46176</v>
      </c>
      <c r="C363" s="14">
        <v>46176</v>
      </c>
      <c r="D363" s="6" t="s">
        <v>1486</v>
      </c>
      <c r="E363" s="6" t="s">
        <v>78</v>
      </c>
      <c r="F363" s="6" t="s">
        <v>78</v>
      </c>
      <c r="G363" s="6" t="s">
        <v>236</v>
      </c>
      <c r="H363" s="10">
        <v>370</v>
      </c>
      <c r="I363" s="6"/>
      <c r="J363" s="6"/>
      <c r="K363" s="6" t="s">
        <v>3</v>
      </c>
      <c r="L363" s="10">
        <v>133</v>
      </c>
      <c r="M363" s="6"/>
      <c r="N363" s="6"/>
      <c r="O363" s="6"/>
      <c r="P363" s="17" t="s">
        <v>3</v>
      </c>
      <c r="Q363" s="6" t="s">
        <v>313</v>
      </c>
      <c r="R363" s="17" t="s">
        <v>1487</v>
      </c>
      <c r="S363" s="17" t="s">
        <v>1488</v>
      </c>
      <c r="T363" s="6" t="s">
        <v>24</v>
      </c>
      <c r="U363" s="6" t="s">
        <v>207</v>
      </c>
      <c r="V363" s="17" t="s">
        <v>3</v>
      </c>
      <c r="W363" s="6">
        <v>739</v>
      </c>
      <c r="X363" s="6" t="s">
        <v>208</v>
      </c>
    </row>
    <row r="364" spans="1:24" ht="54" x14ac:dyDescent="0.25">
      <c r="A364" s="6" t="s">
        <v>1489</v>
      </c>
      <c r="B364" s="14">
        <v>46176</v>
      </c>
      <c r="C364" s="14">
        <v>46176</v>
      </c>
      <c r="D364" s="6" t="s">
        <v>1490</v>
      </c>
      <c r="E364" s="6" t="s">
        <v>42</v>
      </c>
      <c r="F364" s="6" t="s">
        <v>1483</v>
      </c>
      <c r="G364" s="6" t="s">
        <v>204</v>
      </c>
      <c r="H364" s="6"/>
      <c r="I364" s="6"/>
      <c r="J364" s="6"/>
      <c r="K364" s="6" t="s">
        <v>838</v>
      </c>
      <c r="L364" s="6"/>
      <c r="M364" s="10">
        <v>180</v>
      </c>
      <c r="N364" s="6"/>
      <c r="O364" s="6"/>
      <c r="P364" s="17" t="s">
        <v>3</v>
      </c>
      <c r="Q364" s="6" t="s">
        <v>205</v>
      </c>
      <c r="R364" s="17" t="s">
        <v>3</v>
      </c>
      <c r="S364" s="17" t="s">
        <v>1491</v>
      </c>
      <c r="T364" s="6" t="s">
        <v>25</v>
      </c>
      <c r="U364" s="6" t="s">
        <v>222</v>
      </c>
      <c r="V364" s="17" t="s">
        <v>223</v>
      </c>
      <c r="W364" s="6">
        <v>738</v>
      </c>
      <c r="X364" s="6" t="s">
        <v>224</v>
      </c>
    </row>
    <row r="365" spans="1:24" ht="54" x14ac:dyDescent="0.25">
      <c r="A365" s="6" t="s">
        <v>1492</v>
      </c>
      <c r="B365" s="14">
        <v>46177</v>
      </c>
      <c r="C365" s="14">
        <v>46178</v>
      </c>
      <c r="D365" s="6" t="s">
        <v>1493</v>
      </c>
      <c r="E365" s="6" t="s">
        <v>42</v>
      </c>
      <c r="F365" s="6" t="s">
        <v>1483</v>
      </c>
      <c r="G365" s="6" t="s">
        <v>204</v>
      </c>
      <c r="H365" s="6"/>
      <c r="I365" s="6"/>
      <c r="J365" s="6"/>
      <c r="K365" s="6" t="s">
        <v>1494</v>
      </c>
      <c r="L365" s="6"/>
      <c r="M365" s="10">
        <v>117</v>
      </c>
      <c r="N365" s="6"/>
      <c r="O365" s="6"/>
      <c r="P365" s="17" t="s">
        <v>3</v>
      </c>
      <c r="Q365" s="6" t="s">
        <v>205</v>
      </c>
      <c r="R365" s="17" t="s">
        <v>3</v>
      </c>
      <c r="S365" s="17" t="s">
        <v>1495</v>
      </c>
      <c r="T365" s="6" t="s">
        <v>25</v>
      </c>
      <c r="U365" s="6" t="s">
        <v>222</v>
      </c>
      <c r="V365" s="17" t="s">
        <v>223</v>
      </c>
      <c r="W365" s="6">
        <v>740</v>
      </c>
      <c r="X365" s="6" t="s">
        <v>224</v>
      </c>
    </row>
    <row r="366" spans="1:24" ht="67.5" x14ac:dyDescent="0.25">
      <c r="A366" s="6" t="s">
        <v>1496</v>
      </c>
      <c r="B366" s="14">
        <v>46178</v>
      </c>
      <c r="C366" s="14">
        <v>46179</v>
      </c>
      <c r="D366" s="6" t="s">
        <v>1497</v>
      </c>
      <c r="E366" s="6" t="s">
        <v>78</v>
      </c>
      <c r="F366" s="6" t="s">
        <v>78</v>
      </c>
      <c r="G366" s="6" t="s">
        <v>236</v>
      </c>
      <c r="H366" s="10">
        <v>380</v>
      </c>
      <c r="I366" s="6"/>
      <c r="J366" s="6"/>
      <c r="K366" s="6" t="s">
        <v>3</v>
      </c>
      <c r="L366" s="10">
        <v>139</v>
      </c>
      <c r="M366" s="6"/>
      <c r="N366" s="6"/>
      <c r="O366" s="6"/>
      <c r="P366" s="17" t="s">
        <v>3</v>
      </c>
      <c r="Q366" s="6" t="s">
        <v>313</v>
      </c>
      <c r="R366" s="17" t="s">
        <v>1498</v>
      </c>
      <c r="S366" s="17" t="s">
        <v>1499</v>
      </c>
      <c r="T366" s="6" t="s">
        <v>24</v>
      </c>
      <c r="U366" s="6" t="s">
        <v>207</v>
      </c>
      <c r="V366" s="17" t="s">
        <v>3</v>
      </c>
      <c r="W366" s="6">
        <v>743</v>
      </c>
      <c r="X366" s="6" t="s">
        <v>208</v>
      </c>
    </row>
    <row r="367" spans="1:24" ht="67.5" x14ac:dyDescent="0.25">
      <c r="A367" s="6" t="s">
        <v>1500</v>
      </c>
      <c r="B367" s="14">
        <v>46178</v>
      </c>
      <c r="C367" s="14">
        <v>46178</v>
      </c>
      <c r="D367" s="6" t="s">
        <v>1501</v>
      </c>
      <c r="E367" s="6" t="s">
        <v>42</v>
      </c>
      <c r="F367" s="6" t="s">
        <v>1483</v>
      </c>
      <c r="G367" s="6" t="s">
        <v>204</v>
      </c>
      <c r="H367" s="10">
        <v>366</v>
      </c>
      <c r="I367" s="6"/>
      <c r="J367" s="6"/>
      <c r="K367" s="6" t="s">
        <v>453</v>
      </c>
      <c r="L367" s="6"/>
      <c r="M367" s="10">
        <v>86</v>
      </c>
      <c r="N367" s="6"/>
      <c r="O367" s="6"/>
      <c r="P367" s="17" t="s">
        <v>3</v>
      </c>
      <c r="Q367" s="6" t="s">
        <v>205</v>
      </c>
      <c r="R367" s="17" t="s">
        <v>3</v>
      </c>
      <c r="S367" s="17" t="s">
        <v>1502</v>
      </c>
      <c r="T367" s="6" t="s">
        <v>24</v>
      </c>
      <c r="U367" s="6" t="s">
        <v>207</v>
      </c>
      <c r="V367" s="17" t="s">
        <v>3</v>
      </c>
      <c r="W367" s="6">
        <v>742</v>
      </c>
      <c r="X367" s="6" t="s">
        <v>208</v>
      </c>
    </row>
    <row r="368" spans="1:24" ht="67.5" x14ac:dyDescent="0.25">
      <c r="A368" s="6" t="s">
        <v>1503</v>
      </c>
      <c r="B368" s="14">
        <v>46179</v>
      </c>
      <c r="C368" s="14">
        <v>46179</v>
      </c>
      <c r="D368" s="6" t="s">
        <v>1504</v>
      </c>
      <c r="E368" s="6" t="s">
        <v>107</v>
      </c>
      <c r="F368" s="6" t="s">
        <v>107</v>
      </c>
      <c r="G368" s="6" t="s">
        <v>204</v>
      </c>
      <c r="H368" s="10">
        <v>310</v>
      </c>
      <c r="I368" s="6"/>
      <c r="J368" s="6"/>
      <c r="K368" s="6" t="s">
        <v>3</v>
      </c>
      <c r="L368" s="6"/>
      <c r="M368" s="6"/>
      <c r="N368" s="6"/>
      <c r="O368" s="6"/>
      <c r="P368" s="17" t="s">
        <v>3</v>
      </c>
      <c r="Q368" s="6" t="s">
        <v>313</v>
      </c>
      <c r="R368" s="17" t="s">
        <v>3</v>
      </c>
      <c r="S368" s="17" t="s">
        <v>1505</v>
      </c>
      <c r="T368" s="6" t="s">
        <v>24</v>
      </c>
      <c r="U368" s="6" t="s">
        <v>207</v>
      </c>
      <c r="V368" s="17" t="s">
        <v>3</v>
      </c>
      <c r="W368" s="6">
        <v>744</v>
      </c>
      <c r="X368" s="6" t="s">
        <v>208</v>
      </c>
    </row>
    <row r="369" spans="1:24" ht="40.5" x14ac:dyDescent="0.25">
      <c r="A369" s="6" t="s">
        <v>1506</v>
      </c>
      <c r="B369" s="14">
        <v>46181</v>
      </c>
      <c r="C369" s="14">
        <v>46182</v>
      </c>
      <c r="D369" s="6" t="s">
        <v>1507</v>
      </c>
      <c r="E369" s="6" t="s">
        <v>35</v>
      </c>
      <c r="F369" s="6" t="s">
        <v>1386</v>
      </c>
      <c r="G369" s="6" t="s">
        <v>204</v>
      </c>
      <c r="H369" s="6"/>
      <c r="I369" s="6"/>
      <c r="J369" s="6"/>
      <c r="K369" s="6" t="s">
        <v>3</v>
      </c>
      <c r="L369" s="6"/>
      <c r="M369" s="10">
        <v>38</v>
      </c>
      <c r="N369" s="6"/>
      <c r="O369" s="6"/>
      <c r="P369" s="17" t="s">
        <v>3</v>
      </c>
      <c r="Q369" s="6" t="s">
        <v>205</v>
      </c>
      <c r="R369" s="17" t="s">
        <v>3</v>
      </c>
      <c r="S369" s="17" t="s">
        <v>1508</v>
      </c>
      <c r="T369" s="6" t="s">
        <v>25</v>
      </c>
      <c r="U369" s="6" t="s">
        <v>222</v>
      </c>
      <c r="V369" s="17" t="s">
        <v>223</v>
      </c>
      <c r="W369" s="6">
        <v>745</v>
      </c>
      <c r="X369" s="6" t="s">
        <v>224</v>
      </c>
    </row>
    <row r="370" spans="1:24" ht="67.5" x14ac:dyDescent="0.25">
      <c r="A370" s="6" t="s">
        <v>1509</v>
      </c>
      <c r="B370" s="14">
        <v>46182</v>
      </c>
      <c r="C370" s="14">
        <v>46182</v>
      </c>
      <c r="D370" s="6" t="s">
        <v>1510</v>
      </c>
      <c r="E370" s="6" t="s">
        <v>78</v>
      </c>
      <c r="F370" s="6" t="s">
        <v>78</v>
      </c>
      <c r="G370" s="6" t="s">
        <v>236</v>
      </c>
      <c r="H370" s="10">
        <v>248</v>
      </c>
      <c r="I370" s="6"/>
      <c r="J370" s="6"/>
      <c r="K370" s="6" t="s">
        <v>3</v>
      </c>
      <c r="L370" s="10">
        <v>112</v>
      </c>
      <c r="M370" s="6"/>
      <c r="N370" s="6"/>
      <c r="O370" s="6"/>
      <c r="P370" s="17" t="s">
        <v>3</v>
      </c>
      <c r="Q370" s="6" t="s">
        <v>313</v>
      </c>
      <c r="R370" s="17" t="s">
        <v>1511</v>
      </c>
      <c r="S370" s="17" t="s">
        <v>1512</v>
      </c>
      <c r="T370" s="6" t="s">
        <v>24</v>
      </c>
      <c r="U370" s="6" t="s">
        <v>207</v>
      </c>
      <c r="V370" s="17" t="s">
        <v>3</v>
      </c>
      <c r="W370" s="6">
        <v>746</v>
      </c>
      <c r="X370" s="6" t="s">
        <v>208</v>
      </c>
    </row>
    <row r="371" spans="1:24" ht="54" x14ac:dyDescent="0.25">
      <c r="A371" s="6" t="s">
        <v>1513</v>
      </c>
      <c r="B371" s="14">
        <v>46182</v>
      </c>
      <c r="C371" s="14">
        <v>46183</v>
      </c>
      <c r="D371" s="6" t="s">
        <v>1514</v>
      </c>
      <c r="E371" s="6" t="s">
        <v>42</v>
      </c>
      <c r="F371" s="6" t="s">
        <v>1515</v>
      </c>
      <c r="G371" s="6" t="s">
        <v>204</v>
      </c>
      <c r="H371" s="6"/>
      <c r="I371" s="6"/>
      <c r="J371" s="6"/>
      <c r="K371" s="6" t="s">
        <v>3</v>
      </c>
      <c r="L371" s="6"/>
      <c r="M371" s="10">
        <v>82</v>
      </c>
      <c r="N371" s="6"/>
      <c r="O371" s="6"/>
      <c r="P371" s="17" t="s">
        <v>3</v>
      </c>
      <c r="Q371" s="6" t="s">
        <v>205</v>
      </c>
      <c r="R371" s="17" t="s">
        <v>3</v>
      </c>
      <c r="S371" s="17" t="s">
        <v>1516</v>
      </c>
      <c r="T371" s="6" t="s">
        <v>25</v>
      </c>
      <c r="U371" s="6" t="s">
        <v>222</v>
      </c>
      <c r="V371" s="17" t="s">
        <v>223</v>
      </c>
      <c r="W371" s="6">
        <v>747</v>
      </c>
      <c r="X371" s="6" t="s">
        <v>224</v>
      </c>
    </row>
    <row r="372" spans="1:24" ht="54" x14ac:dyDescent="0.25">
      <c r="A372" s="6" t="s">
        <v>1517</v>
      </c>
      <c r="B372" s="14">
        <v>46183</v>
      </c>
      <c r="C372" s="14">
        <v>46184</v>
      </c>
      <c r="D372" s="6" t="s">
        <v>1518</v>
      </c>
      <c r="E372" s="6" t="s">
        <v>42</v>
      </c>
      <c r="F372" s="6" t="s">
        <v>1483</v>
      </c>
      <c r="G372" s="6" t="s">
        <v>204</v>
      </c>
      <c r="H372" s="10">
        <v>200</v>
      </c>
      <c r="I372" s="6"/>
      <c r="J372" s="6"/>
      <c r="K372" s="6" t="s">
        <v>3</v>
      </c>
      <c r="L372" s="6"/>
      <c r="M372" s="10">
        <v>56</v>
      </c>
      <c r="N372" s="6"/>
      <c r="O372" s="6"/>
      <c r="P372" s="17" t="s">
        <v>3</v>
      </c>
      <c r="Q372" s="6" t="s">
        <v>205</v>
      </c>
      <c r="R372" s="17" t="s">
        <v>3</v>
      </c>
      <c r="S372" s="17" t="s">
        <v>1519</v>
      </c>
      <c r="T372" s="6" t="s">
        <v>24</v>
      </c>
      <c r="U372" s="6" t="s">
        <v>207</v>
      </c>
      <c r="V372" s="17" t="s">
        <v>3</v>
      </c>
      <c r="W372" s="6">
        <v>748</v>
      </c>
      <c r="X372" s="6" t="s">
        <v>208</v>
      </c>
    </row>
    <row r="373" spans="1:24" ht="81" x14ac:dyDescent="0.25">
      <c r="A373" s="6" t="s">
        <v>1520</v>
      </c>
      <c r="B373" s="14">
        <v>46184</v>
      </c>
      <c r="C373" s="14">
        <v>46184</v>
      </c>
      <c r="D373" s="6" t="s">
        <v>1521</v>
      </c>
      <c r="E373" s="6" t="s">
        <v>105</v>
      </c>
      <c r="F373" s="6" t="s">
        <v>105</v>
      </c>
      <c r="G373" s="6" t="s">
        <v>236</v>
      </c>
      <c r="H373" s="10">
        <v>334</v>
      </c>
      <c r="I373" s="6"/>
      <c r="J373" s="6"/>
      <c r="K373" s="6" t="s">
        <v>875</v>
      </c>
      <c r="L373" s="10">
        <v>121</v>
      </c>
      <c r="M373" s="6"/>
      <c r="N373" s="6"/>
      <c r="O373" s="6"/>
      <c r="P373" s="17" t="s">
        <v>3</v>
      </c>
      <c r="Q373" s="6" t="s">
        <v>313</v>
      </c>
      <c r="R373" s="17" t="s">
        <v>3</v>
      </c>
      <c r="S373" s="17" t="s">
        <v>1522</v>
      </c>
      <c r="T373" s="6" t="s">
        <v>24</v>
      </c>
      <c r="U373" s="6" t="s">
        <v>207</v>
      </c>
      <c r="V373" s="17" t="s">
        <v>3</v>
      </c>
      <c r="W373" s="6">
        <v>750</v>
      </c>
      <c r="X373" s="6" t="s">
        <v>208</v>
      </c>
    </row>
    <row r="374" spans="1:24" ht="54" x14ac:dyDescent="0.25">
      <c r="A374" s="6" t="s">
        <v>1523</v>
      </c>
      <c r="B374" s="14">
        <v>46184</v>
      </c>
      <c r="C374" s="14">
        <v>46184</v>
      </c>
      <c r="D374" s="6" t="s">
        <v>1524</v>
      </c>
      <c r="E374" s="6" t="s">
        <v>42</v>
      </c>
      <c r="F374" s="6" t="s">
        <v>1483</v>
      </c>
      <c r="G374" s="6" t="s">
        <v>204</v>
      </c>
      <c r="H374" s="6"/>
      <c r="I374" s="6"/>
      <c r="J374" s="6"/>
      <c r="K374" s="6" t="s">
        <v>875</v>
      </c>
      <c r="L374" s="6"/>
      <c r="M374" s="10">
        <v>40</v>
      </c>
      <c r="N374" s="6"/>
      <c r="O374" s="6"/>
      <c r="P374" s="17" t="s">
        <v>3</v>
      </c>
      <c r="Q374" s="6" t="s">
        <v>205</v>
      </c>
      <c r="R374" s="17" t="s">
        <v>3</v>
      </c>
      <c r="S374" s="17" t="s">
        <v>1525</v>
      </c>
      <c r="T374" s="6" t="s">
        <v>25</v>
      </c>
      <c r="U374" s="6" t="s">
        <v>222</v>
      </c>
      <c r="V374" s="17" t="s">
        <v>223</v>
      </c>
      <c r="W374" s="6">
        <v>749</v>
      </c>
      <c r="X374" s="6" t="s">
        <v>224</v>
      </c>
    </row>
    <row r="375" spans="1:24" x14ac:dyDescent="0.25">
      <c r="A375" s="6" t="s">
        <v>1526</v>
      </c>
      <c r="B375" s="14">
        <v>46185</v>
      </c>
      <c r="C375" s="14">
        <v>46185</v>
      </c>
      <c r="D375" s="6" t="s">
        <v>1527</v>
      </c>
      <c r="E375" s="6" t="s">
        <v>45</v>
      </c>
      <c r="F375" s="6" t="s">
        <v>3</v>
      </c>
      <c r="G375" s="6" t="s">
        <v>263</v>
      </c>
      <c r="H375" s="10">
        <v>326</v>
      </c>
      <c r="I375" s="6"/>
      <c r="J375" s="6"/>
      <c r="K375" s="6" t="s">
        <v>3</v>
      </c>
      <c r="L375" s="6"/>
      <c r="M375" s="6"/>
      <c r="N375" s="6"/>
      <c r="O375" s="6"/>
      <c r="P375" s="17" t="s">
        <v>3</v>
      </c>
      <c r="Q375" s="6" t="s">
        <v>1528</v>
      </c>
      <c r="R375" s="17" t="s">
        <v>3</v>
      </c>
      <c r="S375" s="17" t="s">
        <v>1529</v>
      </c>
      <c r="T375" s="6" t="s">
        <v>26</v>
      </c>
      <c r="U375" s="6" t="s">
        <v>222</v>
      </c>
      <c r="V375" s="17" t="s">
        <v>474</v>
      </c>
      <c r="W375" s="6">
        <v>752</v>
      </c>
      <c r="X375" s="6" t="s">
        <v>224</v>
      </c>
    </row>
    <row r="376" spans="1:24" ht="40.5" x14ac:dyDescent="0.25">
      <c r="A376" s="6" t="s">
        <v>1530</v>
      </c>
      <c r="B376" s="14">
        <v>46185</v>
      </c>
      <c r="C376" s="14">
        <v>46187</v>
      </c>
      <c r="D376" s="6" t="s">
        <v>1531</v>
      </c>
      <c r="E376" s="6" t="s">
        <v>143</v>
      </c>
      <c r="F376" s="6" t="s">
        <v>143</v>
      </c>
      <c r="G376" s="6" t="s">
        <v>263</v>
      </c>
      <c r="H376" s="6"/>
      <c r="I376" s="6"/>
      <c r="J376" s="6"/>
      <c r="K376" s="6" t="s">
        <v>3</v>
      </c>
      <c r="L376" s="6"/>
      <c r="M376" s="10">
        <v>21</v>
      </c>
      <c r="N376" s="6"/>
      <c r="O376" s="6"/>
      <c r="P376" s="17" t="s">
        <v>3</v>
      </c>
      <c r="Q376" s="6" t="s">
        <v>205</v>
      </c>
      <c r="R376" s="17" t="s">
        <v>3</v>
      </c>
      <c r="S376" s="17" t="s">
        <v>1532</v>
      </c>
      <c r="T376" s="6" t="s">
        <v>26</v>
      </c>
      <c r="U376" s="6" t="s">
        <v>222</v>
      </c>
      <c r="V376" s="17" t="s">
        <v>1129</v>
      </c>
      <c r="W376" s="6">
        <v>757</v>
      </c>
      <c r="X376" s="6" t="s">
        <v>224</v>
      </c>
    </row>
    <row r="377" spans="1:24" ht="135" x14ac:dyDescent="0.25">
      <c r="A377" s="6" t="s">
        <v>1533</v>
      </c>
      <c r="B377" s="14">
        <v>46185</v>
      </c>
      <c r="C377" s="14">
        <v>46185</v>
      </c>
      <c r="D377" s="6" t="s">
        <v>1534</v>
      </c>
      <c r="E377" s="6" t="s">
        <v>84</v>
      </c>
      <c r="F377" s="6" t="s">
        <v>84</v>
      </c>
      <c r="G377" s="6" t="s">
        <v>236</v>
      </c>
      <c r="H377" s="10">
        <v>36</v>
      </c>
      <c r="I377" s="6"/>
      <c r="J377" s="6"/>
      <c r="K377" s="6" t="s">
        <v>3</v>
      </c>
      <c r="L377" s="10">
        <v>49</v>
      </c>
      <c r="M377" s="6"/>
      <c r="N377" s="6"/>
      <c r="O377" s="6"/>
      <c r="P377" s="17" t="s">
        <v>3</v>
      </c>
      <c r="Q377" s="6" t="s">
        <v>313</v>
      </c>
      <c r="R377" s="17" t="s">
        <v>3</v>
      </c>
      <c r="S377" s="17" t="s">
        <v>1535</v>
      </c>
      <c r="T377" s="6" t="s">
        <v>24</v>
      </c>
      <c r="U377" s="6" t="s">
        <v>207</v>
      </c>
      <c r="V377" s="17" t="s">
        <v>3</v>
      </c>
      <c r="W377" s="6">
        <v>755</v>
      </c>
      <c r="X377" s="6" t="s">
        <v>208</v>
      </c>
    </row>
    <row r="378" spans="1:24" ht="135" x14ac:dyDescent="0.25">
      <c r="A378" s="6" t="s">
        <v>1536</v>
      </c>
      <c r="B378" s="14">
        <v>46185</v>
      </c>
      <c r="C378" s="14">
        <v>46185</v>
      </c>
      <c r="D378" s="6" t="s">
        <v>1534</v>
      </c>
      <c r="E378" s="6" t="s">
        <v>84</v>
      </c>
      <c r="F378" s="6" t="s">
        <v>84</v>
      </c>
      <c r="G378" s="6" t="s">
        <v>506</v>
      </c>
      <c r="H378" s="10">
        <v>15</v>
      </c>
      <c r="I378" s="6"/>
      <c r="J378" s="6"/>
      <c r="K378" s="6" t="s">
        <v>3</v>
      </c>
      <c r="L378" s="10">
        <v>49</v>
      </c>
      <c r="M378" s="6"/>
      <c r="N378" s="6"/>
      <c r="O378" s="6"/>
      <c r="P378" s="17" t="s">
        <v>3</v>
      </c>
      <c r="Q378" s="6" t="s">
        <v>313</v>
      </c>
      <c r="R378" s="17" t="s">
        <v>3</v>
      </c>
      <c r="S378" s="17" t="s">
        <v>1535</v>
      </c>
      <c r="T378" s="6" t="s">
        <v>24</v>
      </c>
      <c r="U378" s="6" t="s">
        <v>207</v>
      </c>
      <c r="V378" s="17" t="s">
        <v>3</v>
      </c>
      <c r="W378" s="6">
        <v>755</v>
      </c>
      <c r="X378" s="6" t="s">
        <v>208</v>
      </c>
    </row>
    <row r="379" spans="1:24" ht="135" x14ac:dyDescent="0.25">
      <c r="A379" s="6" t="s">
        <v>1537</v>
      </c>
      <c r="B379" s="14">
        <v>46185</v>
      </c>
      <c r="C379" s="14">
        <v>46185</v>
      </c>
      <c r="D379" s="6" t="s">
        <v>1534</v>
      </c>
      <c r="E379" s="6" t="s">
        <v>84</v>
      </c>
      <c r="F379" s="6" t="s">
        <v>84</v>
      </c>
      <c r="G379" s="6" t="s">
        <v>236</v>
      </c>
      <c r="H379" s="10">
        <v>80</v>
      </c>
      <c r="I379" s="6"/>
      <c r="J379" s="6"/>
      <c r="K379" s="6" t="s">
        <v>3</v>
      </c>
      <c r="L379" s="10">
        <v>49</v>
      </c>
      <c r="M379" s="6"/>
      <c r="N379" s="6"/>
      <c r="O379" s="6"/>
      <c r="P379" s="17" t="s">
        <v>3</v>
      </c>
      <c r="Q379" s="6" t="s">
        <v>313</v>
      </c>
      <c r="R379" s="17" t="s">
        <v>3</v>
      </c>
      <c r="S379" s="17" t="s">
        <v>1535</v>
      </c>
      <c r="T379" s="6" t="s">
        <v>24</v>
      </c>
      <c r="U379" s="6" t="s">
        <v>207</v>
      </c>
      <c r="V379" s="17" t="s">
        <v>3</v>
      </c>
      <c r="W379" s="6">
        <v>755</v>
      </c>
      <c r="X379" s="6" t="s">
        <v>208</v>
      </c>
    </row>
    <row r="380" spans="1:24" ht="67.5" x14ac:dyDescent="0.25">
      <c r="A380" s="6" t="s">
        <v>1538</v>
      </c>
      <c r="B380" s="14">
        <v>46187</v>
      </c>
      <c r="C380" s="14">
        <v>46187</v>
      </c>
      <c r="D380" s="6" t="s">
        <v>1539</v>
      </c>
      <c r="E380" s="6" t="s">
        <v>35</v>
      </c>
      <c r="F380" s="6" t="s">
        <v>1540</v>
      </c>
      <c r="G380" s="6" t="s">
        <v>236</v>
      </c>
      <c r="H380" s="10">
        <v>15</v>
      </c>
      <c r="I380" s="6"/>
      <c r="J380" s="6"/>
      <c r="K380" s="6" t="s">
        <v>3</v>
      </c>
      <c r="L380" s="10">
        <v>8</v>
      </c>
      <c r="M380" s="6"/>
      <c r="N380" s="6"/>
      <c r="O380" s="6"/>
      <c r="P380" s="17" t="s">
        <v>3</v>
      </c>
      <c r="Q380" s="6" t="s">
        <v>313</v>
      </c>
      <c r="R380" s="17" t="s">
        <v>3</v>
      </c>
      <c r="S380" s="17" t="s">
        <v>1541</v>
      </c>
      <c r="T380" s="6" t="s">
        <v>25</v>
      </c>
      <c r="U380" s="6" t="s">
        <v>222</v>
      </c>
      <c r="V380" s="17" t="s">
        <v>238</v>
      </c>
      <c r="W380" s="6">
        <v>756</v>
      </c>
      <c r="X380" s="6" t="s">
        <v>224</v>
      </c>
    </row>
    <row r="381" spans="1:24" ht="54" x14ac:dyDescent="0.25">
      <c r="A381" s="6" t="s">
        <v>1542</v>
      </c>
      <c r="B381" s="14">
        <v>46188</v>
      </c>
      <c r="C381" s="14">
        <v>46189</v>
      </c>
      <c r="D381" s="6" t="s">
        <v>1543</v>
      </c>
      <c r="E381" s="6" t="s">
        <v>97</v>
      </c>
      <c r="F381" s="6" t="s">
        <v>97</v>
      </c>
      <c r="G381" s="6" t="s">
        <v>263</v>
      </c>
      <c r="H381" s="10">
        <v>280</v>
      </c>
      <c r="I381" s="6"/>
      <c r="J381" s="6"/>
      <c r="K381" s="6" t="s">
        <v>3</v>
      </c>
      <c r="L381" s="6"/>
      <c r="M381" s="6"/>
      <c r="N381" s="6"/>
      <c r="O381" s="6"/>
      <c r="P381" s="17" t="s">
        <v>3</v>
      </c>
      <c r="Q381" s="6" t="s">
        <v>205</v>
      </c>
      <c r="R381" s="17" t="s">
        <v>3</v>
      </c>
      <c r="S381" s="17" t="s">
        <v>1544</v>
      </c>
      <c r="T381" s="6" t="s">
        <v>25</v>
      </c>
      <c r="U381" s="6" t="s">
        <v>222</v>
      </c>
      <c r="V381" s="17" t="s">
        <v>267</v>
      </c>
      <c r="W381" s="6">
        <v>758</v>
      </c>
      <c r="X381" s="6" t="s">
        <v>224</v>
      </c>
    </row>
    <row r="382" spans="1:24" ht="54" x14ac:dyDescent="0.25">
      <c r="A382" s="6" t="s">
        <v>1545</v>
      </c>
      <c r="B382" s="14">
        <v>46189</v>
      </c>
      <c r="C382" s="14">
        <v>46189</v>
      </c>
      <c r="D382" s="6" t="s">
        <v>1546</v>
      </c>
      <c r="E382" s="6" t="s">
        <v>97</v>
      </c>
      <c r="F382" s="6" t="s">
        <v>97</v>
      </c>
      <c r="G382" s="6" t="s">
        <v>204</v>
      </c>
      <c r="H382" s="10">
        <v>235</v>
      </c>
      <c r="I382" s="6"/>
      <c r="J382" s="6"/>
      <c r="K382" s="6" t="s">
        <v>3</v>
      </c>
      <c r="L382" s="6"/>
      <c r="M382" s="10">
        <v>93</v>
      </c>
      <c r="N382" s="6"/>
      <c r="O382" s="6"/>
      <c r="P382" s="17" t="s">
        <v>3</v>
      </c>
      <c r="Q382" s="6" t="s">
        <v>205</v>
      </c>
      <c r="R382" s="17" t="s">
        <v>3</v>
      </c>
      <c r="S382" s="17" t="s">
        <v>1547</v>
      </c>
      <c r="T382" s="6" t="s">
        <v>24</v>
      </c>
      <c r="U382" s="6" t="s">
        <v>207</v>
      </c>
      <c r="V382" s="17" t="s">
        <v>3</v>
      </c>
      <c r="W382" s="6">
        <v>760</v>
      </c>
      <c r="X382" s="6" t="s">
        <v>208</v>
      </c>
    </row>
    <row r="383" spans="1:24" ht="67.5" x14ac:dyDescent="0.25">
      <c r="A383" s="6" t="s">
        <v>1548</v>
      </c>
      <c r="B383" s="14">
        <v>46189</v>
      </c>
      <c r="C383" s="14">
        <v>46189</v>
      </c>
      <c r="D383" s="6" t="s">
        <v>1549</v>
      </c>
      <c r="E383" s="6" t="s">
        <v>170</v>
      </c>
      <c r="F383" s="6" t="s">
        <v>170</v>
      </c>
      <c r="G383" s="6" t="s">
        <v>236</v>
      </c>
      <c r="H383" s="10">
        <v>54</v>
      </c>
      <c r="I383" s="6"/>
      <c r="J383" s="6"/>
      <c r="K383" s="6" t="s">
        <v>3</v>
      </c>
      <c r="L383" s="10">
        <v>16</v>
      </c>
      <c r="M383" s="6"/>
      <c r="N383" s="6"/>
      <c r="O383" s="6"/>
      <c r="P383" s="17" t="s">
        <v>3</v>
      </c>
      <c r="Q383" s="6" t="s">
        <v>313</v>
      </c>
      <c r="R383" s="17" t="s">
        <v>3</v>
      </c>
      <c r="S383" s="17" t="s">
        <v>1550</v>
      </c>
      <c r="T383" s="6" t="s">
        <v>24</v>
      </c>
      <c r="U383" s="6" t="s">
        <v>207</v>
      </c>
      <c r="V383" s="17" t="s">
        <v>3</v>
      </c>
      <c r="W383" s="6">
        <v>759</v>
      </c>
      <c r="X383" s="6" t="s">
        <v>208</v>
      </c>
    </row>
    <row r="384" spans="1:24" ht="54" x14ac:dyDescent="0.25">
      <c r="A384" s="6" t="s">
        <v>1551</v>
      </c>
      <c r="B384" s="14">
        <v>46190</v>
      </c>
      <c r="C384" s="14">
        <v>46190</v>
      </c>
      <c r="D384" s="6" t="s">
        <v>1552</v>
      </c>
      <c r="E384" s="6" t="s">
        <v>35</v>
      </c>
      <c r="F384" s="6" t="s">
        <v>35</v>
      </c>
      <c r="G384" s="6" t="s">
        <v>204</v>
      </c>
      <c r="H384" s="10">
        <v>20</v>
      </c>
      <c r="I384" s="6"/>
      <c r="J384" s="6"/>
      <c r="K384" s="6" t="s">
        <v>3</v>
      </c>
      <c r="L384" s="6"/>
      <c r="M384" s="6"/>
      <c r="N384" s="6"/>
      <c r="O384" s="6"/>
      <c r="P384" s="17" t="s">
        <v>3</v>
      </c>
      <c r="Q384" s="6" t="s">
        <v>313</v>
      </c>
      <c r="R384" s="17" t="s">
        <v>3</v>
      </c>
      <c r="S384" s="17" t="s">
        <v>1553</v>
      </c>
      <c r="T384" s="6" t="s">
        <v>24</v>
      </c>
      <c r="U384" s="6" t="s">
        <v>207</v>
      </c>
      <c r="V384" s="17" t="s">
        <v>3</v>
      </c>
      <c r="W384" s="6">
        <v>761</v>
      </c>
      <c r="X384" s="6" t="s">
        <v>208</v>
      </c>
    </row>
    <row r="385" spans="1:24" ht="54" x14ac:dyDescent="0.25">
      <c r="A385" s="6" t="s">
        <v>1554</v>
      </c>
      <c r="B385" s="14">
        <v>46190</v>
      </c>
      <c r="C385" s="14">
        <v>46190</v>
      </c>
      <c r="D385" s="6" t="s">
        <v>1552</v>
      </c>
      <c r="E385" s="6" t="s">
        <v>35</v>
      </c>
      <c r="F385" s="6" t="s">
        <v>35</v>
      </c>
      <c r="G385" s="6" t="s">
        <v>204</v>
      </c>
      <c r="H385" s="10">
        <v>10</v>
      </c>
      <c r="I385" s="6"/>
      <c r="J385" s="6"/>
      <c r="K385" s="6" t="s">
        <v>3</v>
      </c>
      <c r="L385" s="6"/>
      <c r="M385" s="6"/>
      <c r="N385" s="6"/>
      <c r="O385" s="6"/>
      <c r="P385" s="17" t="s">
        <v>3</v>
      </c>
      <c r="Q385" s="6" t="s">
        <v>313</v>
      </c>
      <c r="R385" s="17" t="s">
        <v>3</v>
      </c>
      <c r="S385" s="17" t="s">
        <v>1553</v>
      </c>
      <c r="T385" s="6" t="s">
        <v>24</v>
      </c>
      <c r="U385" s="6" t="s">
        <v>207</v>
      </c>
      <c r="V385" s="17" t="s">
        <v>3</v>
      </c>
      <c r="W385" s="6">
        <v>761</v>
      </c>
      <c r="X385" s="6" t="s">
        <v>208</v>
      </c>
    </row>
    <row r="386" spans="1:24" ht="54" x14ac:dyDescent="0.25">
      <c r="A386" s="6" t="s">
        <v>1555</v>
      </c>
      <c r="B386" s="14">
        <v>46191</v>
      </c>
      <c r="C386" s="14">
        <v>46191</v>
      </c>
      <c r="D386" s="6" t="s">
        <v>1556</v>
      </c>
      <c r="E386" s="6" t="s">
        <v>161</v>
      </c>
      <c r="F386" s="6" t="s">
        <v>161</v>
      </c>
      <c r="G386" s="6" t="s">
        <v>204</v>
      </c>
      <c r="H386" s="10">
        <v>480</v>
      </c>
      <c r="I386" s="6"/>
      <c r="J386" s="6"/>
      <c r="K386" s="6" t="s">
        <v>3</v>
      </c>
      <c r="L386" s="6"/>
      <c r="M386" s="10">
        <v>138</v>
      </c>
      <c r="N386" s="6"/>
      <c r="O386" s="6"/>
      <c r="P386" s="17" t="s">
        <v>3</v>
      </c>
      <c r="Q386" s="6" t="s">
        <v>205</v>
      </c>
      <c r="R386" s="17" t="s">
        <v>3</v>
      </c>
      <c r="S386" s="17" t="s">
        <v>1557</v>
      </c>
      <c r="T386" s="6" t="s">
        <v>24</v>
      </c>
      <c r="U386" s="6" t="s">
        <v>207</v>
      </c>
      <c r="V386" s="17" t="s">
        <v>3</v>
      </c>
      <c r="W386" s="6">
        <v>762</v>
      </c>
      <c r="X386" s="6" t="s">
        <v>208</v>
      </c>
    </row>
    <row r="387" spans="1:24" ht="54" x14ac:dyDescent="0.25">
      <c r="A387" s="6" t="s">
        <v>1558</v>
      </c>
      <c r="B387" s="14">
        <v>46192</v>
      </c>
      <c r="C387" s="14">
        <v>46193</v>
      </c>
      <c r="D387" s="6" t="s">
        <v>1559</v>
      </c>
      <c r="E387" s="6" t="s">
        <v>47</v>
      </c>
      <c r="F387" s="6" t="s">
        <v>1560</v>
      </c>
      <c r="G387" s="6" t="s">
        <v>204</v>
      </c>
      <c r="H387" s="10">
        <v>214</v>
      </c>
      <c r="I387" s="6"/>
      <c r="J387" s="6"/>
      <c r="K387" s="6" t="s">
        <v>3</v>
      </c>
      <c r="L387" s="6"/>
      <c r="M387" s="10">
        <v>59</v>
      </c>
      <c r="N387" s="6"/>
      <c r="O387" s="6"/>
      <c r="P387" s="17" t="s">
        <v>3</v>
      </c>
      <c r="Q387" s="6" t="s">
        <v>205</v>
      </c>
      <c r="R387" s="17" t="s">
        <v>3</v>
      </c>
      <c r="S387" s="17" t="s">
        <v>1561</v>
      </c>
      <c r="T387" s="6" t="s">
        <v>24</v>
      </c>
      <c r="U387" s="6" t="s">
        <v>207</v>
      </c>
      <c r="V387" s="17" t="s">
        <v>3</v>
      </c>
      <c r="W387" s="6">
        <v>763</v>
      </c>
      <c r="X387" s="6" t="s">
        <v>208</v>
      </c>
    </row>
    <row r="388" spans="1:24" ht="54" x14ac:dyDescent="0.25">
      <c r="A388" s="6" t="s">
        <v>1562</v>
      </c>
      <c r="B388" s="14">
        <v>46193</v>
      </c>
      <c r="C388" s="14">
        <v>46193</v>
      </c>
      <c r="D388" s="6" t="s">
        <v>1563</v>
      </c>
      <c r="E388" s="6" t="s">
        <v>42</v>
      </c>
      <c r="F388" s="6" t="s">
        <v>1483</v>
      </c>
      <c r="G388" s="6" t="s">
        <v>204</v>
      </c>
      <c r="H388" s="6"/>
      <c r="I388" s="6"/>
      <c r="J388" s="6"/>
      <c r="K388" s="6" t="s">
        <v>3</v>
      </c>
      <c r="L388" s="6"/>
      <c r="M388" s="10">
        <v>57</v>
      </c>
      <c r="N388" s="6"/>
      <c r="O388" s="6"/>
      <c r="P388" s="17" t="s">
        <v>3</v>
      </c>
      <c r="Q388" s="6" t="s">
        <v>205</v>
      </c>
      <c r="R388" s="17" t="s">
        <v>3</v>
      </c>
      <c r="S388" s="17" t="s">
        <v>1564</v>
      </c>
      <c r="T388" s="6" t="s">
        <v>25</v>
      </c>
      <c r="U388" s="6" t="s">
        <v>222</v>
      </c>
      <c r="V388" s="17" t="s">
        <v>223</v>
      </c>
      <c r="W388" s="6">
        <v>764</v>
      </c>
      <c r="X388" s="6" t="s">
        <v>224</v>
      </c>
    </row>
    <row r="389" spans="1:24" ht="54" x14ac:dyDescent="0.25">
      <c r="A389" s="6" t="s">
        <v>1565</v>
      </c>
      <c r="B389" s="14">
        <v>46194</v>
      </c>
      <c r="C389" s="14">
        <v>46224</v>
      </c>
      <c r="D389" s="6" t="s">
        <v>1566</v>
      </c>
      <c r="E389" s="6" t="s">
        <v>80</v>
      </c>
      <c r="F389" s="6" t="s">
        <v>80</v>
      </c>
      <c r="G389" s="6" t="s">
        <v>236</v>
      </c>
      <c r="H389" s="10">
        <v>515</v>
      </c>
      <c r="I389" s="6"/>
      <c r="J389" s="6"/>
      <c r="K389" s="6" t="s">
        <v>3</v>
      </c>
      <c r="L389" s="10">
        <v>248</v>
      </c>
      <c r="M389" s="6"/>
      <c r="N389" s="6"/>
      <c r="O389" s="6"/>
      <c r="P389" s="17" t="s">
        <v>3</v>
      </c>
      <c r="Q389" s="6" t="s">
        <v>313</v>
      </c>
      <c r="R389" s="17" t="s">
        <v>1567</v>
      </c>
      <c r="S389" s="17" t="s">
        <v>1568</v>
      </c>
      <c r="T389" s="6" t="s">
        <v>25</v>
      </c>
      <c r="U389" s="6" t="s">
        <v>222</v>
      </c>
      <c r="V389" s="17" t="s">
        <v>601</v>
      </c>
      <c r="W389" s="6">
        <v>823</v>
      </c>
      <c r="X389" s="6" t="s">
        <v>224</v>
      </c>
    </row>
    <row r="390" spans="1:24" ht="67.5" x14ac:dyDescent="0.25">
      <c r="A390" s="6" t="s">
        <v>1569</v>
      </c>
      <c r="B390" s="14">
        <v>46195</v>
      </c>
      <c r="C390" s="14">
        <v>46196</v>
      </c>
      <c r="D390" s="6" t="s">
        <v>1570</v>
      </c>
      <c r="E390" s="6" t="s">
        <v>164</v>
      </c>
      <c r="F390" s="6" t="s">
        <v>164</v>
      </c>
      <c r="G390" s="6" t="s">
        <v>236</v>
      </c>
      <c r="H390" s="6"/>
      <c r="I390" s="6"/>
      <c r="J390" s="6"/>
      <c r="K390" s="6" t="s">
        <v>3</v>
      </c>
      <c r="L390" s="10">
        <v>51</v>
      </c>
      <c r="M390" s="6"/>
      <c r="N390" s="6"/>
      <c r="O390" s="6"/>
      <c r="P390" s="17" t="s">
        <v>3</v>
      </c>
      <c r="Q390" s="6" t="s">
        <v>313</v>
      </c>
      <c r="R390" s="17" t="s">
        <v>3</v>
      </c>
      <c r="S390" s="17" t="s">
        <v>1571</v>
      </c>
      <c r="T390" s="6" t="s">
        <v>25</v>
      </c>
      <c r="U390" s="6" t="s">
        <v>222</v>
      </c>
      <c r="V390" s="17" t="s">
        <v>223</v>
      </c>
      <c r="W390" s="6">
        <v>765</v>
      </c>
      <c r="X390" s="6" t="s">
        <v>224</v>
      </c>
    </row>
    <row r="391" spans="1:24" ht="67.5" x14ac:dyDescent="0.25">
      <c r="A391" s="6" t="s">
        <v>1572</v>
      </c>
      <c r="B391" s="14">
        <v>46198</v>
      </c>
      <c r="C391" s="14">
        <v>46198</v>
      </c>
      <c r="D391" s="6" t="s">
        <v>1573</v>
      </c>
      <c r="E391" s="6" t="s">
        <v>42</v>
      </c>
      <c r="F391" s="6" t="s">
        <v>1483</v>
      </c>
      <c r="G391" s="6" t="s">
        <v>263</v>
      </c>
      <c r="H391" s="6"/>
      <c r="I391" s="6"/>
      <c r="J391" s="6"/>
      <c r="K391" s="6" t="s">
        <v>467</v>
      </c>
      <c r="L391" s="6"/>
      <c r="M391" s="10">
        <v>91</v>
      </c>
      <c r="N391" s="6"/>
      <c r="O391" s="6"/>
      <c r="P391" s="17" t="s">
        <v>3</v>
      </c>
      <c r="Q391" s="6" t="s">
        <v>205</v>
      </c>
      <c r="R391" s="17" t="s">
        <v>3</v>
      </c>
      <c r="S391" s="17" t="s">
        <v>1574</v>
      </c>
      <c r="T391" s="6" t="s">
        <v>26</v>
      </c>
      <c r="U391" s="6" t="s">
        <v>222</v>
      </c>
      <c r="V391" s="17" t="s">
        <v>1129</v>
      </c>
      <c r="W391" s="6">
        <v>766</v>
      </c>
      <c r="X391" s="6" t="s">
        <v>224</v>
      </c>
    </row>
    <row r="392" spans="1:24" ht="81" x14ac:dyDescent="0.25">
      <c r="A392" s="6" t="s">
        <v>1575</v>
      </c>
      <c r="B392" s="14">
        <v>46199</v>
      </c>
      <c r="C392" s="14">
        <v>46200</v>
      </c>
      <c r="D392" s="6" t="s">
        <v>1576</v>
      </c>
      <c r="E392" s="6" t="s">
        <v>42</v>
      </c>
      <c r="F392" s="6" t="s">
        <v>1483</v>
      </c>
      <c r="G392" s="6" t="s">
        <v>204</v>
      </c>
      <c r="H392" s="10">
        <v>330</v>
      </c>
      <c r="I392" s="6"/>
      <c r="J392" s="6"/>
      <c r="K392" s="6" t="s">
        <v>1577</v>
      </c>
      <c r="L392" s="6"/>
      <c r="M392" s="10">
        <v>93</v>
      </c>
      <c r="N392" s="6"/>
      <c r="O392" s="6"/>
      <c r="P392" s="17" t="s">
        <v>3</v>
      </c>
      <c r="Q392" s="6" t="s">
        <v>205</v>
      </c>
      <c r="R392" s="17" t="s">
        <v>3</v>
      </c>
      <c r="S392" s="17" t="s">
        <v>1578</v>
      </c>
      <c r="T392" s="6" t="s">
        <v>24</v>
      </c>
      <c r="U392" s="6" t="s">
        <v>207</v>
      </c>
      <c r="V392" s="17" t="s">
        <v>3</v>
      </c>
      <c r="W392" s="6">
        <v>768</v>
      </c>
      <c r="X392" s="6" t="s">
        <v>208</v>
      </c>
    </row>
    <row r="393" spans="1:24" ht="108" x14ac:dyDescent="0.25">
      <c r="A393" s="6" t="s">
        <v>1579</v>
      </c>
      <c r="B393" s="14">
        <v>46199</v>
      </c>
      <c r="C393" s="14">
        <v>46199</v>
      </c>
      <c r="D393" s="6" t="s">
        <v>1580</v>
      </c>
      <c r="E393" s="6" t="s">
        <v>35</v>
      </c>
      <c r="F393" s="6" t="s">
        <v>35</v>
      </c>
      <c r="G393" s="6" t="s">
        <v>407</v>
      </c>
      <c r="H393" s="10">
        <v>15</v>
      </c>
      <c r="I393" s="10">
        <v>100</v>
      </c>
      <c r="J393" s="10">
        <v>100</v>
      </c>
      <c r="K393" s="6" t="s">
        <v>3</v>
      </c>
      <c r="L393" s="10">
        <v>27</v>
      </c>
      <c r="M393" s="6"/>
      <c r="N393" s="6"/>
      <c r="O393" s="6"/>
      <c r="P393" s="17" t="s">
        <v>1581</v>
      </c>
      <c r="Q393" s="6" t="s">
        <v>313</v>
      </c>
      <c r="R393" s="17" t="s">
        <v>1582</v>
      </c>
      <c r="S393" s="17" t="s">
        <v>1583</v>
      </c>
      <c r="T393" s="6" t="s">
        <v>24</v>
      </c>
      <c r="U393" s="6" t="s">
        <v>207</v>
      </c>
      <c r="V393" s="17" t="s">
        <v>3</v>
      </c>
      <c r="W393" s="6">
        <v>767</v>
      </c>
      <c r="X393" s="6" t="s">
        <v>208</v>
      </c>
    </row>
    <row r="394" spans="1:24" ht="108" x14ac:dyDescent="0.25">
      <c r="A394" s="6" t="s">
        <v>1584</v>
      </c>
      <c r="B394" s="14">
        <v>46199</v>
      </c>
      <c r="C394" s="14">
        <v>46199</v>
      </c>
      <c r="D394" s="6" t="s">
        <v>1580</v>
      </c>
      <c r="E394" s="6" t="s">
        <v>35</v>
      </c>
      <c r="F394" s="6" t="s">
        <v>35</v>
      </c>
      <c r="G394" s="6" t="s">
        <v>811</v>
      </c>
      <c r="H394" s="10">
        <v>45</v>
      </c>
      <c r="I394" s="10">
        <v>100</v>
      </c>
      <c r="J394" s="10">
        <v>100</v>
      </c>
      <c r="K394" s="6" t="s">
        <v>3</v>
      </c>
      <c r="L394" s="10">
        <v>27</v>
      </c>
      <c r="M394" s="6"/>
      <c r="N394" s="6"/>
      <c r="O394" s="6"/>
      <c r="P394" s="17" t="s">
        <v>1581</v>
      </c>
      <c r="Q394" s="6" t="s">
        <v>313</v>
      </c>
      <c r="R394" s="17" t="s">
        <v>1582</v>
      </c>
      <c r="S394" s="17" t="s">
        <v>1583</v>
      </c>
      <c r="T394" s="6" t="s">
        <v>24</v>
      </c>
      <c r="U394" s="6" t="s">
        <v>207</v>
      </c>
      <c r="V394" s="17" t="s">
        <v>3</v>
      </c>
      <c r="W394" s="6">
        <v>767</v>
      </c>
      <c r="X394" s="6" t="s">
        <v>208</v>
      </c>
    </row>
    <row r="395" spans="1:24" ht="54" x14ac:dyDescent="0.25">
      <c r="A395" s="6" t="s">
        <v>1585</v>
      </c>
      <c r="B395" s="14">
        <v>46202</v>
      </c>
      <c r="C395" s="14">
        <v>46202</v>
      </c>
      <c r="D395" s="6" t="s">
        <v>1586</v>
      </c>
      <c r="E395" s="6" t="s">
        <v>119</v>
      </c>
      <c r="F395" s="6" t="s">
        <v>119</v>
      </c>
      <c r="G395" s="6" t="s">
        <v>204</v>
      </c>
      <c r="H395" s="6"/>
      <c r="I395" s="6"/>
      <c r="J395" s="6"/>
      <c r="K395" s="6" t="s">
        <v>1587</v>
      </c>
      <c r="L395" s="6"/>
      <c r="M395" s="10">
        <v>170</v>
      </c>
      <c r="N395" s="6"/>
      <c r="O395" s="6"/>
      <c r="P395" s="17" t="s">
        <v>3</v>
      </c>
      <c r="Q395" s="6" t="s">
        <v>205</v>
      </c>
      <c r="R395" s="17" t="s">
        <v>3</v>
      </c>
      <c r="S395" s="17" t="s">
        <v>1588</v>
      </c>
      <c r="T395" s="6" t="s">
        <v>25</v>
      </c>
      <c r="U395" s="6" t="s">
        <v>222</v>
      </c>
      <c r="V395" s="17" t="s">
        <v>223</v>
      </c>
      <c r="W395" s="6">
        <v>769</v>
      </c>
      <c r="X395" s="6" t="s">
        <v>224</v>
      </c>
    </row>
    <row r="396" spans="1:24" ht="54" x14ac:dyDescent="0.25">
      <c r="A396" s="6" t="s">
        <v>1589</v>
      </c>
      <c r="B396" s="14">
        <v>46203</v>
      </c>
      <c r="C396" s="14">
        <v>46204</v>
      </c>
      <c r="D396" s="6" t="s">
        <v>1590</v>
      </c>
      <c r="E396" s="6" t="s">
        <v>88</v>
      </c>
      <c r="F396" s="6" t="s">
        <v>88</v>
      </c>
      <c r="G396" s="6" t="s">
        <v>204</v>
      </c>
      <c r="H396" s="6"/>
      <c r="I396" s="6"/>
      <c r="J396" s="6"/>
      <c r="K396" s="6" t="s">
        <v>1587</v>
      </c>
      <c r="L396" s="6"/>
      <c r="M396" s="10">
        <v>120</v>
      </c>
      <c r="N396" s="6"/>
      <c r="O396" s="6"/>
      <c r="P396" s="17" t="s">
        <v>3</v>
      </c>
      <c r="Q396" s="6" t="s">
        <v>205</v>
      </c>
      <c r="R396" s="17" t="s">
        <v>3</v>
      </c>
      <c r="S396" s="17" t="s">
        <v>1591</v>
      </c>
      <c r="T396" s="6" t="s">
        <v>25</v>
      </c>
      <c r="U396" s="6" t="s">
        <v>222</v>
      </c>
      <c r="V396" s="17" t="s">
        <v>223</v>
      </c>
      <c r="W396" s="6">
        <v>770</v>
      </c>
      <c r="X396" s="6" t="s">
        <v>224</v>
      </c>
    </row>
    <row r="397" spans="1:24" ht="67.5" x14ac:dyDescent="0.25">
      <c r="A397" s="6" t="s">
        <v>1592</v>
      </c>
      <c r="B397" s="14">
        <v>46204</v>
      </c>
      <c r="C397" s="14">
        <v>46206</v>
      </c>
      <c r="D397" s="6" t="s">
        <v>1593</v>
      </c>
      <c r="E397" s="6" t="s">
        <v>35</v>
      </c>
      <c r="F397" s="6" t="s">
        <v>35</v>
      </c>
      <c r="G397" s="6" t="s">
        <v>1420</v>
      </c>
      <c r="H397" s="10">
        <v>100</v>
      </c>
      <c r="I397" s="10">
        <v>150</v>
      </c>
      <c r="J397" s="10">
        <v>150</v>
      </c>
      <c r="K397" s="6" t="s">
        <v>3</v>
      </c>
      <c r="L397" s="6"/>
      <c r="M397" s="6"/>
      <c r="N397" s="6"/>
      <c r="O397" s="6"/>
      <c r="P397" s="17" t="s">
        <v>1594</v>
      </c>
      <c r="Q397" s="6" t="s">
        <v>313</v>
      </c>
      <c r="R397" s="17" t="s">
        <v>3</v>
      </c>
      <c r="S397" s="17" t="s">
        <v>1595</v>
      </c>
      <c r="T397" s="6" t="s">
        <v>24</v>
      </c>
      <c r="U397" s="6" t="s">
        <v>207</v>
      </c>
      <c r="V397" s="17" t="s">
        <v>3</v>
      </c>
      <c r="W397" s="6">
        <v>777</v>
      </c>
      <c r="X397" s="6" t="s">
        <v>208</v>
      </c>
    </row>
    <row r="398" spans="1:24" ht="67.5" x14ac:dyDescent="0.25">
      <c r="A398" s="6" t="s">
        <v>1596</v>
      </c>
      <c r="B398" s="14">
        <v>46204</v>
      </c>
      <c r="C398" s="14">
        <v>46206</v>
      </c>
      <c r="D398" s="6" t="s">
        <v>1593</v>
      </c>
      <c r="E398" s="6" t="s">
        <v>35</v>
      </c>
      <c r="F398" s="6" t="s">
        <v>35</v>
      </c>
      <c r="G398" s="6" t="s">
        <v>1597</v>
      </c>
      <c r="H398" s="10">
        <v>360</v>
      </c>
      <c r="I398" s="10">
        <v>150</v>
      </c>
      <c r="J398" s="10">
        <v>150</v>
      </c>
      <c r="K398" s="6" t="s">
        <v>3</v>
      </c>
      <c r="L398" s="6"/>
      <c r="M398" s="6"/>
      <c r="N398" s="6"/>
      <c r="O398" s="6"/>
      <c r="P398" s="17" t="s">
        <v>1594</v>
      </c>
      <c r="Q398" s="6" t="s">
        <v>313</v>
      </c>
      <c r="R398" s="17" t="s">
        <v>3</v>
      </c>
      <c r="S398" s="17" t="s">
        <v>1595</v>
      </c>
      <c r="T398" s="6" t="s">
        <v>24</v>
      </c>
      <c r="U398" s="6" t="s">
        <v>207</v>
      </c>
      <c r="V398" s="17" t="s">
        <v>3</v>
      </c>
      <c r="W398" s="6">
        <v>777</v>
      </c>
      <c r="X398" s="6" t="s">
        <v>208</v>
      </c>
    </row>
    <row r="399" spans="1:24" ht="67.5" x14ac:dyDescent="0.25">
      <c r="A399" s="6" t="s">
        <v>1598</v>
      </c>
      <c r="B399" s="14">
        <v>46204</v>
      </c>
      <c r="C399" s="14">
        <v>46206</v>
      </c>
      <c r="D399" s="6" t="s">
        <v>1593</v>
      </c>
      <c r="E399" s="6" t="s">
        <v>35</v>
      </c>
      <c r="F399" s="6" t="s">
        <v>35</v>
      </c>
      <c r="G399" s="6" t="s">
        <v>407</v>
      </c>
      <c r="H399" s="10">
        <v>5</v>
      </c>
      <c r="I399" s="10">
        <v>150</v>
      </c>
      <c r="J399" s="10">
        <v>150</v>
      </c>
      <c r="K399" s="6" t="s">
        <v>3</v>
      </c>
      <c r="L399" s="6"/>
      <c r="M399" s="6"/>
      <c r="N399" s="6"/>
      <c r="O399" s="6"/>
      <c r="P399" s="17" t="s">
        <v>1594</v>
      </c>
      <c r="Q399" s="6" t="s">
        <v>313</v>
      </c>
      <c r="R399" s="17" t="s">
        <v>3</v>
      </c>
      <c r="S399" s="17" t="s">
        <v>1595</v>
      </c>
      <c r="T399" s="6" t="s">
        <v>24</v>
      </c>
      <c r="U399" s="6" t="s">
        <v>207</v>
      </c>
      <c r="V399" s="17" t="s">
        <v>3</v>
      </c>
      <c r="W399" s="6">
        <v>777</v>
      </c>
      <c r="X399" s="6" t="s">
        <v>208</v>
      </c>
    </row>
    <row r="400" spans="1:24" ht="40.5" x14ac:dyDescent="0.25">
      <c r="A400" s="6" t="s">
        <v>1599</v>
      </c>
      <c r="B400" s="14">
        <v>46205</v>
      </c>
      <c r="C400" s="14">
        <v>46205</v>
      </c>
      <c r="D400" s="6" t="s">
        <v>1600</v>
      </c>
      <c r="E400" s="6" t="s">
        <v>152</v>
      </c>
      <c r="F400" s="6" t="s">
        <v>152</v>
      </c>
      <c r="G400" s="6" t="s">
        <v>204</v>
      </c>
      <c r="H400" s="6"/>
      <c r="I400" s="6"/>
      <c r="J400" s="6"/>
      <c r="K400" s="6" t="s">
        <v>3</v>
      </c>
      <c r="L400" s="6"/>
      <c r="M400" s="10">
        <v>53</v>
      </c>
      <c r="N400" s="6"/>
      <c r="O400" s="6"/>
      <c r="P400" s="17" t="s">
        <v>3</v>
      </c>
      <c r="Q400" s="6" t="s">
        <v>205</v>
      </c>
      <c r="R400" s="17" t="s">
        <v>3</v>
      </c>
      <c r="S400" s="17" t="s">
        <v>1601</v>
      </c>
      <c r="T400" s="6" t="s">
        <v>25</v>
      </c>
      <c r="U400" s="6" t="s">
        <v>222</v>
      </c>
      <c r="V400" s="17" t="s">
        <v>223</v>
      </c>
      <c r="W400" s="6">
        <v>775</v>
      </c>
      <c r="X400" s="6" t="s">
        <v>224</v>
      </c>
    </row>
    <row r="401" spans="1:24" ht="54" x14ac:dyDescent="0.25">
      <c r="A401" s="6" t="s">
        <v>1602</v>
      </c>
      <c r="B401" s="14">
        <v>46205</v>
      </c>
      <c r="C401" s="14">
        <v>46206</v>
      </c>
      <c r="D401" s="6" t="s">
        <v>1603</v>
      </c>
      <c r="E401" s="6" t="s">
        <v>165</v>
      </c>
      <c r="F401" s="6" t="s">
        <v>165</v>
      </c>
      <c r="G401" s="6" t="s">
        <v>204</v>
      </c>
      <c r="H401" s="10">
        <v>280</v>
      </c>
      <c r="I401" s="6"/>
      <c r="J401" s="6"/>
      <c r="K401" s="6" t="s">
        <v>3</v>
      </c>
      <c r="L401" s="6"/>
      <c r="M401" s="6"/>
      <c r="N401" s="6"/>
      <c r="O401" s="6"/>
      <c r="P401" s="17" t="s">
        <v>3</v>
      </c>
      <c r="Q401" s="6" t="s">
        <v>313</v>
      </c>
      <c r="R401" s="17" t="s">
        <v>1604</v>
      </c>
      <c r="S401" s="17" t="s">
        <v>1605</v>
      </c>
      <c r="T401" s="6" t="s">
        <v>24</v>
      </c>
      <c r="U401" s="6" t="s">
        <v>207</v>
      </c>
      <c r="V401" s="17" t="s">
        <v>3</v>
      </c>
      <c r="W401" s="6">
        <v>776</v>
      </c>
      <c r="X401" s="6" t="s">
        <v>208</v>
      </c>
    </row>
    <row r="402" spans="1:24" ht="54" x14ac:dyDescent="0.25">
      <c r="A402" s="6" t="s">
        <v>1606</v>
      </c>
      <c r="B402" s="14">
        <v>46206</v>
      </c>
      <c r="C402" s="14">
        <v>46206</v>
      </c>
      <c r="D402" s="6" t="s">
        <v>1607</v>
      </c>
      <c r="E402" s="6" t="s">
        <v>168</v>
      </c>
      <c r="F402" s="6" t="s">
        <v>168</v>
      </c>
      <c r="G402" s="6" t="s">
        <v>204</v>
      </c>
      <c r="H402" s="6"/>
      <c r="I402" s="6"/>
      <c r="J402" s="6"/>
      <c r="K402" s="6" t="s">
        <v>3</v>
      </c>
      <c r="L402" s="6"/>
      <c r="M402" s="10">
        <v>16</v>
      </c>
      <c r="N402" s="6"/>
      <c r="O402" s="6"/>
      <c r="P402" s="17" t="s">
        <v>3</v>
      </c>
      <c r="Q402" s="6" t="s">
        <v>205</v>
      </c>
      <c r="R402" s="17" t="s">
        <v>3</v>
      </c>
      <c r="S402" s="17" t="s">
        <v>1608</v>
      </c>
      <c r="T402" s="6" t="s">
        <v>25</v>
      </c>
      <c r="U402" s="6" t="s">
        <v>222</v>
      </c>
      <c r="V402" s="17" t="s">
        <v>223</v>
      </c>
      <c r="W402" s="6">
        <v>778</v>
      </c>
      <c r="X402" s="6" t="s">
        <v>224</v>
      </c>
    </row>
    <row r="403" spans="1:24" ht="108" x14ac:dyDescent="0.25">
      <c r="A403" s="6" t="s">
        <v>1609</v>
      </c>
      <c r="B403" s="14">
        <v>46209</v>
      </c>
      <c r="C403" s="14">
        <v>46209</v>
      </c>
      <c r="D403" s="6" t="s">
        <v>1610</v>
      </c>
      <c r="E403" s="6" t="s">
        <v>98</v>
      </c>
      <c r="F403" s="6" t="s">
        <v>98</v>
      </c>
      <c r="G403" s="6" t="s">
        <v>236</v>
      </c>
      <c r="H403" s="10">
        <v>218</v>
      </c>
      <c r="I403" s="6"/>
      <c r="J403" s="6"/>
      <c r="K403" s="6" t="s">
        <v>3</v>
      </c>
      <c r="L403" s="10">
        <v>58</v>
      </c>
      <c r="M403" s="6"/>
      <c r="N403" s="6"/>
      <c r="O403" s="6"/>
      <c r="P403" s="17" t="s">
        <v>3</v>
      </c>
      <c r="Q403" s="6" t="s">
        <v>313</v>
      </c>
      <c r="R403" s="17" t="s">
        <v>1611</v>
      </c>
      <c r="S403" s="17" t="s">
        <v>1612</v>
      </c>
      <c r="T403" s="6" t="s">
        <v>25</v>
      </c>
      <c r="U403" s="6" t="s">
        <v>222</v>
      </c>
      <c r="V403" s="17" t="s">
        <v>404</v>
      </c>
      <c r="W403" s="6">
        <v>795</v>
      </c>
      <c r="X403" s="6" t="s">
        <v>224</v>
      </c>
    </row>
    <row r="404" spans="1:24" ht="108" x14ac:dyDescent="0.25">
      <c r="A404" s="6" t="s">
        <v>1613</v>
      </c>
      <c r="B404" s="14">
        <v>46209</v>
      </c>
      <c r="C404" s="14">
        <v>46209</v>
      </c>
      <c r="D404" s="6" t="s">
        <v>1610</v>
      </c>
      <c r="E404" s="6" t="s">
        <v>98</v>
      </c>
      <c r="F404" s="6" t="s">
        <v>98</v>
      </c>
      <c r="G404" s="6" t="s">
        <v>204</v>
      </c>
      <c r="H404" s="10">
        <v>80</v>
      </c>
      <c r="I404" s="6"/>
      <c r="J404" s="6"/>
      <c r="K404" s="6" t="s">
        <v>3</v>
      </c>
      <c r="L404" s="10">
        <v>58</v>
      </c>
      <c r="M404" s="6"/>
      <c r="N404" s="6"/>
      <c r="O404" s="6"/>
      <c r="P404" s="17" t="s">
        <v>3</v>
      </c>
      <c r="Q404" s="6" t="s">
        <v>313</v>
      </c>
      <c r="R404" s="17" t="s">
        <v>1611</v>
      </c>
      <c r="S404" s="17" t="s">
        <v>1612</v>
      </c>
      <c r="T404" s="6" t="s">
        <v>25</v>
      </c>
      <c r="U404" s="6" t="s">
        <v>222</v>
      </c>
      <c r="V404" s="17" t="s">
        <v>404</v>
      </c>
      <c r="W404" s="6">
        <v>795</v>
      </c>
      <c r="X404" s="6" t="s">
        <v>224</v>
      </c>
    </row>
    <row r="405" spans="1:24" ht="40.5" x14ac:dyDescent="0.25">
      <c r="A405" s="6" t="s">
        <v>1614</v>
      </c>
      <c r="B405" s="14">
        <v>46209</v>
      </c>
      <c r="C405" s="14">
        <v>46209</v>
      </c>
      <c r="D405" s="6" t="s">
        <v>1615</v>
      </c>
      <c r="E405" s="6" t="s">
        <v>99</v>
      </c>
      <c r="F405" s="6" t="s">
        <v>99</v>
      </c>
      <c r="G405" s="6" t="s">
        <v>204</v>
      </c>
      <c r="H405" s="6"/>
      <c r="I405" s="6"/>
      <c r="J405" s="6"/>
      <c r="K405" s="6" t="s">
        <v>3</v>
      </c>
      <c r="L405" s="6"/>
      <c r="M405" s="10">
        <v>78</v>
      </c>
      <c r="N405" s="6"/>
      <c r="O405" s="6"/>
      <c r="P405" s="17" t="s">
        <v>3</v>
      </c>
      <c r="Q405" s="6" t="s">
        <v>205</v>
      </c>
      <c r="R405" s="17" t="s">
        <v>3</v>
      </c>
      <c r="S405" s="17" t="s">
        <v>1616</v>
      </c>
      <c r="T405" s="6" t="s">
        <v>25</v>
      </c>
      <c r="U405" s="6" t="s">
        <v>222</v>
      </c>
      <c r="V405" s="17" t="s">
        <v>223</v>
      </c>
      <c r="W405" s="6">
        <v>793</v>
      </c>
      <c r="X405" s="6" t="s">
        <v>224</v>
      </c>
    </row>
    <row r="406" spans="1:24" ht="121.5" x14ac:dyDescent="0.25">
      <c r="A406" s="6" t="s">
        <v>1617</v>
      </c>
      <c r="B406" s="14">
        <v>46210</v>
      </c>
      <c r="C406" s="14">
        <v>46211</v>
      </c>
      <c r="D406" s="6" t="s">
        <v>1618</v>
      </c>
      <c r="E406" s="6" t="s">
        <v>81</v>
      </c>
      <c r="F406" s="6" t="s">
        <v>81</v>
      </c>
      <c r="G406" s="6" t="s">
        <v>236</v>
      </c>
      <c r="H406" s="10">
        <v>341</v>
      </c>
      <c r="I406" s="6"/>
      <c r="J406" s="6"/>
      <c r="K406" s="6" t="s">
        <v>3</v>
      </c>
      <c r="L406" s="10">
        <v>83</v>
      </c>
      <c r="M406" s="6"/>
      <c r="N406" s="6"/>
      <c r="O406" s="6"/>
      <c r="P406" s="17" t="s">
        <v>3</v>
      </c>
      <c r="Q406" s="6" t="s">
        <v>313</v>
      </c>
      <c r="R406" s="17" t="s">
        <v>1619</v>
      </c>
      <c r="S406" s="17" t="s">
        <v>1620</v>
      </c>
      <c r="T406" s="6" t="s">
        <v>25</v>
      </c>
      <c r="U406" s="6" t="s">
        <v>222</v>
      </c>
      <c r="V406" s="17" t="s">
        <v>353</v>
      </c>
      <c r="W406" s="6">
        <v>800</v>
      </c>
      <c r="X406" s="6" t="s">
        <v>224</v>
      </c>
    </row>
    <row r="407" spans="1:24" ht="121.5" x14ac:dyDescent="0.25">
      <c r="A407" s="6" t="s">
        <v>1621</v>
      </c>
      <c r="B407" s="14">
        <v>46210</v>
      </c>
      <c r="C407" s="14">
        <v>46211</v>
      </c>
      <c r="D407" s="6" t="s">
        <v>1618</v>
      </c>
      <c r="E407" s="6" t="s">
        <v>81</v>
      </c>
      <c r="F407" s="6" t="s">
        <v>81</v>
      </c>
      <c r="G407" s="6" t="s">
        <v>236</v>
      </c>
      <c r="H407" s="10">
        <v>54</v>
      </c>
      <c r="I407" s="6"/>
      <c r="J407" s="6"/>
      <c r="K407" s="6" t="s">
        <v>3</v>
      </c>
      <c r="L407" s="10">
        <v>83</v>
      </c>
      <c r="M407" s="6"/>
      <c r="N407" s="6"/>
      <c r="O407" s="6"/>
      <c r="P407" s="17" t="s">
        <v>3</v>
      </c>
      <c r="Q407" s="6" t="s">
        <v>313</v>
      </c>
      <c r="R407" s="17" t="s">
        <v>1619</v>
      </c>
      <c r="S407" s="17" t="s">
        <v>1620</v>
      </c>
      <c r="T407" s="6" t="s">
        <v>25</v>
      </c>
      <c r="U407" s="6" t="s">
        <v>222</v>
      </c>
      <c r="V407" s="17" t="s">
        <v>353</v>
      </c>
      <c r="W407" s="6">
        <v>800</v>
      </c>
      <c r="X407" s="6" t="s">
        <v>224</v>
      </c>
    </row>
    <row r="408" spans="1:24" ht="121.5" x14ac:dyDescent="0.25">
      <c r="A408" s="6" t="s">
        <v>1622</v>
      </c>
      <c r="B408" s="14">
        <v>46210</v>
      </c>
      <c r="C408" s="14">
        <v>46211</v>
      </c>
      <c r="D408" s="6" t="s">
        <v>1618</v>
      </c>
      <c r="E408" s="6" t="s">
        <v>81</v>
      </c>
      <c r="F408" s="6" t="s">
        <v>81</v>
      </c>
      <c r="G408" s="6" t="s">
        <v>236</v>
      </c>
      <c r="H408" s="10">
        <v>52</v>
      </c>
      <c r="I408" s="6"/>
      <c r="J408" s="6"/>
      <c r="K408" s="6" t="s">
        <v>3</v>
      </c>
      <c r="L408" s="10">
        <v>83</v>
      </c>
      <c r="M408" s="6"/>
      <c r="N408" s="6"/>
      <c r="O408" s="6"/>
      <c r="P408" s="17" t="s">
        <v>3</v>
      </c>
      <c r="Q408" s="6" t="s">
        <v>313</v>
      </c>
      <c r="R408" s="17" t="s">
        <v>1619</v>
      </c>
      <c r="S408" s="17" t="s">
        <v>1620</v>
      </c>
      <c r="T408" s="6" t="s">
        <v>25</v>
      </c>
      <c r="U408" s="6" t="s">
        <v>222</v>
      </c>
      <c r="V408" s="17" t="s">
        <v>353</v>
      </c>
      <c r="W408" s="6">
        <v>800</v>
      </c>
      <c r="X408" s="6" t="s">
        <v>224</v>
      </c>
    </row>
    <row r="409" spans="1:24" ht="40.5" x14ac:dyDescent="0.25">
      <c r="A409" s="6" t="s">
        <v>1623</v>
      </c>
      <c r="B409" s="14">
        <v>46210</v>
      </c>
      <c r="C409" s="14">
        <v>46210</v>
      </c>
      <c r="D409" s="6" t="s">
        <v>1624</v>
      </c>
      <c r="E409" s="6" t="s">
        <v>99</v>
      </c>
      <c r="F409" s="6" t="s">
        <v>99</v>
      </c>
      <c r="G409" s="6" t="s">
        <v>204</v>
      </c>
      <c r="H409" s="6"/>
      <c r="I409" s="6"/>
      <c r="J409" s="6"/>
      <c r="K409" s="6" t="s">
        <v>3</v>
      </c>
      <c r="L409" s="6"/>
      <c r="M409" s="10">
        <v>40</v>
      </c>
      <c r="N409" s="6"/>
      <c r="O409" s="6"/>
      <c r="P409" s="17" t="s">
        <v>3</v>
      </c>
      <c r="Q409" s="6" t="s">
        <v>205</v>
      </c>
      <c r="R409" s="17" t="s">
        <v>3</v>
      </c>
      <c r="S409" s="17" t="s">
        <v>1625</v>
      </c>
      <c r="T409" s="6" t="s">
        <v>25</v>
      </c>
      <c r="U409" s="6" t="s">
        <v>222</v>
      </c>
      <c r="V409" s="17" t="s">
        <v>223</v>
      </c>
      <c r="W409" s="6">
        <v>797</v>
      </c>
      <c r="X409" s="6" t="s">
        <v>224</v>
      </c>
    </row>
    <row r="410" spans="1:24" ht="40.5" x14ac:dyDescent="0.25">
      <c r="A410" s="6" t="s">
        <v>1626</v>
      </c>
      <c r="B410" s="14">
        <v>46211</v>
      </c>
      <c r="C410" s="14">
        <v>46211</v>
      </c>
      <c r="D410" s="6" t="s">
        <v>1627</v>
      </c>
      <c r="E410" s="6" t="s">
        <v>123</v>
      </c>
      <c r="F410" s="6" t="s">
        <v>123</v>
      </c>
      <c r="G410" s="6" t="s">
        <v>204</v>
      </c>
      <c r="H410" s="6"/>
      <c r="I410" s="6"/>
      <c r="J410" s="6"/>
      <c r="K410" s="6" t="s">
        <v>3</v>
      </c>
      <c r="L410" s="6"/>
      <c r="M410" s="10">
        <v>112</v>
      </c>
      <c r="N410" s="6"/>
      <c r="O410" s="6"/>
      <c r="P410" s="17" t="s">
        <v>3</v>
      </c>
      <c r="Q410" s="6" t="s">
        <v>205</v>
      </c>
      <c r="R410" s="17" t="s">
        <v>3</v>
      </c>
      <c r="S410" s="17" t="s">
        <v>1628</v>
      </c>
      <c r="T410" s="6" t="s">
        <v>25</v>
      </c>
      <c r="U410" s="6" t="s">
        <v>222</v>
      </c>
      <c r="V410" s="17" t="s">
        <v>223</v>
      </c>
      <c r="W410" s="6">
        <v>807</v>
      </c>
      <c r="X410" s="6" t="s">
        <v>224</v>
      </c>
    </row>
    <row r="411" spans="1:24" ht="27" x14ac:dyDescent="0.25">
      <c r="A411" s="6" t="s">
        <v>1629</v>
      </c>
      <c r="B411" s="14">
        <v>46211</v>
      </c>
      <c r="C411" s="14">
        <v>46211</v>
      </c>
      <c r="D411" s="6" t="s">
        <v>1630</v>
      </c>
      <c r="E411" s="6" t="s">
        <v>169</v>
      </c>
      <c r="F411" s="6" t="s">
        <v>169</v>
      </c>
      <c r="G411" s="6" t="s">
        <v>236</v>
      </c>
      <c r="H411" s="10">
        <v>40</v>
      </c>
      <c r="I411" s="6"/>
      <c r="J411" s="6"/>
      <c r="K411" s="6" t="s">
        <v>3</v>
      </c>
      <c r="L411" s="10">
        <v>19.07</v>
      </c>
      <c r="M411" s="6"/>
      <c r="N411" s="6"/>
      <c r="O411" s="6"/>
      <c r="P411" s="17" t="s">
        <v>3</v>
      </c>
      <c r="Q411" s="6" t="s">
        <v>1631</v>
      </c>
      <c r="R411" s="17" t="s">
        <v>3</v>
      </c>
      <c r="S411" s="17" t="s">
        <v>1632</v>
      </c>
      <c r="T411" s="6" t="s">
        <v>25</v>
      </c>
      <c r="U411" s="6" t="s">
        <v>222</v>
      </c>
      <c r="V411" s="17" t="s">
        <v>238</v>
      </c>
      <c r="W411" s="6">
        <v>808</v>
      </c>
      <c r="X411" s="6" t="s">
        <v>224</v>
      </c>
    </row>
    <row r="412" spans="1:24" x14ac:dyDescent="0.25">
      <c r="A412" s="6" t="s">
        <v>1633</v>
      </c>
      <c r="B412" s="14">
        <v>46212</v>
      </c>
      <c r="C412" s="14">
        <v>46212</v>
      </c>
      <c r="D412" s="6" t="s">
        <v>1634</v>
      </c>
      <c r="E412" s="6" t="s">
        <v>45</v>
      </c>
      <c r="F412" s="6" t="s">
        <v>3</v>
      </c>
      <c r="G412" s="6" t="s">
        <v>236</v>
      </c>
      <c r="H412" s="10">
        <v>110</v>
      </c>
      <c r="I412" s="6"/>
      <c r="J412" s="6"/>
      <c r="K412" s="6" t="s">
        <v>3</v>
      </c>
      <c r="L412" s="10">
        <v>45</v>
      </c>
      <c r="M412" s="6"/>
      <c r="N412" s="6"/>
      <c r="O412" s="6"/>
      <c r="P412" s="17" t="s">
        <v>3</v>
      </c>
      <c r="Q412" s="6" t="s">
        <v>1631</v>
      </c>
      <c r="R412" s="17" t="s">
        <v>3</v>
      </c>
      <c r="S412" s="17" t="s">
        <v>1635</v>
      </c>
      <c r="T412" s="6" t="s">
        <v>26</v>
      </c>
      <c r="U412" s="6" t="s">
        <v>222</v>
      </c>
      <c r="V412" s="17" t="s">
        <v>543</v>
      </c>
      <c r="W412" s="6">
        <v>810</v>
      </c>
      <c r="X412" s="6" t="s">
        <v>224</v>
      </c>
    </row>
    <row r="413" spans="1:24" ht="67.5" x14ac:dyDescent="0.25">
      <c r="A413" s="6" t="s">
        <v>1636</v>
      </c>
      <c r="B413" s="14">
        <v>46212</v>
      </c>
      <c r="C413" s="14">
        <v>46212</v>
      </c>
      <c r="D413" s="6" t="s">
        <v>1637</v>
      </c>
      <c r="E413" s="6" t="s">
        <v>42</v>
      </c>
      <c r="F413" s="6" t="s">
        <v>1515</v>
      </c>
      <c r="G413" s="6" t="s">
        <v>204</v>
      </c>
      <c r="H413" s="10">
        <v>377</v>
      </c>
      <c r="I413" s="6"/>
      <c r="J413" s="6"/>
      <c r="K413" s="6" t="s">
        <v>1638</v>
      </c>
      <c r="L413" s="6"/>
      <c r="M413" s="10">
        <v>108</v>
      </c>
      <c r="N413" s="6"/>
      <c r="O413" s="6"/>
      <c r="P413" s="17" t="s">
        <v>3</v>
      </c>
      <c r="Q413" s="6" t="s">
        <v>205</v>
      </c>
      <c r="R413" s="17" t="s">
        <v>3</v>
      </c>
      <c r="S413" s="17" t="s">
        <v>1639</v>
      </c>
      <c r="T413" s="6" t="s">
        <v>24</v>
      </c>
      <c r="U413" s="6" t="s">
        <v>207</v>
      </c>
      <c r="V413" s="17" t="s">
        <v>3</v>
      </c>
      <c r="W413" s="6">
        <v>809</v>
      </c>
      <c r="X413" s="6" t="s">
        <v>208</v>
      </c>
    </row>
    <row r="414" spans="1:24" ht="67.5" x14ac:dyDescent="0.25">
      <c r="A414" s="6" t="s">
        <v>1640</v>
      </c>
      <c r="B414" s="14">
        <v>46213</v>
      </c>
      <c r="C414" s="14">
        <v>46213</v>
      </c>
      <c r="D414" s="6" t="s">
        <v>1641</v>
      </c>
      <c r="E414" s="6" t="s">
        <v>42</v>
      </c>
      <c r="F414" s="6" t="s">
        <v>1483</v>
      </c>
      <c r="G414" s="6" t="s">
        <v>204</v>
      </c>
      <c r="H414" s="6"/>
      <c r="I414" s="6"/>
      <c r="J414" s="6"/>
      <c r="K414" s="6" t="s">
        <v>1642</v>
      </c>
      <c r="L414" s="6"/>
      <c r="M414" s="10">
        <v>48</v>
      </c>
      <c r="N414" s="6"/>
      <c r="O414" s="6"/>
      <c r="P414" s="17" t="s">
        <v>3</v>
      </c>
      <c r="Q414" s="6" t="s">
        <v>205</v>
      </c>
      <c r="R414" s="17" t="s">
        <v>3</v>
      </c>
      <c r="S414" s="17" t="s">
        <v>1643</v>
      </c>
      <c r="T414" s="6" t="s">
        <v>25</v>
      </c>
      <c r="U414" s="6" t="s">
        <v>222</v>
      </c>
      <c r="V414" s="17" t="s">
        <v>223</v>
      </c>
      <c r="W414" s="6">
        <v>813</v>
      </c>
      <c r="X414" s="6" t="s">
        <v>224</v>
      </c>
    </row>
    <row r="415" spans="1:24" ht="40.5" x14ac:dyDescent="0.25">
      <c r="A415" s="6" t="s">
        <v>1644</v>
      </c>
      <c r="B415" s="14">
        <v>46216</v>
      </c>
      <c r="C415" s="14">
        <v>46217</v>
      </c>
      <c r="D415" s="6" t="s">
        <v>1645</v>
      </c>
      <c r="E415" s="6" t="s">
        <v>145</v>
      </c>
      <c r="F415" s="6" t="s">
        <v>145</v>
      </c>
      <c r="G415" s="6" t="s">
        <v>263</v>
      </c>
      <c r="H415" s="6"/>
      <c r="I415" s="6"/>
      <c r="J415" s="6"/>
      <c r="K415" s="6" t="s">
        <v>3</v>
      </c>
      <c r="L415" s="6"/>
      <c r="M415" s="10">
        <v>101</v>
      </c>
      <c r="N415" s="6"/>
      <c r="O415" s="6"/>
      <c r="P415" s="17" t="s">
        <v>3</v>
      </c>
      <c r="Q415" s="6" t="s">
        <v>205</v>
      </c>
      <c r="R415" s="17" t="s">
        <v>3</v>
      </c>
      <c r="S415" s="17" t="s">
        <v>1646</v>
      </c>
      <c r="T415" s="6" t="s">
        <v>26</v>
      </c>
      <c r="U415" s="6" t="s">
        <v>222</v>
      </c>
      <c r="V415" s="17" t="s">
        <v>1129</v>
      </c>
      <c r="W415" s="6">
        <v>815</v>
      </c>
      <c r="X415" s="6" t="s">
        <v>224</v>
      </c>
    </row>
    <row r="416" spans="1:24" ht="54" x14ac:dyDescent="0.25">
      <c r="A416" s="6" t="s">
        <v>1647</v>
      </c>
      <c r="B416" s="14">
        <v>46217</v>
      </c>
      <c r="C416" s="14">
        <v>46219</v>
      </c>
      <c r="D416" s="6" t="s">
        <v>1648</v>
      </c>
      <c r="E416" s="6" t="s">
        <v>147</v>
      </c>
      <c r="F416" s="6" t="s">
        <v>147</v>
      </c>
      <c r="G416" s="6" t="s">
        <v>236</v>
      </c>
      <c r="H416" s="10">
        <v>192</v>
      </c>
      <c r="I416" s="6"/>
      <c r="J416" s="6"/>
      <c r="K416" s="6" t="s">
        <v>3</v>
      </c>
      <c r="L416" s="10">
        <v>74</v>
      </c>
      <c r="M416" s="6"/>
      <c r="N416" s="6"/>
      <c r="O416" s="6"/>
      <c r="P416" s="17" t="s">
        <v>3</v>
      </c>
      <c r="Q416" s="6" t="s">
        <v>313</v>
      </c>
      <c r="R416" s="17" t="s">
        <v>3</v>
      </c>
      <c r="S416" s="17" t="s">
        <v>1649</v>
      </c>
      <c r="T416" s="6" t="s">
        <v>24</v>
      </c>
      <c r="U416" s="6" t="s">
        <v>207</v>
      </c>
      <c r="V416" s="17" t="s">
        <v>3</v>
      </c>
      <c r="W416" s="6">
        <v>818</v>
      </c>
      <c r="X416" s="6" t="s">
        <v>208</v>
      </c>
    </row>
    <row r="417" spans="1:24" ht="67.5" x14ac:dyDescent="0.25">
      <c r="A417" s="6" t="s">
        <v>1650</v>
      </c>
      <c r="B417" s="14">
        <v>46217</v>
      </c>
      <c r="C417" s="14">
        <v>46218</v>
      </c>
      <c r="D417" s="6" t="s">
        <v>1651</v>
      </c>
      <c r="E417" s="6" t="s">
        <v>42</v>
      </c>
      <c r="F417" s="6" t="s">
        <v>1515</v>
      </c>
      <c r="G417" s="6" t="s">
        <v>204</v>
      </c>
      <c r="H417" s="6"/>
      <c r="I417" s="6"/>
      <c r="J417" s="6"/>
      <c r="K417" s="6" t="s">
        <v>1652</v>
      </c>
      <c r="L417" s="6"/>
      <c r="M417" s="10">
        <v>70</v>
      </c>
      <c r="N417" s="6"/>
      <c r="O417" s="6"/>
      <c r="P417" s="17" t="s">
        <v>3</v>
      </c>
      <c r="Q417" s="6" t="s">
        <v>205</v>
      </c>
      <c r="R417" s="17" t="s">
        <v>3</v>
      </c>
      <c r="S417" s="17" t="s">
        <v>1653</v>
      </c>
      <c r="T417" s="6" t="s">
        <v>25</v>
      </c>
      <c r="U417" s="6" t="s">
        <v>222</v>
      </c>
      <c r="V417" s="17" t="s">
        <v>223</v>
      </c>
      <c r="W417" s="6">
        <v>816</v>
      </c>
      <c r="X417" s="6" t="s">
        <v>224</v>
      </c>
    </row>
    <row r="418" spans="1:24" ht="54" x14ac:dyDescent="0.25">
      <c r="A418" s="6" t="s">
        <v>1654</v>
      </c>
      <c r="B418" s="14">
        <v>46218</v>
      </c>
      <c r="C418" s="14">
        <v>46218</v>
      </c>
      <c r="D418" s="6" t="s">
        <v>1655</v>
      </c>
      <c r="E418" s="6" t="s">
        <v>42</v>
      </c>
      <c r="F418" s="6" t="s">
        <v>1515</v>
      </c>
      <c r="G418" s="6" t="s">
        <v>204</v>
      </c>
      <c r="H418" s="6"/>
      <c r="I418" s="6"/>
      <c r="J418" s="6"/>
      <c r="K418" s="6" t="s">
        <v>1143</v>
      </c>
      <c r="L418" s="6"/>
      <c r="M418" s="10">
        <v>29</v>
      </c>
      <c r="N418" s="6"/>
      <c r="O418" s="6"/>
      <c r="P418" s="17" t="s">
        <v>3</v>
      </c>
      <c r="Q418" s="6" t="s">
        <v>205</v>
      </c>
      <c r="R418" s="17" t="s">
        <v>3</v>
      </c>
      <c r="S418" s="17" t="s">
        <v>1656</v>
      </c>
      <c r="T418" s="6" t="s">
        <v>25</v>
      </c>
      <c r="U418" s="6" t="s">
        <v>222</v>
      </c>
      <c r="V418" s="17" t="s">
        <v>223</v>
      </c>
      <c r="W418" s="6">
        <v>817</v>
      </c>
      <c r="X418" s="6" t="s">
        <v>224</v>
      </c>
    </row>
    <row r="419" spans="1:24" ht="81" x14ac:dyDescent="0.25">
      <c r="A419" s="6" t="s">
        <v>1657</v>
      </c>
      <c r="B419" s="14">
        <v>46219</v>
      </c>
      <c r="C419" s="14">
        <v>46219</v>
      </c>
      <c r="D419" s="6" t="s">
        <v>1658</v>
      </c>
      <c r="E419" s="6" t="s">
        <v>106</v>
      </c>
      <c r="F419" s="6" t="s">
        <v>106</v>
      </c>
      <c r="G419" s="6" t="s">
        <v>204</v>
      </c>
      <c r="H419" s="10">
        <v>204</v>
      </c>
      <c r="I419" s="6"/>
      <c r="J419" s="6"/>
      <c r="K419" s="6" t="s">
        <v>3</v>
      </c>
      <c r="L419" s="10">
        <v>133</v>
      </c>
      <c r="M419" s="6"/>
      <c r="N419" s="6"/>
      <c r="O419" s="6"/>
      <c r="P419" s="17" t="s">
        <v>3</v>
      </c>
      <c r="Q419" s="6" t="s">
        <v>313</v>
      </c>
      <c r="R419" s="17" t="s">
        <v>3</v>
      </c>
      <c r="S419" s="17" t="s">
        <v>1659</v>
      </c>
      <c r="T419" s="6" t="s">
        <v>24</v>
      </c>
      <c r="U419" s="6" t="s">
        <v>207</v>
      </c>
      <c r="V419" s="17" t="s">
        <v>3</v>
      </c>
      <c r="W419" s="6">
        <v>819</v>
      </c>
      <c r="X419" s="6" t="s">
        <v>208</v>
      </c>
    </row>
    <row r="420" spans="1:24" ht="67.5" x14ac:dyDescent="0.25">
      <c r="A420" s="6" t="s">
        <v>1660</v>
      </c>
      <c r="B420" s="14">
        <v>46219</v>
      </c>
      <c r="C420" s="14">
        <v>46219</v>
      </c>
      <c r="D420" s="6" t="s">
        <v>1661</v>
      </c>
      <c r="E420" s="6" t="s">
        <v>51</v>
      </c>
      <c r="F420" s="6" t="s">
        <v>1662</v>
      </c>
      <c r="G420" s="6" t="s">
        <v>263</v>
      </c>
      <c r="H420" s="6"/>
      <c r="I420" s="6"/>
      <c r="J420" s="6"/>
      <c r="K420" s="6" t="s">
        <v>1663</v>
      </c>
      <c r="L420" s="6"/>
      <c r="M420" s="10">
        <v>171</v>
      </c>
      <c r="N420" s="6"/>
      <c r="O420" s="6"/>
      <c r="P420" s="17" t="s">
        <v>3</v>
      </c>
      <c r="Q420" s="6" t="s">
        <v>205</v>
      </c>
      <c r="R420" s="17" t="s">
        <v>3</v>
      </c>
      <c r="S420" s="17" t="s">
        <v>1664</v>
      </c>
      <c r="T420" s="6" t="s">
        <v>26</v>
      </c>
      <c r="U420" s="6" t="s">
        <v>222</v>
      </c>
      <c r="V420" s="17" t="s">
        <v>1129</v>
      </c>
      <c r="W420" s="6">
        <v>820</v>
      </c>
      <c r="X420" s="6" t="s">
        <v>224</v>
      </c>
    </row>
    <row r="421" spans="1:24" ht="54" x14ac:dyDescent="0.25">
      <c r="A421" s="6" t="s">
        <v>1665</v>
      </c>
      <c r="B421" s="14">
        <v>46220</v>
      </c>
      <c r="C421" s="14">
        <v>46220</v>
      </c>
      <c r="D421" s="6" t="s">
        <v>1666</v>
      </c>
      <c r="E421" s="6" t="s">
        <v>51</v>
      </c>
      <c r="F421" s="6" t="s">
        <v>1662</v>
      </c>
      <c r="G421" s="6" t="s">
        <v>204</v>
      </c>
      <c r="H421" s="6"/>
      <c r="I421" s="6"/>
      <c r="J421" s="6"/>
      <c r="K421" s="6" t="s">
        <v>467</v>
      </c>
      <c r="L421" s="6"/>
      <c r="M421" s="10">
        <v>83</v>
      </c>
      <c r="N421" s="6"/>
      <c r="O421" s="6"/>
      <c r="P421" s="17" t="s">
        <v>3</v>
      </c>
      <c r="Q421" s="6" t="s">
        <v>205</v>
      </c>
      <c r="R421" s="17" t="s">
        <v>3</v>
      </c>
      <c r="S421" s="17" t="s">
        <v>1667</v>
      </c>
      <c r="T421" s="6" t="s">
        <v>25</v>
      </c>
      <c r="U421" s="6" t="s">
        <v>222</v>
      </c>
      <c r="V421" s="17" t="s">
        <v>223</v>
      </c>
      <c r="W421" s="6">
        <v>821</v>
      </c>
      <c r="X421" s="6" t="s">
        <v>224</v>
      </c>
    </row>
    <row r="422" spans="1:24" ht="67.5" x14ac:dyDescent="0.25">
      <c r="A422" s="6" t="s">
        <v>1668</v>
      </c>
      <c r="B422" s="14">
        <v>46223</v>
      </c>
      <c r="C422" s="14">
        <v>46223</v>
      </c>
      <c r="D422" s="6" t="s">
        <v>1669</v>
      </c>
      <c r="E422" s="6" t="s">
        <v>42</v>
      </c>
      <c r="F422" s="6" t="s">
        <v>1515</v>
      </c>
      <c r="G422" s="6" t="s">
        <v>204</v>
      </c>
      <c r="H422" s="10">
        <v>185</v>
      </c>
      <c r="I422" s="6"/>
      <c r="J422" s="6"/>
      <c r="K422" s="6" t="s">
        <v>3</v>
      </c>
      <c r="L422" s="6"/>
      <c r="M422" s="10">
        <v>70</v>
      </c>
      <c r="N422" s="6"/>
      <c r="O422" s="6"/>
      <c r="P422" s="17" t="s">
        <v>3</v>
      </c>
      <c r="Q422" s="6" t="s">
        <v>205</v>
      </c>
      <c r="R422" s="17" t="s">
        <v>3</v>
      </c>
      <c r="S422" s="17" t="s">
        <v>1670</v>
      </c>
      <c r="T422" s="6" t="s">
        <v>24</v>
      </c>
      <c r="U422" s="6" t="s">
        <v>207</v>
      </c>
      <c r="V422" s="17" t="s">
        <v>3</v>
      </c>
      <c r="W422" s="6">
        <v>822</v>
      </c>
      <c r="X422" s="6" t="s">
        <v>208</v>
      </c>
    </row>
    <row r="423" spans="1:24" ht="54" x14ac:dyDescent="0.25">
      <c r="A423" s="6" t="s">
        <v>1671</v>
      </c>
      <c r="B423" s="14">
        <v>46224</v>
      </c>
      <c r="C423" s="14">
        <v>46224</v>
      </c>
      <c r="D423" s="6" t="s">
        <v>1672</v>
      </c>
      <c r="E423" s="6" t="s">
        <v>42</v>
      </c>
      <c r="F423" s="6" t="s">
        <v>1515</v>
      </c>
      <c r="G423" s="6" t="s">
        <v>204</v>
      </c>
      <c r="H423" s="10">
        <v>183</v>
      </c>
      <c r="I423" s="6"/>
      <c r="J423" s="6"/>
      <c r="K423" s="6" t="s">
        <v>1673</v>
      </c>
      <c r="L423" s="6"/>
      <c r="M423" s="10">
        <v>127</v>
      </c>
      <c r="N423" s="6"/>
      <c r="O423" s="6"/>
      <c r="P423" s="17" t="s">
        <v>3</v>
      </c>
      <c r="Q423" s="6" t="s">
        <v>205</v>
      </c>
      <c r="R423" s="17" t="s">
        <v>3</v>
      </c>
      <c r="S423" s="17" t="s">
        <v>1674</v>
      </c>
      <c r="T423" s="6" t="s">
        <v>24</v>
      </c>
      <c r="U423" s="6" t="s">
        <v>207</v>
      </c>
      <c r="V423" s="17" t="s">
        <v>3</v>
      </c>
      <c r="W423" s="6">
        <v>824</v>
      </c>
      <c r="X423" s="6" t="s">
        <v>208</v>
      </c>
    </row>
    <row r="424" spans="1:24" ht="54" x14ac:dyDescent="0.25">
      <c r="A424" s="6" t="s">
        <v>1675</v>
      </c>
      <c r="B424" s="14">
        <v>46225</v>
      </c>
      <c r="C424" s="14">
        <v>46225</v>
      </c>
      <c r="D424" s="6" t="s">
        <v>1676</v>
      </c>
      <c r="E424" s="6" t="s">
        <v>51</v>
      </c>
      <c r="F424" s="6" t="s">
        <v>1662</v>
      </c>
      <c r="G424" s="6" t="s">
        <v>204</v>
      </c>
      <c r="H424" s="6"/>
      <c r="I424" s="6"/>
      <c r="J424" s="6"/>
      <c r="K424" s="6" t="s">
        <v>1677</v>
      </c>
      <c r="L424" s="6"/>
      <c r="M424" s="10">
        <v>93</v>
      </c>
      <c r="N424" s="6"/>
      <c r="O424" s="6"/>
      <c r="P424" s="17" t="s">
        <v>3</v>
      </c>
      <c r="Q424" s="6" t="s">
        <v>205</v>
      </c>
      <c r="R424" s="17" t="s">
        <v>3</v>
      </c>
      <c r="S424" s="17" t="s">
        <v>1678</v>
      </c>
      <c r="T424" s="6" t="s">
        <v>25</v>
      </c>
      <c r="U424" s="6" t="s">
        <v>222</v>
      </c>
      <c r="V424" s="17" t="s">
        <v>223</v>
      </c>
      <c r="W424" s="6">
        <v>827</v>
      </c>
      <c r="X424" s="6" t="s">
        <v>224</v>
      </c>
    </row>
    <row r="425" spans="1:24" ht="67.5" x14ac:dyDescent="0.25">
      <c r="A425" s="6" t="s">
        <v>1679</v>
      </c>
      <c r="B425" s="14">
        <v>46225</v>
      </c>
      <c r="C425" s="14">
        <v>46225</v>
      </c>
      <c r="D425" s="6" t="s">
        <v>1680</v>
      </c>
      <c r="E425" s="6" t="s">
        <v>115</v>
      </c>
      <c r="F425" s="6" t="s">
        <v>115</v>
      </c>
      <c r="G425" s="6" t="s">
        <v>236</v>
      </c>
      <c r="H425" s="10">
        <v>127</v>
      </c>
      <c r="I425" s="6"/>
      <c r="J425" s="6"/>
      <c r="K425" s="6" t="s">
        <v>3</v>
      </c>
      <c r="L425" s="10">
        <v>46</v>
      </c>
      <c r="M425" s="6"/>
      <c r="N425" s="6"/>
      <c r="O425" s="6"/>
      <c r="P425" s="17" t="s">
        <v>3</v>
      </c>
      <c r="Q425" s="6" t="s">
        <v>313</v>
      </c>
      <c r="R425" s="17" t="s">
        <v>3</v>
      </c>
      <c r="S425" s="17" t="s">
        <v>1681</v>
      </c>
      <c r="T425" s="6" t="s">
        <v>24</v>
      </c>
      <c r="U425" s="6" t="s">
        <v>207</v>
      </c>
      <c r="V425" s="17" t="s">
        <v>3</v>
      </c>
      <c r="W425" s="6">
        <v>828</v>
      </c>
      <c r="X425" s="6" t="s">
        <v>208</v>
      </c>
    </row>
    <row r="426" spans="1:24" ht="67.5" x14ac:dyDescent="0.25">
      <c r="A426" s="6" t="s">
        <v>1682</v>
      </c>
      <c r="B426" s="14">
        <v>46226</v>
      </c>
      <c r="C426" s="14">
        <v>46226</v>
      </c>
      <c r="D426" s="6" t="s">
        <v>1683</v>
      </c>
      <c r="E426" s="6" t="s">
        <v>51</v>
      </c>
      <c r="F426" s="6" t="s">
        <v>1684</v>
      </c>
      <c r="G426" s="6" t="s">
        <v>204</v>
      </c>
      <c r="H426" s="6"/>
      <c r="I426" s="6"/>
      <c r="J426" s="6"/>
      <c r="K426" s="6" t="s">
        <v>1685</v>
      </c>
      <c r="L426" s="6"/>
      <c r="M426" s="10">
        <v>180</v>
      </c>
      <c r="N426" s="6"/>
      <c r="O426" s="6"/>
      <c r="P426" s="17" t="s">
        <v>3</v>
      </c>
      <c r="Q426" s="6" t="s">
        <v>205</v>
      </c>
      <c r="R426" s="17" t="s">
        <v>3</v>
      </c>
      <c r="S426" s="17" t="s">
        <v>1686</v>
      </c>
      <c r="T426" s="6" t="s">
        <v>25</v>
      </c>
      <c r="U426" s="6" t="s">
        <v>222</v>
      </c>
      <c r="V426" s="17" t="s">
        <v>223</v>
      </c>
      <c r="W426" s="6">
        <v>829</v>
      </c>
      <c r="X426" s="6" t="s">
        <v>224</v>
      </c>
    </row>
    <row r="427" spans="1:24" ht="67.5" x14ac:dyDescent="0.25">
      <c r="A427" s="6" t="s">
        <v>1687</v>
      </c>
      <c r="B427" s="14">
        <v>46226</v>
      </c>
      <c r="C427" s="14">
        <v>46230</v>
      </c>
      <c r="D427" s="6" t="s">
        <v>1688</v>
      </c>
      <c r="E427" s="6" t="s">
        <v>120</v>
      </c>
      <c r="F427" s="6" t="s">
        <v>120</v>
      </c>
      <c r="G427" s="6" t="s">
        <v>236</v>
      </c>
      <c r="H427" s="10">
        <v>50</v>
      </c>
      <c r="I427" s="6"/>
      <c r="J427" s="6"/>
      <c r="K427" s="6" t="s">
        <v>3</v>
      </c>
      <c r="L427" s="10">
        <v>22</v>
      </c>
      <c r="M427" s="6"/>
      <c r="N427" s="6"/>
      <c r="O427" s="6"/>
      <c r="P427" s="17" t="s">
        <v>3</v>
      </c>
      <c r="Q427" s="6" t="s">
        <v>313</v>
      </c>
      <c r="R427" s="17" t="s">
        <v>3</v>
      </c>
      <c r="S427" s="17" t="s">
        <v>1689</v>
      </c>
      <c r="T427" s="6" t="s">
        <v>24</v>
      </c>
      <c r="U427" s="6" t="s">
        <v>207</v>
      </c>
      <c r="V427" s="17" t="s">
        <v>3</v>
      </c>
      <c r="W427" s="6">
        <v>832</v>
      </c>
      <c r="X427" s="6" t="s">
        <v>208</v>
      </c>
    </row>
    <row r="428" spans="1:24" ht="54" x14ac:dyDescent="0.25">
      <c r="A428" s="6" t="s">
        <v>1690</v>
      </c>
      <c r="B428" s="14">
        <v>46227</v>
      </c>
      <c r="C428" s="14">
        <v>46228</v>
      </c>
      <c r="D428" s="6" t="s">
        <v>1691</v>
      </c>
      <c r="E428" s="6" t="s">
        <v>51</v>
      </c>
      <c r="F428" s="6" t="s">
        <v>1684</v>
      </c>
      <c r="G428" s="6" t="s">
        <v>204</v>
      </c>
      <c r="H428" s="6"/>
      <c r="I428" s="6"/>
      <c r="J428" s="6"/>
      <c r="K428" s="6" t="s">
        <v>3</v>
      </c>
      <c r="L428" s="6"/>
      <c r="M428" s="10">
        <v>176</v>
      </c>
      <c r="N428" s="6"/>
      <c r="O428" s="6"/>
      <c r="P428" s="17" t="s">
        <v>3</v>
      </c>
      <c r="Q428" s="6" t="s">
        <v>205</v>
      </c>
      <c r="R428" s="17" t="s">
        <v>3</v>
      </c>
      <c r="S428" s="17" t="s">
        <v>1692</v>
      </c>
      <c r="T428" s="6" t="s">
        <v>25</v>
      </c>
      <c r="U428" s="6" t="s">
        <v>222</v>
      </c>
      <c r="V428" s="17" t="s">
        <v>223</v>
      </c>
      <c r="W428" s="6">
        <v>830</v>
      </c>
      <c r="X428" s="6" t="s">
        <v>224</v>
      </c>
    </row>
    <row r="429" spans="1:24" ht="81" x14ac:dyDescent="0.25">
      <c r="A429" s="6" t="s">
        <v>1693</v>
      </c>
      <c r="B429" s="14">
        <v>46228</v>
      </c>
      <c r="C429" s="14">
        <v>46230</v>
      </c>
      <c r="D429" s="6" t="s">
        <v>1694</v>
      </c>
      <c r="E429" s="6" t="s">
        <v>79</v>
      </c>
      <c r="F429" s="6" t="s">
        <v>79</v>
      </c>
      <c r="G429" s="6" t="s">
        <v>236</v>
      </c>
      <c r="H429" s="6"/>
      <c r="I429" s="6"/>
      <c r="J429" s="6"/>
      <c r="K429" s="6" t="s">
        <v>3</v>
      </c>
      <c r="L429" s="10">
        <v>58</v>
      </c>
      <c r="M429" s="6"/>
      <c r="N429" s="6"/>
      <c r="O429" s="6"/>
      <c r="P429" s="17" t="s">
        <v>3</v>
      </c>
      <c r="Q429" s="6" t="s">
        <v>313</v>
      </c>
      <c r="R429" s="17" t="s">
        <v>3</v>
      </c>
      <c r="S429" s="17" t="s">
        <v>1695</v>
      </c>
      <c r="T429" s="6" t="s">
        <v>25</v>
      </c>
      <c r="U429" s="6" t="s">
        <v>222</v>
      </c>
      <c r="V429" s="17" t="s">
        <v>223</v>
      </c>
      <c r="W429" s="6">
        <v>833</v>
      </c>
      <c r="X429" s="6" t="s">
        <v>224</v>
      </c>
    </row>
    <row r="430" spans="1:24" ht="67.5" x14ac:dyDescent="0.25">
      <c r="A430" s="6" t="s">
        <v>1696</v>
      </c>
      <c r="B430" s="14">
        <v>46230</v>
      </c>
      <c r="C430" s="14">
        <v>46231</v>
      </c>
      <c r="D430" s="6" t="s">
        <v>1697</v>
      </c>
      <c r="E430" s="6" t="s">
        <v>42</v>
      </c>
      <c r="F430" s="6" t="s">
        <v>1515</v>
      </c>
      <c r="G430" s="6" t="s">
        <v>263</v>
      </c>
      <c r="H430" s="10">
        <v>142</v>
      </c>
      <c r="I430" s="6"/>
      <c r="J430" s="6"/>
      <c r="K430" s="6" t="s">
        <v>1587</v>
      </c>
      <c r="L430" s="6"/>
      <c r="M430" s="10">
        <v>41</v>
      </c>
      <c r="N430" s="6"/>
      <c r="O430" s="6"/>
      <c r="P430" s="17" t="s">
        <v>3</v>
      </c>
      <c r="Q430" s="6" t="s">
        <v>205</v>
      </c>
      <c r="R430" s="17" t="s">
        <v>3</v>
      </c>
      <c r="S430" s="17" t="s">
        <v>1698</v>
      </c>
      <c r="T430" s="6" t="s">
        <v>25</v>
      </c>
      <c r="U430" s="6" t="s">
        <v>222</v>
      </c>
      <c r="V430" s="17" t="s">
        <v>267</v>
      </c>
      <c r="W430" s="6">
        <v>836</v>
      </c>
      <c r="X430" s="6" t="s">
        <v>224</v>
      </c>
    </row>
    <row r="431" spans="1:24" ht="94.5" x14ac:dyDescent="0.25">
      <c r="A431" s="6" t="s">
        <v>1699</v>
      </c>
      <c r="B431" s="14">
        <v>46231</v>
      </c>
      <c r="C431" s="14">
        <v>46231</v>
      </c>
      <c r="D431" s="6" t="s">
        <v>1700</v>
      </c>
      <c r="E431" s="6" t="s">
        <v>61</v>
      </c>
      <c r="F431" s="6" t="s">
        <v>61</v>
      </c>
      <c r="G431" s="6" t="s">
        <v>236</v>
      </c>
      <c r="H431" s="10">
        <v>55</v>
      </c>
      <c r="I431" s="6"/>
      <c r="J431" s="6"/>
      <c r="K431" s="6" t="s">
        <v>3</v>
      </c>
      <c r="L431" s="10">
        <v>84</v>
      </c>
      <c r="M431" s="6"/>
      <c r="N431" s="6"/>
      <c r="O431" s="6"/>
      <c r="P431" s="17" t="s">
        <v>3</v>
      </c>
      <c r="Q431" s="6" t="s">
        <v>313</v>
      </c>
      <c r="R431" s="17" t="s">
        <v>3</v>
      </c>
      <c r="S431" s="17" t="s">
        <v>1701</v>
      </c>
      <c r="T431" s="6" t="s">
        <v>24</v>
      </c>
      <c r="U431" s="6" t="s">
        <v>207</v>
      </c>
      <c r="V431" s="17" t="s">
        <v>3</v>
      </c>
      <c r="W431" s="6">
        <v>835</v>
      </c>
      <c r="X431" s="6" t="s">
        <v>208</v>
      </c>
    </row>
    <row r="432" spans="1:24" ht="94.5" x14ac:dyDescent="0.25">
      <c r="A432" s="6" t="s">
        <v>1702</v>
      </c>
      <c r="B432" s="14">
        <v>46231</v>
      </c>
      <c r="C432" s="14">
        <v>46231</v>
      </c>
      <c r="D432" s="6" t="s">
        <v>1700</v>
      </c>
      <c r="E432" s="6" t="s">
        <v>61</v>
      </c>
      <c r="F432" s="6" t="s">
        <v>61</v>
      </c>
      <c r="G432" s="6" t="s">
        <v>236</v>
      </c>
      <c r="H432" s="10">
        <v>139</v>
      </c>
      <c r="I432" s="6"/>
      <c r="J432" s="6"/>
      <c r="K432" s="6" t="s">
        <v>3</v>
      </c>
      <c r="L432" s="10">
        <v>84</v>
      </c>
      <c r="M432" s="6"/>
      <c r="N432" s="6"/>
      <c r="O432" s="6"/>
      <c r="P432" s="17" t="s">
        <v>3</v>
      </c>
      <c r="Q432" s="6" t="s">
        <v>313</v>
      </c>
      <c r="R432" s="17" t="s">
        <v>3</v>
      </c>
      <c r="S432" s="17" t="s">
        <v>1701</v>
      </c>
      <c r="T432" s="6" t="s">
        <v>24</v>
      </c>
      <c r="U432" s="6" t="s">
        <v>207</v>
      </c>
      <c r="V432" s="17" t="s">
        <v>3</v>
      </c>
      <c r="W432" s="6">
        <v>835</v>
      </c>
      <c r="X432" s="6" t="s">
        <v>208</v>
      </c>
    </row>
    <row r="433" spans="1:24" ht="94.5" x14ac:dyDescent="0.25">
      <c r="A433" s="6" t="s">
        <v>1703</v>
      </c>
      <c r="B433" s="14">
        <v>46231</v>
      </c>
      <c r="C433" s="14">
        <v>46231</v>
      </c>
      <c r="D433" s="6" t="s">
        <v>1700</v>
      </c>
      <c r="E433" s="6" t="s">
        <v>61</v>
      </c>
      <c r="F433" s="6" t="s">
        <v>61</v>
      </c>
      <c r="G433" s="6" t="s">
        <v>236</v>
      </c>
      <c r="H433" s="10">
        <v>194</v>
      </c>
      <c r="I433" s="6"/>
      <c r="J433" s="6"/>
      <c r="K433" s="6" t="s">
        <v>3</v>
      </c>
      <c r="L433" s="10">
        <v>84</v>
      </c>
      <c r="M433" s="6"/>
      <c r="N433" s="6"/>
      <c r="O433" s="6"/>
      <c r="P433" s="17" t="s">
        <v>3</v>
      </c>
      <c r="Q433" s="6" t="s">
        <v>313</v>
      </c>
      <c r="R433" s="17" t="s">
        <v>3</v>
      </c>
      <c r="S433" s="17" t="s">
        <v>1701</v>
      </c>
      <c r="T433" s="6" t="s">
        <v>24</v>
      </c>
      <c r="U433" s="6" t="s">
        <v>207</v>
      </c>
      <c r="V433" s="17" t="s">
        <v>3</v>
      </c>
      <c r="W433" s="6">
        <v>835</v>
      </c>
      <c r="X433" s="6" t="s">
        <v>208</v>
      </c>
    </row>
    <row r="434" spans="1:24" ht="67.5" x14ac:dyDescent="0.25">
      <c r="A434" s="6" t="s">
        <v>1704</v>
      </c>
      <c r="B434" s="14">
        <v>46231</v>
      </c>
      <c r="C434" s="14">
        <v>46231</v>
      </c>
      <c r="D434" s="6" t="s">
        <v>1705</v>
      </c>
      <c r="E434" s="6" t="s">
        <v>42</v>
      </c>
      <c r="F434" s="6" t="s">
        <v>1515</v>
      </c>
      <c r="G434" s="6" t="s">
        <v>204</v>
      </c>
      <c r="H434" s="6"/>
      <c r="I434" s="6"/>
      <c r="J434" s="6"/>
      <c r="K434" s="6" t="s">
        <v>838</v>
      </c>
      <c r="L434" s="6"/>
      <c r="M434" s="10">
        <v>169</v>
      </c>
      <c r="N434" s="6"/>
      <c r="O434" s="6"/>
      <c r="P434" s="17" t="s">
        <v>3</v>
      </c>
      <c r="Q434" s="6" t="s">
        <v>205</v>
      </c>
      <c r="R434" s="17" t="s">
        <v>3</v>
      </c>
      <c r="S434" s="17" t="s">
        <v>1706</v>
      </c>
      <c r="T434" s="6" t="s">
        <v>25</v>
      </c>
      <c r="U434" s="6" t="s">
        <v>222</v>
      </c>
      <c r="V434" s="17" t="s">
        <v>223</v>
      </c>
      <c r="W434" s="6">
        <v>837</v>
      </c>
      <c r="X434" s="6" t="s">
        <v>224</v>
      </c>
    </row>
    <row r="435" spans="1:24" ht="67.5" x14ac:dyDescent="0.25">
      <c r="A435" s="6" t="s">
        <v>1707</v>
      </c>
      <c r="B435" s="14">
        <v>46232</v>
      </c>
      <c r="C435" s="14">
        <v>46232</v>
      </c>
      <c r="D435" s="6" t="s">
        <v>1708</v>
      </c>
      <c r="E435" s="6" t="s">
        <v>85</v>
      </c>
      <c r="F435" s="6" t="s">
        <v>85</v>
      </c>
      <c r="G435" s="6" t="s">
        <v>236</v>
      </c>
      <c r="H435" s="10">
        <v>315</v>
      </c>
      <c r="I435" s="6"/>
      <c r="J435" s="6"/>
      <c r="K435" s="6" t="s">
        <v>3</v>
      </c>
      <c r="L435" s="10">
        <v>133</v>
      </c>
      <c r="M435" s="6"/>
      <c r="N435" s="6"/>
      <c r="O435" s="6"/>
      <c r="P435" s="17" t="s">
        <v>3</v>
      </c>
      <c r="Q435" s="6" t="s">
        <v>313</v>
      </c>
      <c r="R435" s="17" t="s">
        <v>3</v>
      </c>
      <c r="S435" s="17" t="s">
        <v>1709</v>
      </c>
      <c r="T435" s="6" t="s">
        <v>24</v>
      </c>
      <c r="U435" s="6" t="s">
        <v>207</v>
      </c>
      <c r="V435" s="17" t="s">
        <v>3</v>
      </c>
      <c r="W435" s="6">
        <v>838</v>
      </c>
      <c r="X435" s="6" t="s">
        <v>208</v>
      </c>
    </row>
    <row r="436" spans="1:24" ht="67.5" x14ac:dyDescent="0.25">
      <c r="A436" s="6" t="s">
        <v>1710</v>
      </c>
      <c r="B436" s="14">
        <v>46232</v>
      </c>
      <c r="C436" s="14">
        <v>46233</v>
      </c>
      <c r="D436" s="6" t="s">
        <v>1711</v>
      </c>
      <c r="E436" s="6" t="s">
        <v>42</v>
      </c>
      <c r="F436" s="6" t="s">
        <v>1515</v>
      </c>
      <c r="G436" s="6" t="s">
        <v>204</v>
      </c>
      <c r="H436" s="10">
        <v>380</v>
      </c>
      <c r="I436" s="6"/>
      <c r="J436" s="6"/>
      <c r="K436" s="6" t="s">
        <v>1638</v>
      </c>
      <c r="L436" s="6"/>
      <c r="M436" s="10">
        <v>100</v>
      </c>
      <c r="N436" s="6"/>
      <c r="O436" s="6"/>
      <c r="P436" s="17" t="s">
        <v>3</v>
      </c>
      <c r="Q436" s="6" t="s">
        <v>205</v>
      </c>
      <c r="R436" s="17" t="s">
        <v>3</v>
      </c>
      <c r="S436" s="17" t="s">
        <v>1712</v>
      </c>
      <c r="T436" s="6" t="s">
        <v>24</v>
      </c>
      <c r="U436" s="6" t="s">
        <v>207</v>
      </c>
      <c r="V436" s="17" t="s">
        <v>3</v>
      </c>
      <c r="W436" s="6">
        <v>841</v>
      </c>
      <c r="X436" s="6" t="s">
        <v>208</v>
      </c>
    </row>
    <row r="437" spans="1:24" ht="54" x14ac:dyDescent="0.25">
      <c r="A437" s="6" t="s">
        <v>1713</v>
      </c>
      <c r="B437" s="14">
        <v>46232</v>
      </c>
      <c r="C437" s="14">
        <v>46233</v>
      </c>
      <c r="D437" s="6" t="s">
        <v>1714</v>
      </c>
      <c r="E437" s="6" t="s">
        <v>42</v>
      </c>
      <c r="F437" s="6" t="s">
        <v>1515</v>
      </c>
      <c r="G437" s="6" t="s">
        <v>204</v>
      </c>
      <c r="H437" s="10">
        <v>122</v>
      </c>
      <c r="I437" s="6"/>
      <c r="J437" s="6"/>
      <c r="K437" s="6" t="s">
        <v>1715</v>
      </c>
      <c r="L437" s="6"/>
      <c r="M437" s="10">
        <v>192</v>
      </c>
      <c r="N437" s="6"/>
      <c r="O437" s="6"/>
      <c r="P437" s="17" t="s">
        <v>3</v>
      </c>
      <c r="Q437" s="6" t="s">
        <v>205</v>
      </c>
      <c r="R437" s="17" t="s">
        <v>3</v>
      </c>
      <c r="S437" s="17" t="s">
        <v>1716</v>
      </c>
      <c r="T437" s="6" t="s">
        <v>24</v>
      </c>
      <c r="U437" s="6" t="s">
        <v>207</v>
      </c>
      <c r="V437" s="17" t="s">
        <v>3</v>
      </c>
      <c r="W437" s="6">
        <v>843</v>
      </c>
      <c r="X437" s="6" t="s">
        <v>208</v>
      </c>
    </row>
    <row r="438" spans="1:24" ht="54" x14ac:dyDescent="0.25">
      <c r="A438" s="6" t="s">
        <v>1717</v>
      </c>
      <c r="B438" s="14">
        <v>46234</v>
      </c>
      <c r="C438" s="14">
        <v>46234</v>
      </c>
      <c r="D438" s="6" t="s">
        <v>1718</v>
      </c>
      <c r="E438" s="6" t="s">
        <v>96</v>
      </c>
      <c r="F438" s="6" t="s">
        <v>96</v>
      </c>
      <c r="G438" s="6" t="s">
        <v>204</v>
      </c>
      <c r="H438" s="6"/>
      <c r="I438" s="6"/>
      <c r="J438" s="6"/>
      <c r="K438" s="6" t="s">
        <v>3</v>
      </c>
      <c r="L438" s="6"/>
      <c r="M438" s="10">
        <v>27</v>
      </c>
      <c r="N438" s="6"/>
      <c r="O438" s="6"/>
      <c r="P438" s="17" t="s">
        <v>3</v>
      </c>
      <c r="Q438" s="6" t="s">
        <v>205</v>
      </c>
      <c r="R438" s="17" t="s">
        <v>3</v>
      </c>
      <c r="S438" s="17" t="s">
        <v>1719</v>
      </c>
      <c r="T438" s="6" t="s">
        <v>25</v>
      </c>
      <c r="U438" s="6" t="s">
        <v>222</v>
      </c>
      <c r="V438" s="17" t="s">
        <v>223</v>
      </c>
      <c r="W438" s="6">
        <v>846</v>
      </c>
      <c r="X438" s="6" t="s">
        <v>224</v>
      </c>
    </row>
    <row r="439" spans="1:24" ht="81" x14ac:dyDescent="0.25">
      <c r="A439" s="6" t="s">
        <v>1720</v>
      </c>
      <c r="B439" s="14">
        <v>46234</v>
      </c>
      <c r="C439" s="14">
        <v>46234</v>
      </c>
      <c r="D439" s="6" t="s">
        <v>1721</v>
      </c>
      <c r="E439" s="6" t="s">
        <v>79</v>
      </c>
      <c r="F439" s="6" t="s">
        <v>79</v>
      </c>
      <c r="G439" s="6" t="s">
        <v>236</v>
      </c>
      <c r="H439" s="10">
        <v>30</v>
      </c>
      <c r="I439" s="6"/>
      <c r="J439" s="6"/>
      <c r="K439" s="6" t="s">
        <v>3</v>
      </c>
      <c r="L439" s="10">
        <v>16</v>
      </c>
      <c r="M439" s="6"/>
      <c r="N439" s="6"/>
      <c r="O439" s="6"/>
      <c r="P439" s="17" t="s">
        <v>3</v>
      </c>
      <c r="Q439" s="6" t="s">
        <v>313</v>
      </c>
      <c r="R439" s="17" t="s">
        <v>3</v>
      </c>
      <c r="S439" s="17" t="s">
        <v>1722</v>
      </c>
      <c r="T439" s="6" t="s">
        <v>24</v>
      </c>
      <c r="U439" s="6" t="s">
        <v>207</v>
      </c>
      <c r="V439" s="17" t="s">
        <v>3</v>
      </c>
      <c r="W439" s="6">
        <v>845</v>
      </c>
      <c r="X439" s="6" t="s">
        <v>208</v>
      </c>
    </row>
    <row r="440" spans="1:24" ht="54" x14ac:dyDescent="0.25">
      <c r="A440" s="6" t="s">
        <v>1723</v>
      </c>
      <c r="B440" s="14">
        <v>46237</v>
      </c>
      <c r="C440" s="14">
        <v>46237</v>
      </c>
      <c r="D440" s="6" t="s">
        <v>1027</v>
      </c>
      <c r="E440" s="6" t="s">
        <v>85</v>
      </c>
      <c r="F440" s="6" t="s">
        <v>85</v>
      </c>
      <c r="G440" s="6" t="s">
        <v>236</v>
      </c>
      <c r="H440" s="10">
        <v>285</v>
      </c>
      <c r="I440" s="6"/>
      <c r="J440" s="6"/>
      <c r="K440" s="6" t="s">
        <v>3</v>
      </c>
      <c r="L440" s="10">
        <v>127</v>
      </c>
      <c r="M440" s="6"/>
      <c r="N440" s="6"/>
      <c r="O440" s="6"/>
      <c r="P440" s="17" t="s">
        <v>3</v>
      </c>
      <c r="Q440" s="6" t="s">
        <v>313</v>
      </c>
      <c r="R440" s="17" t="s">
        <v>3</v>
      </c>
      <c r="S440" s="17" t="s">
        <v>1724</v>
      </c>
      <c r="T440" s="6" t="s">
        <v>24</v>
      </c>
      <c r="U440" s="6" t="s">
        <v>207</v>
      </c>
      <c r="V440" s="17" t="s">
        <v>3</v>
      </c>
      <c r="W440" s="6">
        <v>848</v>
      </c>
      <c r="X440" s="6" t="s">
        <v>208</v>
      </c>
    </row>
    <row r="441" spans="1:24" ht="40.5" x14ac:dyDescent="0.25">
      <c r="A441" s="6" t="s">
        <v>1725</v>
      </c>
      <c r="B441" s="14">
        <v>46237</v>
      </c>
      <c r="C441" s="14">
        <v>46237</v>
      </c>
      <c r="D441" s="6" t="s">
        <v>1726</v>
      </c>
      <c r="E441" s="6" t="s">
        <v>96</v>
      </c>
      <c r="F441" s="6" t="s">
        <v>96</v>
      </c>
      <c r="G441" s="6" t="s">
        <v>204</v>
      </c>
      <c r="H441" s="6"/>
      <c r="I441" s="6"/>
      <c r="J441" s="6"/>
      <c r="K441" s="6" t="s">
        <v>3</v>
      </c>
      <c r="L441" s="6"/>
      <c r="M441" s="10">
        <v>10</v>
      </c>
      <c r="N441" s="6"/>
      <c r="O441" s="6"/>
      <c r="P441" s="17" t="s">
        <v>3</v>
      </c>
      <c r="Q441" s="6" t="s">
        <v>205</v>
      </c>
      <c r="R441" s="17" t="s">
        <v>3</v>
      </c>
      <c r="S441" s="17" t="s">
        <v>1727</v>
      </c>
      <c r="T441" s="6" t="s">
        <v>25</v>
      </c>
      <c r="U441" s="6" t="s">
        <v>222</v>
      </c>
      <c r="V441" s="17" t="s">
        <v>223</v>
      </c>
      <c r="W441" s="6">
        <v>847</v>
      </c>
      <c r="X441" s="6" t="s">
        <v>224</v>
      </c>
    </row>
    <row r="442" spans="1:24" ht="67.5" x14ac:dyDescent="0.25">
      <c r="A442" s="6" t="s">
        <v>1728</v>
      </c>
      <c r="B442" s="14">
        <v>46238</v>
      </c>
      <c r="C442" s="14">
        <v>46238</v>
      </c>
      <c r="D442" s="6" t="s">
        <v>1729</v>
      </c>
      <c r="E442" s="6" t="s">
        <v>42</v>
      </c>
      <c r="F442" s="6" t="s">
        <v>1483</v>
      </c>
      <c r="G442" s="6" t="s">
        <v>204</v>
      </c>
      <c r="H442" s="10">
        <v>426</v>
      </c>
      <c r="I442" s="6"/>
      <c r="J442" s="6"/>
      <c r="K442" s="6" t="s">
        <v>453</v>
      </c>
      <c r="L442" s="6"/>
      <c r="M442" s="10">
        <v>100</v>
      </c>
      <c r="N442" s="6"/>
      <c r="O442" s="6"/>
      <c r="P442" s="17" t="s">
        <v>3</v>
      </c>
      <c r="Q442" s="6" t="s">
        <v>205</v>
      </c>
      <c r="R442" s="17" t="s">
        <v>3</v>
      </c>
      <c r="S442" s="17" t="s">
        <v>1730</v>
      </c>
      <c r="T442" s="6" t="s">
        <v>24</v>
      </c>
      <c r="U442" s="6" t="s">
        <v>207</v>
      </c>
      <c r="V442" s="17" t="s">
        <v>3</v>
      </c>
      <c r="W442" s="6">
        <v>851</v>
      </c>
      <c r="X442" s="6" t="s">
        <v>208</v>
      </c>
    </row>
    <row r="443" spans="1:24" ht="54" x14ac:dyDescent="0.25">
      <c r="A443" s="6" t="s">
        <v>1731</v>
      </c>
      <c r="B443" s="14">
        <v>46238</v>
      </c>
      <c r="C443" s="14">
        <v>46239</v>
      </c>
      <c r="D443" s="6" t="s">
        <v>1732</v>
      </c>
      <c r="E443" s="6" t="s">
        <v>42</v>
      </c>
      <c r="F443" s="6" t="s">
        <v>1515</v>
      </c>
      <c r="G443" s="6" t="s">
        <v>204</v>
      </c>
      <c r="H443" s="6"/>
      <c r="I443" s="6"/>
      <c r="J443" s="6"/>
      <c r="K443" s="6" t="s">
        <v>3</v>
      </c>
      <c r="L443" s="6"/>
      <c r="M443" s="10">
        <v>60</v>
      </c>
      <c r="N443" s="6"/>
      <c r="O443" s="6"/>
      <c r="P443" s="17" t="s">
        <v>3</v>
      </c>
      <c r="Q443" s="6" t="s">
        <v>205</v>
      </c>
      <c r="R443" s="17" t="s">
        <v>3</v>
      </c>
      <c r="S443" s="17" t="s">
        <v>1733</v>
      </c>
      <c r="T443" s="6" t="s">
        <v>25</v>
      </c>
      <c r="U443" s="6" t="s">
        <v>222</v>
      </c>
      <c r="V443" s="17" t="s">
        <v>223</v>
      </c>
      <c r="W443" s="6">
        <v>852</v>
      </c>
      <c r="X443" s="6" t="s">
        <v>224</v>
      </c>
    </row>
    <row r="444" spans="1:24" x14ac:dyDescent="0.25">
      <c r="A444" s="6" t="s">
        <v>1734</v>
      </c>
      <c r="B444" s="14">
        <v>46240</v>
      </c>
      <c r="C444" s="14">
        <v>46240</v>
      </c>
      <c r="D444" s="6" t="s">
        <v>1735</v>
      </c>
      <c r="E444" s="6" t="s">
        <v>45</v>
      </c>
      <c r="F444" s="6" t="s">
        <v>3</v>
      </c>
      <c r="G444" s="6" t="s">
        <v>263</v>
      </c>
      <c r="H444" s="10">
        <v>235</v>
      </c>
      <c r="I444" s="6"/>
      <c r="J444" s="6"/>
      <c r="K444" s="6" t="s">
        <v>3</v>
      </c>
      <c r="L444" s="6"/>
      <c r="M444" s="6"/>
      <c r="N444" s="6"/>
      <c r="O444" s="6"/>
      <c r="P444" s="17" t="s">
        <v>3</v>
      </c>
      <c r="Q444" s="6" t="s">
        <v>265</v>
      </c>
      <c r="R444" s="17" t="s">
        <v>1736</v>
      </c>
      <c r="S444" s="17" t="s">
        <v>1737</v>
      </c>
      <c r="T444" s="6" t="s">
        <v>26</v>
      </c>
      <c r="U444" s="6" t="s">
        <v>222</v>
      </c>
      <c r="V444" s="17" t="s">
        <v>474</v>
      </c>
      <c r="W444" s="6">
        <v>856</v>
      </c>
      <c r="X444" s="6" t="s">
        <v>224</v>
      </c>
    </row>
    <row r="445" spans="1:24" ht="175.5" x14ac:dyDescent="0.25">
      <c r="A445" s="6" t="s">
        <v>1738</v>
      </c>
      <c r="B445" s="14">
        <v>46240</v>
      </c>
      <c r="C445" s="14">
        <v>46240</v>
      </c>
      <c r="D445" s="6" t="s">
        <v>1739</v>
      </c>
      <c r="E445" s="6" t="s">
        <v>132</v>
      </c>
      <c r="F445" s="6" t="s">
        <v>132</v>
      </c>
      <c r="G445" s="6" t="s">
        <v>506</v>
      </c>
      <c r="H445" s="10">
        <v>17</v>
      </c>
      <c r="I445" s="6"/>
      <c r="J445" s="6"/>
      <c r="K445" s="6" t="s">
        <v>3</v>
      </c>
      <c r="L445" s="10">
        <v>238</v>
      </c>
      <c r="M445" s="6"/>
      <c r="N445" s="6"/>
      <c r="O445" s="6"/>
      <c r="P445" s="17" t="s">
        <v>3</v>
      </c>
      <c r="Q445" s="6" t="s">
        <v>313</v>
      </c>
      <c r="R445" s="17" t="s">
        <v>3</v>
      </c>
      <c r="S445" s="17" t="s">
        <v>1740</v>
      </c>
      <c r="T445" s="6" t="s">
        <v>25</v>
      </c>
      <c r="U445" s="6" t="s">
        <v>222</v>
      </c>
      <c r="V445" s="17" t="s">
        <v>238</v>
      </c>
      <c r="W445" s="6">
        <v>855</v>
      </c>
      <c r="X445" s="6" t="s">
        <v>224</v>
      </c>
    </row>
    <row r="446" spans="1:24" ht="175.5" x14ac:dyDescent="0.25">
      <c r="A446" s="6" t="s">
        <v>1741</v>
      </c>
      <c r="B446" s="14">
        <v>46240</v>
      </c>
      <c r="C446" s="14">
        <v>46240</v>
      </c>
      <c r="D446" s="6" t="s">
        <v>1742</v>
      </c>
      <c r="E446" s="6" t="s">
        <v>139</v>
      </c>
      <c r="F446" s="6" t="s">
        <v>139</v>
      </c>
      <c r="G446" s="6" t="s">
        <v>218</v>
      </c>
      <c r="H446" s="6"/>
      <c r="I446" s="10">
        <v>15</v>
      </c>
      <c r="J446" s="10">
        <v>15</v>
      </c>
      <c r="K446" s="6" t="s">
        <v>3</v>
      </c>
      <c r="L446" s="6"/>
      <c r="M446" s="6"/>
      <c r="N446" s="6"/>
      <c r="O446" s="6"/>
      <c r="P446" s="17" t="s">
        <v>1743</v>
      </c>
      <c r="Q446" s="6" t="s">
        <v>812</v>
      </c>
      <c r="R446" s="17" t="s">
        <v>1744</v>
      </c>
      <c r="S446" s="17" t="s">
        <v>1745</v>
      </c>
      <c r="T446" s="6" t="s">
        <v>25</v>
      </c>
      <c r="U446" s="6" t="s">
        <v>222</v>
      </c>
      <c r="V446" s="17" t="s">
        <v>223</v>
      </c>
      <c r="W446" s="6">
        <v>854</v>
      </c>
      <c r="X446" s="6" t="s">
        <v>224</v>
      </c>
    </row>
    <row r="447" spans="1:24" ht="40.5" x14ac:dyDescent="0.25">
      <c r="A447" s="6" t="s">
        <v>1746</v>
      </c>
      <c r="B447" s="14">
        <v>46241</v>
      </c>
      <c r="C447" s="14">
        <v>46241</v>
      </c>
      <c r="D447" s="6" t="s">
        <v>1747</v>
      </c>
      <c r="E447" s="6" t="s">
        <v>125</v>
      </c>
      <c r="F447" s="6" t="s">
        <v>125</v>
      </c>
      <c r="G447" s="6" t="s">
        <v>204</v>
      </c>
      <c r="H447" s="6"/>
      <c r="I447" s="6"/>
      <c r="J447" s="6"/>
      <c r="K447" s="6" t="s">
        <v>3</v>
      </c>
      <c r="L447" s="6"/>
      <c r="M447" s="10">
        <v>39</v>
      </c>
      <c r="N447" s="6"/>
      <c r="O447" s="6"/>
      <c r="P447" s="17" t="s">
        <v>3</v>
      </c>
      <c r="Q447" s="6" t="s">
        <v>205</v>
      </c>
      <c r="R447" s="17" t="s">
        <v>3</v>
      </c>
      <c r="S447" s="17" t="s">
        <v>1748</v>
      </c>
      <c r="T447" s="6" t="s">
        <v>25</v>
      </c>
      <c r="U447" s="6" t="s">
        <v>222</v>
      </c>
      <c r="V447" s="17" t="s">
        <v>223</v>
      </c>
      <c r="W447" s="6">
        <v>857</v>
      </c>
      <c r="X447" s="6" t="s">
        <v>224</v>
      </c>
    </row>
    <row r="448" spans="1:24" ht="40.5" x14ac:dyDescent="0.25">
      <c r="A448" s="6" t="s">
        <v>1749</v>
      </c>
      <c r="B448" s="14">
        <v>46241</v>
      </c>
      <c r="C448" s="14">
        <v>46241</v>
      </c>
      <c r="D448" s="6" t="s">
        <v>1750</v>
      </c>
      <c r="E448" s="6" t="s">
        <v>149</v>
      </c>
      <c r="F448" s="6" t="s">
        <v>149</v>
      </c>
      <c r="G448" s="6" t="s">
        <v>204</v>
      </c>
      <c r="H448" s="6"/>
      <c r="I448" s="6"/>
      <c r="J448" s="6"/>
      <c r="K448" s="6" t="s">
        <v>3</v>
      </c>
      <c r="L448" s="6"/>
      <c r="M448" s="10">
        <v>77</v>
      </c>
      <c r="N448" s="6"/>
      <c r="O448" s="6"/>
      <c r="P448" s="17" t="s">
        <v>3</v>
      </c>
      <c r="Q448" s="6" t="s">
        <v>205</v>
      </c>
      <c r="R448" s="17" t="s">
        <v>3</v>
      </c>
      <c r="S448" s="17" t="s">
        <v>1751</v>
      </c>
      <c r="T448" s="6" t="s">
        <v>25</v>
      </c>
      <c r="U448" s="6" t="s">
        <v>222</v>
      </c>
      <c r="V448" s="17" t="s">
        <v>223</v>
      </c>
      <c r="W448" s="6">
        <v>859</v>
      </c>
      <c r="X448" s="6" t="s">
        <v>224</v>
      </c>
    </row>
    <row r="449" spans="1:24" ht="67.5" x14ac:dyDescent="0.25">
      <c r="A449" s="6" t="s">
        <v>1752</v>
      </c>
      <c r="B449" s="14">
        <v>46241</v>
      </c>
      <c r="C449" s="14">
        <v>46241</v>
      </c>
      <c r="D449" s="6" t="s">
        <v>1753</v>
      </c>
      <c r="E449" s="6" t="s">
        <v>174</v>
      </c>
      <c r="F449" s="6" t="s">
        <v>174</v>
      </c>
      <c r="G449" s="6" t="s">
        <v>811</v>
      </c>
      <c r="H449" s="10">
        <v>300</v>
      </c>
      <c r="I449" s="6"/>
      <c r="J449" s="6"/>
      <c r="K449" s="6" t="s">
        <v>3</v>
      </c>
      <c r="L449" s="6"/>
      <c r="M449" s="6"/>
      <c r="N449" s="6"/>
      <c r="O449" s="6"/>
      <c r="P449" s="17" t="s">
        <v>1754</v>
      </c>
      <c r="Q449" s="6" t="s">
        <v>812</v>
      </c>
      <c r="R449" s="17" t="s">
        <v>3</v>
      </c>
      <c r="S449" s="17" t="s">
        <v>1755</v>
      </c>
      <c r="T449" s="6" t="s">
        <v>24</v>
      </c>
      <c r="U449" s="6" t="s">
        <v>207</v>
      </c>
      <c r="V449" s="17" t="s">
        <v>3</v>
      </c>
      <c r="W449" s="6">
        <v>858</v>
      </c>
      <c r="X449" s="6" t="s">
        <v>208</v>
      </c>
    </row>
    <row r="450" spans="1:24" ht="27" x14ac:dyDescent="0.25">
      <c r="A450" s="6" t="s">
        <v>1756</v>
      </c>
      <c r="B450" s="14">
        <v>46243</v>
      </c>
      <c r="C450" s="14">
        <v>46244</v>
      </c>
      <c r="D450" s="6" t="s">
        <v>1757</v>
      </c>
      <c r="E450" s="6" t="s">
        <v>171</v>
      </c>
      <c r="F450" s="6" t="s">
        <v>171</v>
      </c>
      <c r="G450" s="6" t="s">
        <v>236</v>
      </c>
      <c r="H450" s="10">
        <v>905</v>
      </c>
      <c r="I450" s="6"/>
      <c r="J450" s="6"/>
      <c r="K450" s="6" t="s">
        <v>3</v>
      </c>
      <c r="L450" s="6"/>
      <c r="M450" s="6"/>
      <c r="N450" s="6"/>
      <c r="O450" s="6"/>
      <c r="P450" s="17" t="s">
        <v>3</v>
      </c>
      <c r="Q450" s="6" t="s">
        <v>265</v>
      </c>
      <c r="R450" s="17" t="s">
        <v>1758</v>
      </c>
      <c r="S450" s="17" t="s">
        <v>1759</v>
      </c>
      <c r="T450" s="6" t="s">
        <v>24</v>
      </c>
      <c r="U450" s="6" t="s">
        <v>207</v>
      </c>
      <c r="V450" s="17" t="s">
        <v>3</v>
      </c>
      <c r="W450" s="6">
        <v>860</v>
      </c>
      <c r="X450" s="6" t="s">
        <v>208</v>
      </c>
    </row>
    <row r="451" spans="1:24" ht="67.5" x14ac:dyDescent="0.25">
      <c r="A451" s="6" t="s">
        <v>1760</v>
      </c>
      <c r="B451" s="14">
        <v>46244</v>
      </c>
      <c r="C451" s="14">
        <v>46244</v>
      </c>
      <c r="D451" s="6" t="s">
        <v>1761</v>
      </c>
      <c r="E451" s="6" t="s">
        <v>61</v>
      </c>
      <c r="F451" s="6" t="s">
        <v>61</v>
      </c>
      <c r="G451" s="6" t="s">
        <v>236</v>
      </c>
      <c r="H451" s="10">
        <v>300</v>
      </c>
      <c r="I451" s="6"/>
      <c r="J451" s="6"/>
      <c r="K451" s="6" t="s">
        <v>3</v>
      </c>
      <c r="L451" s="10">
        <v>69</v>
      </c>
      <c r="M451" s="6"/>
      <c r="N451" s="6"/>
      <c r="O451" s="6"/>
      <c r="P451" s="17" t="s">
        <v>3</v>
      </c>
      <c r="Q451" s="6" t="s">
        <v>313</v>
      </c>
      <c r="R451" s="17" t="s">
        <v>3</v>
      </c>
      <c r="S451" s="17" t="s">
        <v>1762</v>
      </c>
      <c r="T451" s="6" t="s">
        <v>24</v>
      </c>
      <c r="U451" s="6" t="s">
        <v>207</v>
      </c>
      <c r="V451" s="17" t="s">
        <v>3</v>
      </c>
      <c r="W451" s="6">
        <v>861</v>
      </c>
      <c r="X451" s="6" t="s">
        <v>208</v>
      </c>
    </row>
    <row r="452" spans="1:24" ht="40.5" x14ac:dyDescent="0.25">
      <c r="A452" s="6" t="s">
        <v>1763</v>
      </c>
      <c r="B452" s="14">
        <v>46244</v>
      </c>
      <c r="C452" s="14">
        <v>46244</v>
      </c>
      <c r="D452" s="6" t="s">
        <v>1764</v>
      </c>
      <c r="E452" s="6" t="s">
        <v>144</v>
      </c>
      <c r="F452" s="6" t="s">
        <v>144</v>
      </c>
      <c r="G452" s="6" t="s">
        <v>204</v>
      </c>
      <c r="H452" s="6"/>
      <c r="I452" s="6"/>
      <c r="J452" s="6"/>
      <c r="K452" s="6" t="s">
        <v>3</v>
      </c>
      <c r="L452" s="6"/>
      <c r="M452" s="10">
        <v>75</v>
      </c>
      <c r="N452" s="6"/>
      <c r="O452" s="6"/>
      <c r="P452" s="17" t="s">
        <v>3</v>
      </c>
      <c r="Q452" s="6" t="s">
        <v>205</v>
      </c>
      <c r="R452" s="17" t="s">
        <v>3</v>
      </c>
      <c r="S452" s="17" t="s">
        <v>1765</v>
      </c>
      <c r="T452" s="6" t="s">
        <v>25</v>
      </c>
      <c r="U452" s="6" t="s">
        <v>222</v>
      </c>
      <c r="V452" s="17" t="s">
        <v>223</v>
      </c>
      <c r="W452" s="6">
        <v>862</v>
      </c>
      <c r="X452" s="6" t="s">
        <v>224</v>
      </c>
    </row>
    <row r="453" spans="1:24" ht="54" x14ac:dyDescent="0.25">
      <c r="A453" s="6" t="s">
        <v>1766</v>
      </c>
      <c r="B453" s="14">
        <v>46245</v>
      </c>
      <c r="C453" s="14">
        <v>46245</v>
      </c>
      <c r="D453" s="6" t="s">
        <v>1767</v>
      </c>
      <c r="E453" s="6" t="s">
        <v>42</v>
      </c>
      <c r="F453" s="6" t="s">
        <v>1483</v>
      </c>
      <c r="G453" s="6" t="s">
        <v>204</v>
      </c>
      <c r="H453" s="6"/>
      <c r="I453" s="6"/>
      <c r="J453" s="6"/>
      <c r="K453" s="6" t="s">
        <v>838</v>
      </c>
      <c r="L453" s="6"/>
      <c r="M453" s="10">
        <v>190</v>
      </c>
      <c r="N453" s="6"/>
      <c r="O453" s="6"/>
      <c r="P453" s="17" t="s">
        <v>3</v>
      </c>
      <c r="Q453" s="6" t="s">
        <v>205</v>
      </c>
      <c r="R453" s="17" t="s">
        <v>3</v>
      </c>
      <c r="S453" s="17" t="s">
        <v>1768</v>
      </c>
      <c r="T453" s="6" t="s">
        <v>25</v>
      </c>
      <c r="U453" s="6" t="s">
        <v>222</v>
      </c>
      <c r="V453" s="17" t="s">
        <v>223</v>
      </c>
      <c r="W453" s="6">
        <v>863</v>
      </c>
      <c r="X453" s="6" t="s">
        <v>224</v>
      </c>
    </row>
    <row r="454" spans="1:24" ht="67.5" x14ac:dyDescent="0.25">
      <c r="A454" s="6" t="s">
        <v>1769</v>
      </c>
      <c r="B454" s="14">
        <v>46246</v>
      </c>
      <c r="C454" s="14">
        <v>46246</v>
      </c>
      <c r="D454" s="6" t="s">
        <v>1770</v>
      </c>
      <c r="E454" s="6" t="s">
        <v>42</v>
      </c>
      <c r="F454" s="6" t="s">
        <v>1483</v>
      </c>
      <c r="G454" s="6" t="s">
        <v>204</v>
      </c>
      <c r="H454" s="10">
        <v>380</v>
      </c>
      <c r="I454" s="6"/>
      <c r="J454" s="6"/>
      <c r="K454" s="6" t="s">
        <v>1440</v>
      </c>
      <c r="L454" s="6"/>
      <c r="M454" s="10">
        <v>95</v>
      </c>
      <c r="N454" s="6"/>
      <c r="O454" s="6"/>
      <c r="P454" s="17" t="s">
        <v>3</v>
      </c>
      <c r="Q454" s="6" t="s">
        <v>205</v>
      </c>
      <c r="R454" s="17" t="s">
        <v>3</v>
      </c>
      <c r="S454" s="17" t="s">
        <v>1771</v>
      </c>
      <c r="T454" s="6" t="s">
        <v>24</v>
      </c>
      <c r="U454" s="6" t="s">
        <v>207</v>
      </c>
      <c r="V454" s="17" t="s">
        <v>3</v>
      </c>
      <c r="W454" s="6">
        <v>864</v>
      </c>
      <c r="X454" s="6" t="s">
        <v>208</v>
      </c>
    </row>
    <row r="455" spans="1:24" ht="81" x14ac:dyDescent="0.25">
      <c r="A455" s="6" t="s">
        <v>1772</v>
      </c>
      <c r="B455" s="14">
        <v>46247</v>
      </c>
      <c r="C455" s="14">
        <v>46247</v>
      </c>
      <c r="D455" s="6" t="s">
        <v>1773</v>
      </c>
      <c r="E455" s="6" t="s">
        <v>42</v>
      </c>
      <c r="F455" s="6" t="s">
        <v>1774</v>
      </c>
      <c r="G455" s="6" t="s">
        <v>236</v>
      </c>
      <c r="H455" s="10">
        <v>481</v>
      </c>
      <c r="I455" s="6"/>
      <c r="J455" s="6"/>
      <c r="K455" s="6" t="s">
        <v>3</v>
      </c>
      <c r="L455" s="6"/>
      <c r="M455" s="6"/>
      <c r="N455" s="6"/>
      <c r="O455" s="6"/>
      <c r="P455" s="17" t="s">
        <v>3</v>
      </c>
      <c r="Q455" s="6" t="s">
        <v>313</v>
      </c>
      <c r="R455" s="17" t="s">
        <v>3</v>
      </c>
      <c r="S455" s="17" t="s">
        <v>1775</v>
      </c>
      <c r="T455" s="6" t="s">
        <v>25</v>
      </c>
      <c r="U455" s="6" t="s">
        <v>222</v>
      </c>
      <c r="V455" s="17" t="s">
        <v>785</v>
      </c>
      <c r="W455" s="6">
        <v>865</v>
      </c>
      <c r="X455" s="6" t="s">
        <v>224</v>
      </c>
    </row>
    <row r="456" spans="1:24" ht="81" x14ac:dyDescent="0.25">
      <c r="A456" s="6" t="s">
        <v>1776</v>
      </c>
      <c r="B456" s="14">
        <v>46247</v>
      </c>
      <c r="C456" s="14">
        <v>46247</v>
      </c>
      <c r="D456" s="6" t="s">
        <v>1773</v>
      </c>
      <c r="E456" s="6" t="s">
        <v>42</v>
      </c>
      <c r="F456" s="6" t="s">
        <v>1774</v>
      </c>
      <c r="G456" s="6" t="s">
        <v>236</v>
      </c>
      <c r="H456" s="10">
        <v>45</v>
      </c>
      <c r="I456" s="6"/>
      <c r="J456" s="6"/>
      <c r="K456" s="6" t="s">
        <v>3</v>
      </c>
      <c r="L456" s="6"/>
      <c r="M456" s="6"/>
      <c r="N456" s="6"/>
      <c r="O456" s="6"/>
      <c r="P456" s="17" t="s">
        <v>3</v>
      </c>
      <c r="Q456" s="6" t="s">
        <v>313</v>
      </c>
      <c r="R456" s="17" t="s">
        <v>3</v>
      </c>
      <c r="S456" s="17" t="s">
        <v>1775</v>
      </c>
      <c r="T456" s="6" t="s">
        <v>25</v>
      </c>
      <c r="U456" s="6" t="s">
        <v>222</v>
      </c>
      <c r="V456" s="17" t="s">
        <v>785</v>
      </c>
      <c r="W456" s="6">
        <v>865</v>
      </c>
      <c r="X456" s="6" t="s">
        <v>224</v>
      </c>
    </row>
    <row r="457" spans="1:24" ht="54" x14ac:dyDescent="0.25">
      <c r="A457" s="6" t="s">
        <v>1777</v>
      </c>
      <c r="B457" s="14">
        <v>46248</v>
      </c>
      <c r="C457" s="14">
        <v>46248</v>
      </c>
      <c r="D457" s="6" t="s">
        <v>1778</v>
      </c>
      <c r="E457" s="6" t="s">
        <v>51</v>
      </c>
      <c r="F457" s="6" t="s">
        <v>1779</v>
      </c>
      <c r="G457" s="6" t="s">
        <v>204</v>
      </c>
      <c r="H457" s="6"/>
      <c r="I457" s="6"/>
      <c r="J457" s="6"/>
      <c r="K457" s="6" t="s">
        <v>1143</v>
      </c>
      <c r="L457" s="6"/>
      <c r="M457" s="10">
        <v>90</v>
      </c>
      <c r="N457" s="6"/>
      <c r="O457" s="6"/>
      <c r="P457" s="17" t="s">
        <v>3</v>
      </c>
      <c r="Q457" s="6" t="s">
        <v>205</v>
      </c>
      <c r="R457" s="17" t="s">
        <v>3</v>
      </c>
      <c r="S457" s="17" t="s">
        <v>1780</v>
      </c>
      <c r="T457" s="6" t="s">
        <v>25</v>
      </c>
      <c r="U457" s="6" t="s">
        <v>222</v>
      </c>
      <c r="V457" s="17" t="s">
        <v>223</v>
      </c>
      <c r="W457" s="6">
        <v>866</v>
      </c>
      <c r="X457" s="6" t="s">
        <v>224</v>
      </c>
    </row>
    <row r="458" spans="1:24" ht="67.5" x14ac:dyDescent="0.25">
      <c r="A458" s="6" t="s">
        <v>1781</v>
      </c>
      <c r="B458" s="14">
        <v>46248</v>
      </c>
      <c r="C458" s="14">
        <v>46251</v>
      </c>
      <c r="D458" s="6" t="s">
        <v>1782</v>
      </c>
      <c r="E458" s="6" t="s">
        <v>133</v>
      </c>
      <c r="F458" s="6" t="s">
        <v>133</v>
      </c>
      <c r="G458" s="6" t="s">
        <v>1783</v>
      </c>
      <c r="H458" s="10">
        <v>35</v>
      </c>
      <c r="I458" s="6"/>
      <c r="J458" s="6"/>
      <c r="K458" s="6" t="s">
        <v>3</v>
      </c>
      <c r="L458" s="6"/>
      <c r="M458" s="10">
        <v>22</v>
      </c>
      <c r="N458" s="6"/>
      <c r="O458" s="6"/>
      <c r="P458" s="17" t="s">
        <v>3</v>
      </c>
      <c r="Q458" s="6" t="s">
        <v>313</v>
      </c>
      <c r="R458" s="17" t="s">
        <v>3</v>
      </c>
      <c r="S458" s="17" t="s">
        <v>1784</v>
      </c>
      <c r="T458" s="6" t="s">
        <v>24</v>
      </c>
      <c r="U458" s="6" t="s">
        <v>207</v>
      </c>
      <c r="V458" s="17" t="s">
        <v>3</v>
      </c>
      <c r="W458" s="6">
        <v>868</v>
      </c>
      <c r="X458" s="6" t="s">
        <v>208</v>
      </c>
    </row>
    <row r="459" spans="1:24" ht="67.5" x14ac:dyDescent="0.25">
      <c r="A459" s="6" t="s">
        <v>1785</v>
      </c>
      <c r="B459" s="14">
        <v>46248</v>
      </c>
      <c r="C459" s="14">
        <v>46251</v>
      </c>
      <c r="D459" s="6" t="s">
        <v>1786</v>
      </c>
      <c r="E459" s="6" t="s">
        <v>79</v>
      </c>
      <c r="F459" s="6" t="s">
        <v>79</v>
      </c>
      <c r="G459" s="6" t="s">
        <v>236</v>
      </c>
      <c r="H459" s="10">
        <v>154</v>
      </c>
      <c r="I459" s="6"/>
      <c r="J459" s="6"/>
      <c r="K459" s="6" t="s">
        <v>1787</v>
      </c>
      <c r="L459" s="10">
        <v>62</v>
      </c>
      <c r="M459" s="6"/>
      <c r="N459" s="6"/>
      <c r="O459" s="6"/>
      <c r="P459" s="17" t="s">
        <v>3</v>
      </c>
      <c r="Q459" s="6" t="s">
        <v>313</v>
      </c>
      <c r="R459" s="17" t="s">
        <v>3</v>
      </c>
      <c r="S459" s="17" t="s">
        <v>1788</v>
      </c>
      <c r="T459" s="6" t="s">
        <v>24</v>
      </c>
      <c r="U459" s="6" t="s">
        <v>207</v>
      </c>
      <c r="V459" s="17" t="s">
        <v>3</v>
      </c>
      <c r="W459" s="6">
        <v>867</v>
      </c>
      <c r="X459" s="6" t="s">
        <v>208</v>
      </c>
    </row>
    <row r="460" spans="1:24" ht="54" x14ac:dyDescent="0.25">
      <c r="A460" s="6" t="s">
        <v>1789</v>
      </c>
      <c r="B460" s="14">
        <v>46251</v>
      </c>
      <c r="C460" s="14">
        <v>46251</v>
      </c>
      <c r="D460" s="6" t="s">
        <v>1790</v>
      </c>
      <c r="E460" s="6" t="s">
        <v>65</v>
      </c>
      <c r="F460" s="6" t="s">
        <v>65</v>
      </c>
      <c r="G460" s="6" t="s">
        <v>236</v>
      </c>
      <c r="H460" s="10">
        <v>285</v>
      </c>
      <c r="I460" s="6"/>
      <c r="J460" s="6"/>
      <c r="K460" s="6" t="s">
        <v>3</v>
      </c>
      <c r="L460" s="10">
        <v>124</v>
      </c>
      <c r="M460" s="6"/>
      <c r="N460" s="6"/>
      <c r="O460" s="6"/>
      <c r="P460" s="17" t="s">
        <v>3</v>
      </c>
      <c r="Q460" s="6" t="s">
        <v>313</v>
      </c>
      <c r="R460" s="17" t="s">
        <v>3</v>
      </c>
      <c r="S460" s="17" t="s">
        <v>1791</v>
      </c>
      <c r="T460" s="6" t="s">
        <v>24</v>
      </c>
      <c r="U460" s="6" t="s">
        <v>207</v>
      </c>
      <c r="V460" s="17" t="s">
        <v>3</v>
      </c>
      <c r="W460" s="6">
        <v>870</v>
      </c>
      <c r="X460" s="6" t="s">
        <v>208</v>
      </c>
    </row>
    <row r="461" spans="1:24" ht="54" x14ac:dyDescent="0.25">
      <c r="A461" s="6" t="s">
        <v>1792</v>
      </c>
      <c r="B461" s="14">
        <v>46251</v>
      </c>
      <c r="C461" s="14">
        <v>46251</v>
      </c>
      <c r="D461" s="6" t="s">
        <v>1793</v>
      </c>
      <c r="E461" s="6" t="s">
        <v>51</v>
      </c>
      <c r="F461" s="6" t="s">
        <v>1779</v>
      </c>
      <c r="G461" s="6" t="s">
        <v>204</v>
      </c>
      <c r="H461" s="6"/>
      <c r="I461" s="6"/>
      <c r="J461" s="6"/>
      <c r="K461" s="6" t="s">
        <v>1794</v>
      </c>
      <c r="L461" s="6"/>
      <c r="M461" s="10">
        <v>89</v>
      </c>
      <c r="N461" s="6"/>
      <c r="O461" s="6"/>
      <c r="P461" s="17" t="s">
        <v>3</v>
      </c>
      <c r="Q461" s="6" t="s">
        <v>205</v>
      </c>
      <c r="R461" s="17" t="s">
        <v>3</v>
      </c>
      <c r="S461" s="17" t="s">
        <v>1795</v>
      </c>
      <c r="T461" s="6" t="s">
        <v>25</v>
      </c>
      <c r="U461" s="6" t="s">
        <v>222</v>
      </c>
      <c r="V461" s="17" t="s">
        <v>223</v>
      </c>
      <c r="W461" s="6">
        <v>871</v>
      </c>
      <c r="X461" s="6" t="s">
        <v>224</v>
      </c>
    </row>
    <row r="462" spans="1:24" ht="67.5" x14ac:dyDescent="0.25">
      <c r="A462" s="6" t="s">
        <v>1796</v>
      </c>
      <c r="B462" s="14">
        <v>46252</v>
      </c>
      <c r="C462" s="14">
        <v>46252</v>
      </c>
      <c r="D462" s="6" t="s">
        <v>1797</v>
      </c>
      <c r="E462" s="6" t="s">
        <v>42</v>
      </c>
      <c r="F462" s="6" t="s">
        <v>1774</v>
      </c>
      <c r="G462" s="6" t="s">
        <v>236</v>
      </c>
      <c r="H462" s="10">
        <v>210</v>
      </c>
      <c r="I462" s="6"/>
      <c r="J462" s="6"/>
      <c r="K462" s="6" t="s">
        <v>3</v>
      </c>
      <c r="L462" s="10">
        <v>81</v>
      </c>
      <c r="M462" s="6"/>
      <c r="N462" s="6"/>
      <c r="O462" s="6"/>
      <c r="P462" s="17" t="s">
        <v>3</v>
      </c>
      <c r="Q462" s="6" t="s">
        <v>313</v>
      </c>
      <c r="R462" s="17" t="s">
        <v>3</v>
      </c>
      <c r="S462" s="17" t="s">
        <v>1798</v>
      </c>
      <c r="T462" s="6" t="s">
        <v>24</v>
      </c>
      <c r="U462" s="6" t="s">
        <v>207</v>
      </c>
      <c r="V462" s="17" t="s">
        <v>3</v>
      </c>
      <c r="W462" s="6">
        <v>872</v>
      </c>
      <c r="X462" s="6" t="s">
        <v>208</v>
      </c>
    </row>
    <row r="463" spans="1:24" ht="67.5" x14ac:dyDescent="0.25">
      <c r="A463" s="6" t="s">
        <v>1799</v>
      </c>
      <c r="B463" s="14">
        <v>46252</v>
      </c>
      <c r="C463" s="14">
        <v>46253</v>
      </c>
      <c r="D463" s="6" t="s">
        <v>1800</v>
      </c>
      <c r="E463" s="6" t="s">
        <v>42</v>
      </c>
      <c r="F463" s="6" t="s">
        <v>1483</v>
      </c>
      <c r="G463" s="6" t="s">
        <v>204</v>
      </c>
      <c r="H463" s="10">
        <v>341</v>
      </c>
      <c r="I463" s="6"/>
      <c r="J463" s="6"/>
      <c r="K463" s="6" t="s">
        <v>467</v>
      </c>
      <c r="L463" s="6"/>
      <c r="M463" s="10">
        <v>105</v>
      </c>
      <c r="N463" s="6"/>
      <c r="O463" s="6"/>
      <c r="P463" s="17" t="s">
        <v>3</v>
      </c>
      <c r="Q463" s="6" t="s">
        <v>205</v>
      </c>
      <c r="R463" s="17" t="s">
        <v>3</v>
      </c>
      <c r="S463" s="17" t="s">
        <v>1801</v>
      </c>
      <c r="T463" s="6" t="s">
        <v>24</v>
      </c>
      <c r="U463" s="6" t="s">
        <v>207</v>
      </c>
      <c r="V463" s="17" t="s">
        <v>3</v>
      </c>
      <c r="W463" s="6">
        <v>873</v>
      </c>
      <c r="X463" s="6" t="s">
        <v>208</v>
      </c>
    </row>
    <row r="464" spans="1:24" ht="27" x14ac:dyDescent="0.25">
      <c r="A464" s="6" t="s">
        <v>1802</v>
      </c>
      <c r="B464" s="14">
        <v>46253</v>
      </c>
      <c r="C464" s="14">
        <v>46253</v>
      </c>
      <c r="D464" s="6" t="s">
        <v>1803</v>
      </c>
      <c r="E464" s="6" t="s">
        <v>45</v>
      </c>
      <c r="F464" s="6" t="s">
        <v>3</v>
      </c>
      <c r="G464" s="6" t="s">
        <v>1474</v>
      </c>
      <c r="H464" s="10">
        <v>25</v>
      </c>
      <c r="I464" s="6"/>
      <c r="J464" s="6"/>
      <c r="K464" s="6" t="s">
        <v>3</v>
      </c>
      <c r="L464" s="6"/>
      <c r="M464" s="6"/>
      <c r="N464" s="6"/>
      <c r="O464" s="6"/>
      <c r="P464" s="17" t="s">
        <v>3</v>
      </c>
      <c r="Q464" s="6" t="s">
        <v>265</v>
      </c>
      <c r="R464" s="17" t="s">
        <v>1804</v>
      </c>
      <c r="S464" s="17" t="s">
        <v>1805</v>
      </c>
      <c r="T464" s="6" t="s">
        <v>26</v>
      </c>
      <c r="U464" s="6" t="s">
        <v>222</v>
      </c>
      <c r="V464" s="17" t="s">
        <v>699</v>
      </c>
      <c r="W464" s="6">
        <v>875</v>
      </c>
      <c r="X464" s="6" t="s">
        <v>224</v>
      </c>
    </row>
    <row r="465" spans="1:24" ht="67.5" x14ac:dyDescent="0.25">
      <c r="A465" s="6" t="s">
        <v>1806</v>
      </c>
      <c r="B465" s="14">
        <v>46253</v>
      </c>
      <c r="C465" s="14">
        <v>46253</v>
      </c>
      <c r="D465" s="6" t="s">
        <v>1807</v>
      </c>
      <c r="E465" s="6" t="s">
        <v>42</v>
      </c>
      <c r="F465" s="6" t="s">
        <v>1774</v>
      </c>
      <c r="G465" s="6" t="s">
        <v>236</v>
      </c>
      <c r="H465" s="10">
        <v>205</v>
      </c>
      <c r="I465" s="6"/>
      <c r="J465" s="6"/>
      <c r="K465" s="6" t="s">
        <v>3</v>
      </c>
      <c r="L465" s="10">
        <v>76</v>
      </c>
      <c r="M465" s="6"/>
      <c r="N465" s="6"/>
      <c r="O465" s="6"/>
      <c r="P465" s="17" t="s">
        <v>3</v>
      </c>
      <c r="Q465" s="6" t="s">
        <v>313</v>
      </c>
      <c r="R465" s="17" t="s">
        <v>3</v>
      </c>
      <c r="S465" s="17" t="s">
        <v>1808</v>
      </c>
      <c r="T465" s="6" t="s">
        <v>25</v>
      </c>
      <c r="U465" s="6" t="s">
        <v>222</v>
      </c>
      <c r="V465" s="17" t="s">
        <v>238</v>
      </c>
      <c r="W465" s="6">
        <v>874</v>
      </c>
      <c r="X465" s="6" t="s">
        <v>224</v>
      </c>
    </row>
    <row r="466" spans="1:24" ht="67.5" x14ac:dyDescent="0.25">
      <c r="A466" s="6" t="s">
        <v>1809</v>
      </c>
      <c r="B466" s="14">
        <v>46253</v>
      </c>
      <c r="C466" s="14">
        <v>46253</v>
      </c>
      <c r="D466" s="6" t="s">
        <v>1810</v>
      </c>
      <c r="E466" s="6" t="s">
        <v>42</v>
      </c>
      <c r="F466" s="6" t="s">
        <v>1483</v>
      </c>
      <c r="G466" s="6" t="s">
        <v>263</v>
      </c>
      <c r="H466" s="10">
        <v>300</v>
      </c>
      <c r="I466" s="6"/>
      <c r="J466" s="6"/>
      <c r="K466" s="6" t="s">
        <v>467</v>
      </c>
      <c r="L466" s="6"/>
      <c r="M466" s="6"/>
      <c r="N466" s="6"/>
      <c r="O466" s="6"/>
      <c r="P466" s="17" t="s">
        <v>3</v>
      </c>
      <c r="Q466" s="6" t="s">
        <v>205</v>
      </c>
      <c r="R466" s="17" t="s">
        <v>3</v>
      </c>
      <c r="S466" s="17" t="s">
        <v>1811</v>
      </c>
      <c r="T466" s="6" t="s">
        <v>25</v>
      </c>
      <c r="U466" s="6" t="s">
        <v>222</v>
      </c>
      <c r="V466" s="17" t="s">
        <v>267</v>
      </c>
      <c r="W466" s="6">
        <v>877</v>
      </c>
      <c r="X466" s="6" t="s">
        <v>224</v>
      </c>
    </row>
    <row r="467" spans="1:24" ht="40.5" x14ac:dyDescent="0.25">
      <c r="A467" s="6" t="s">
        <v>1812</v>
      </c>
      <c r="B467" s="14">
        <v>46254</v>
      </c>
      <c r="C467" s="14">
        <v>46254</v>
      </c>
      <c r="D467" s="6" t="s">
        <v>1813</v>
      </c>
      <c r="E467" s="6" t="s">
        <v>128</v>
      </c>
      <c r="F467" s="6" t="s">
        <v>128</v>
      </c>
      <c r="G467" s="6" t="s">
        <v>263</v>
      </c>
      <c r="H467" s="10">
        <v>135</v>
      </c>
      <c r="I467" s="10">
        <v>100</v>
      </c>
      <c r="J467" s="10">
        <v>100</v>
      </c>
      <c r="K467" s="6" t="s">
        <v>3</v>
      </c>
      <c r="L467" s="6"/>
      <c r="M467" s="6"/>
      <c r="N467" s="6"/>
      <c r="O467" s="6"/>
      <c r="P467" s="17" t="s">
        <v>3</v>
      </c>
      <c r="Q467" s="6" t="s">
        <v>265</v>
      </c>
      <c r="R467" s="17" t="s">
        <v>1814</v>
      </c>
      <c r="S467" s="17" t="s">
        <v>1815</v>
      </c>
      <c r="T467" s="6" t="s">
        <v>25</v>
      </c>
      <c r="U467" s="6" t="s">
        <v>222</v>
      </c>
      <c r="V467" s="17" t="s">
        <v>657</v>
      </c>
      <c r="W467" s="6">
        <v>879</v>
      </c>
      <c r="X467" s="6" t="s">
        <v>224</v>
      </c>
    </row>
    <row r="468" spans="1:24" ht="67.5" x14ac:dyDescent="0.25">
      <c r="A468" s="6" t="s">
        <v>1816</v>
      </c>
      <c r="B468" s="14">
        <v>46255</v>
      </c>
      <c r="C468" s="14">
        <v>46255</v>
      </c>
      <c r="D468" s="6" t="s">
        <v>1817</v>
      </c>
      <c r="E468" s="6" t="s">
        <v>61</v>
      </c>
      <c r="F468" s="6" t="s">
        <v>61</v>
      </c>
      <c r="G468" s="6" t="s">
        <v>236</v>
      </c>
      <c r="H468" s="10">
        <v>198</v>
      </c>
      <c r="I468" s="6"/>
      <c r="J468" s="6"/>
      <c r="K468" s="6" t="s">
        <v>3</v>
      </c>
      <c r="L468" s="10">
        <v>44</v>
      </c>
      <c r="M468" s="6"/>
      <c r="N468" s="6"/>
      <c r="O468" s="6"/>
      <c r="P468" s="17" t="s">
        <v>3</v>
      </c>
      <c r="Q468" s="6" t="s">
        <v>313</v>
      </c>
      <c r="R468" s="17" t="s">
        <v>3</v>
      </c>
      <c r="S468" s="17" t="s">
        <v>1818</v>
      </c>
      <c r="T468" s="6" t="s">
        <v>24</v>
      </c>
      <c r="U468" s="6" t="s">
        <v>207</v>
      </c>
      <c r="V468" s="17" t="s">
        <v>3</v>
      </c>
      <c r="W468" s="6">
        <v>882</v>
      </c>
      <c r="X468" s="6" t="s">
        <v>208</v>
      </c>
    </row>
    <row r="469" spans="1:24" ht="40.5" x14ac:dyDescent="0.25">
      <c r="A469" s="6" t="s">
        <v>1819</v>
      </c>
      <c r="B469" s="14">
        <v>46255</v>
      </c>
      <c r="C469" s="14">
        <v>46256</v>
      </c>
      <c r="D469" s="6" t="s">
        <v>1820</v>
      </c>
      <c r="E469" s="6" t="s">
        <v>101</v>
      </c>
      <c r="F469" s="6" t="s">
        <v>101</v>
      </c>
      <c r="G469" s="6" t="s">
        <v>204</v>
      </c>
      <c r="H469" s="6"/>
      <c r="I469" s="6"/>
      <c r="J469" s="6"/>
      <c r="K469" s="6" t="s">
        <v>3</v>
      </c>
      <c r="L469" s="6"/>
      <c r="M469" s="10">
        <v>65</v>
      </c>
      <c r="N469" s="6"/>
      <c r="O469" s="6"/>
      <c r="P469" s="17" t="s">
        <v>3</v>
      </c>
      <c r="Q469" s="6" t="s">
        <v>205</v>
      </c>
      <c r="R469" s="17" t="s">
        <v>3</v>
      </c>
      <c r="S469" s="17" t="s">
        <v>1821</v>
      </c>
      <c r="T469" s="6" t="s">
        <v>25</v>
      </c>
      <c r="U469" s="6" t="s">
        <v>222</v>
      </c>
      <c r="V469" s="17" t="s">
        <v>223</v>
      </c>
      <c r="W469" s="6">
        <v>885</v>
      </c>
      <c r="X469" s="6" t="s">
        <v>224</v>
      </c>
    </row>
    <row r="470" spans="1:24" ht="67.5" x14ac:dyDescent="0.25">
      <c r="A470" s="6" t="s">
        <v>1822</v>
      </c>
      <c r="B470" s="14">
        <v>46256</v>
      </c>
      <c r="C470" s="14">
        <v>46256</v>
      </c>
      <c r="D470" s="6" t="s">
        <v>1823</v>
      </c>
      <c r="E470" s="6" t="s">
        <v>160</v>
      </c>
      <c r="F470" s="6" t="s">
        <v>160</v>
      </c>
      <c r="G470" s="6" t="s">
        <v>236</v>
      </c>
      <c r="H470" s="10">
        <v>80</v>
      </c>
      <c r="I470" s="6"/>
      <c r="J470" s="6"/>
      <c r="K470" s="6" t="s">
        <v>3</v>
      </c>
      <c r="L470" s="10">
        <v>25</v>
      </c>
      <c r="M470" s="6"/>
      <c r="N470" s="6"/>
      <c r="O470" s="6"/>
      <c r="P470" s="17" t="s">
        <v>3</v>
      </c>
      <c r="Q470" s="6" t="s">
        <v>313</v>
      </c>
      <c r="R470" s="17" t="s">
        <v>3</v>
      </c>
      <c r="S470" s="17" t="s">
        <v>1824</v>
      </c>
      <c r="T470" s="6" t="s">
        <v>24</v>
      </c>
      <c r="U470" s="6" t="s">
        <v>207</v>
      </c>
      <c r="V470" s="17" t="s">
        <v>3</v>
      </c>
      <c r="W470" s="6">
        <v>886</v>
      </c>
      <c r="X470" s="6" t="s">
        <v>208</v>
      </c>
    </row>
    <row r="471" spans="1:24" ht="54" x14ac:dyDescent="0.25">
      <c r="A471" s="6" t="s">
        <v>1825</v>
      </c>
      <c r="B471" s="14">
        <v>46258</v>
      </c>
      <c r="C471" s="14">
        <v>46258</v>
      </c>
      <c r="D471" s="6" t="s">
        <v>1826</v>
      </c>
      <c r="E471" s="6" t="s">
        <v>65</v>
      </c>
      <c r="F471" s="6" t="s">
        <v>65</v>
      </c>
      <c r="G471" s="6" t="s">
        <v>236</v>
      </c>
      <c r="H471" s="10">
        <v>200</v>
      </c>
      <c r="I471" s="6"/>
      <c r="J471" s="6"/>
      <c r="K471" s="6" t="s">
        <v>3</v>
      </c>
      <c r="L471" s="10">
        <v>87</v>
      </c>
      <c r="M471" s="6"/>
      <c r="N471" s="6"/>
      <c r="O471" s="6"/>
      <c r="P471" s="17" t="s">
        <v>3</v>
      </c>
      <c r="Q471" s="6" t="s">
        <v>313</v>
      </c>
      <c r="R471" s="17" t="s">
        <v>3</v>
      </c>
      <c r="S471" s="17" t="s">
        <v>1827</v>
      </c>
      <c r="T471" s="6" t="s">
        <v>24</v>
      </c>
      <c r="U471" s="6" t="s">
        <v>207</v>
      </c>
      <c r="V471" s="17" t="s">
        <v>3</v>
      </c>
      <c r="W471" s="6">
        <v>888</v>
      </c>
      <c r="X471" s="6" t="s">
        <v>208</v>
      </c>
    </row>
    <row r="472" spans="1:24" ht="54" x14ac:dyDescent="0.25">
      <c r="A472" s="6" t="s">
        <v>1828</v>
      </c>
      <c r="B472" s="14">
        <v>46258</v>
      </c>
      <c r="C472" s="14">
        <v>46258</v>
      </c>
      <c r="D472" s="6" t="s">
        <v>1829</v>
      </c>
      <c r="E472" s="6" t="s">
        <v>51</v>
      </c>
      <c r="F472" s="6" t="s">
        <v>1779</v>
      </c>
      <c r="G472" s="6" t="s">
        <v>204</v>
      </c>
      <c r="H472" s="6"/>
      <c r="I472" s="6"/>
      <c r="J472" s="6"/>
      <c r="K472" s="6" t="s">
        <v>1143</v>
      </c>
      <c r="L472" s="6"/>
      <c r="M472" s="10">
        <v>90</v>
      </c>
      <c r="N472" s="6"/>
      <c r="O472" s="6"/>
      <c r="P472" s="17" t="s">
        <v>3</v>
      </c>
      <c r="Q472" s="6" t="s">
        <v>205</v>
      </c>
      <c r="R472" s="17" t="s">
        <v>3</v>
      </c>
      <c r="S472" s="17" t="s">
        <v>1830</v>
      </c>
      <c r="T472" s="6" t="s">
        <v>25</v>
      </c>
      <c r="U472" s="6" t="s">
        <v>222</v>
      </c>
      <c r="V472" s="17" t="s">
        <v>223</v>
      </c>
      <c r="W472" s="6">
        <v>887</v>
      </c>
      <c r="X472" s="6" t="s">
        <v>224</v>
      </c>
    </row>
    <row r="473" spans="1:24" ht="54" x14ac:dyDescent="0.25">
      <c r="A473" s="6" t="s">
        <v>1831</v>
      </c>
      <c r="B473" s="14">
        <v>46259</v>
      </c>
      <c r="C473" s="14">
        <v>46259</v>
      </c>
      <c r="D473" s="6" t="s">
        <v>1832</v>
      </c>
      <c r="E473" s="6" t="s">
        <v>65</v>
      </c>
      <c r="F473" s="6" t="s">
        <v>65</v>
      </c>
      <c r="G473" s="6" t="s">
        <v>236</v>
      </c>
      <c r="H473" s="10">
        <v>180</v>
      </c>
      <c r="I473" s="6"/>
      <c r="J473" s="6"/>
      <c r="K473" s="6" t="s">
        <v>3</v>
      </c>
      <c r="L473" s="10">
        <v>105</v>
      </c>
      <c r="M473" s="6"/>
      <c r="N473" s="6"/>
      <c r="O473" s="6"/>
      <c r="P473" s="17" t="s">
        <v>3</v>
      </c>
      <c r="Q473" s="6" t="s">
        <v>313</v>
      </c>
      <c r="R473" s="17" t="s">
        <v>1833</v>
      </c>
      <c r="S473" s="17" t="s">
        <v>1834</v>
      </c>
      <c r="T473" s="6" t="s">
        <v>24</v>
      </c>
      <c r="U473" s="6" t="s">
        <v>207</v>
      </c>
      <c r="V473" s="17" t="s">
        <v>3</v>
      </c>
      <c r="W473" s="6">
        <v>889</v>
      </c>
      <c r="X473" s="6" t="s">
        <v>208</v>
      </c>
    </row>
    <row r="474" spans="1:24" ht="54" x14ac:dyDescent="0.25">
      <c r="A474" s="6" t="s">
        <v>1835</v>
      </c>
      <c r="B474" s="14">
        <v>46259</v>
      </c>
      <c r="C474" s="14">
        <v>46259</v>
      </c>
      <c r="D474" s="6" t="s">
        <v>1836</v>
      </c>
      <c r="E474" s="6" t="s">
        <v>51</v>
      </c>
      <c r="F474" s="6" t="s">
        <v>1779</v>
      </c>
      <c r="G474" s="6" t="s">
        <v>204</v>
      </c>
      <c r="H474" s="6"/>
      <c r="I474" s="6"/>
      <c r="J474" s="6"/>
      <c r="K474" s="6" t="s">
        <v>3</v>
      </c>
      <c r="L474" s="6"/>
      <c r="M474" s="10">
        <v>188</v>
      </c>
      <c r="N474" s="6"/>
      <c r="O474" s="6"/>
      <c r="P474" s="17" t="s">
        <v>3</v>
      </c>
      <c r="Q474" s="6" t="s">
        <v>205</v>
      </c>
      <c r="R474" s="17" t="s">
        <v>3</v>
      </c>
      <c r="S474" s="17" t="s">
        <v>1837</v>
      </c>
      <c r="T474" s="6" t="s">
        <v>25</v>
      </c>
      <c r="U474" s="6" t="s">
        <v>222</v>
      </c>
      <c r="V474" s="17" t="s">
        <v>223</v>
      </c>
      <c r="W474" s="6">
        <v>890</v>
      </c>
      <c r="X474" s="6" t="s">
        <v>224</v>
      </c>
    </row>
    <row r="475" spans="1:24" ht="67.5" x14ac:dyDescent="0.25">
      <c r="A475" s="6" t="s">
        <v>1838</v>
      </c>
      <c r="B475" s="14">
        <v>46260</v>
      </c>
      <c r="C475" s="14">
        <v>46260</v>
      </c>
      <c r="D475" s="6" t="s">
        <v>1839</v>
      </c>
      <c r="E475" s="6" t="s">
        <v>42</v>
      </c>
      <c r="F475" s="6" t="s">
        <v>1774</v>
      </c>
      <c r="G475" s="6" t="s">
        <v>236</v>
      </c>
      <c r="H475" s="10">
        <v>210</v>
      </c>
      <c r="I475" s="6"/>
      <c r="J475" s="6"/>
      <c r="K475" s="6" t="s">
        <v>3</v>
      </c>
      <c r="L475" s="10">
        <v>82</v>
      </c>
      <c r="M475" s="6"/>
      <c r="N475" s="6"/>
      <c r="O475" s="6"/>
      <c r="P475" s="17" t="s">
        <v>3</v>
      </c>
      <c r="Q475" s="6" t="s">
        <v>313</v>
      </c>
      <c r="R475" s="17" t="s">
        <v>1840</v>
      </c>
      <c r="S475" s="17" t="s">
        <v>1841</v>
      </c>
      <c r="T475" s="6" t="s">
        <v>24</v>
      </c>
      <c r="U475" s="6" t="s">
        <v>207</v>
      </c>
      <c r="V475" s="17" t="s">
        <v>3</v>
      </c>
      <c r="W475" s="6">
        <v>891</v>
      </c>
      <c r="X475" s="6" t="s">
        <v>208</v>
      </c>
    </row>
    <row r="476" spans="1:24" ht="54" x14ac:dyDescent="0.25">
      <c r="A476" s="6" t="s">
        <v>1842</v>
      </c>
      <c r="B476" s="14">
        <v>46260</v>
      </c>
      <c r="C476" s="14">
        <v>46260</v>
      </c>
      <c r="D476" s="6" t="s">
        <v>1843</v>
      </c>
      <c r="E476" s="6" t="s">
        <v>42</v>
      </c>
      <c r="F476" s="6" t="s">
        <v>1483</v>
      </c>
      <c r="G476" s="6" t="s">
        <v>204</v>
      </c>
      <c r="H476" s="6"/>
      <c r="I476" s="6"/>
      <c r="J476" s="6"/>
      <c r="K476" s="6" t="s">
        <v>838</v>
      </c>
      <c r="L476" s="6"/>
      <c r="M476" s="10">
        <v>57</v>
      </c>
      <c r="N476" s="6"/>
      <c r="O476" s="6"/>
      <c r="P476" s="17" t="s">
        <v>3</v>
      </c>
      <c r="Q476" s="6" t="s">
        <v>205</v>
      </c>
      <c r="R476" s="17" t="s">
        <v>3</v>
      </c>
      <c r="S476" s="17" t="s">
        <v>1844</v>
      </c>
      <c r="T476" s="6" t="s">
        <v>25</v>
      </c>
      <c r="U476" s="6" t="s">
        <v>222</v>
      </c>
      <c r="V476" s="17" t="s">
        <v>223</v>
      </c>
      <c r="W476" s="6">
        <v>897</v>
      </c>
      <c r="X476" s="6" t="s">
        <v>224</v>
      </c>
    </row>
    <row r="477" spans="1:24" ht="40.5" x14ac:dyDescent="0.25">
      <c r="A477" s="6" t="s">
        <v>1845</v>
      </c>
      <c r="B477" s="14">
        <v>46260</v>
      </c>
      <c r="C477" s="14">
        <v>46260</v>
      </c>
      <c r="D477" s="6" t="s">
        <v>1846</v>
      </c>
      <c r="E477" s="6" t="s">
        <v>101</v>
      </c>
      <c r="F477" s="6" t="s">
        <v>101</v>
      </c>
      <c r="G477" s="6" t="s">
        <v>263</v>
      </c>
      <c r="H477" s="6"/>
      <c r="I477" s="6"/>
      <c r="J477" s="6"/>
      <c r="K477" s="6" t="s">
        <v>3</v>
      </c>
      <c r="L477" s="6"/>
      <c r="M477" s="10">
        <v>15</v>
      </c>
      <c r="N477" s="6"/>
      <c r="O477" s="6"/>
      <c r="P477" s="17" t="s">
        <v>3</v>
      </c>
      <c r="Q477" s="6" t="s">
        <v>205</v>
      </c>
      <c r="R477" s="17" t="s">
        <v>3</v>
      </c>
      <c r="S477" s="17" t="s">
        <v>1847</v>
      </c>
      <c r="T477" s="6" t="s">
        <v>26</v>
      </c>
      <c r="U477" s="6" t="s">
        <v>222</v>
      </c>
      <c r="V477" s="17" t="s">
        <v>1129</v>
      </c>
      <c r="W477" s="6">
        <v>896</v>
      </c>
      <c r="X477" s="6" t="s">
        <v>224</v>
      </c>
    </row>
    <row r="478" spans="1:24" ht="40.5" x14ac:dyDescent="0.25">
      <c r="A478" s="6" t="s">
        <v>1848</v>
      </c>
      <c r="B478" s="14">
        <v>46261</v>
      </c>
      <c r="C478" s="14">
        <v>46262</v>
      </c>
      <c r="D478" s="6" t="s">
        <v>1849</v>
      </c>
      <c r="E478" s="6" t="s">
        <v>154</v>
      </c>
      <c r="F478" s="6" t="s">
        <v>154</v>
      </c>
      <c r="G478" s="6" t="s">
        <v>263</v>
      </c>
      <c r="H478" s="6"/>
      <c r="I478" s="6"/>
      <c r="J478" s="6"/>
      <c r="K478" s="6" t="s">
        <v>3</v>
      </c>
      <c r="L478" s="6"/>
      <c r="M478" s="10">
        <v>81</v>
      </c>
      <c r="N478" s="6"/>
      <c r="O478" s="6"/>
      <c r="P478" s="17" t="s">
        <v>3</v>
      </c>
      <c r="Q478" s="6" t="s">
        <v>205</v>
      </c>
      <c r="R478" s="17" t="s">
        <v>3</v>
      </c>
      <c r="S478" s="17" t="s">
        <v>1850</v>
      </c>
      <c r="T478" s="6" t="s">
        <v>26</v>
      </c>
      <c r="U478" s="6" t="s">
        <v>222</v>
      </c>
      <c r="V478" s="17" t="s">
        <v>1129</v>
      </c>
      <c r="W478" s="6">
        <v>900</v>
      </c>
      <c r="X478" s="6" t="s">
        <v>224</v>
      </c>
    </row>
    <row r="479" spans="1:24" ht="54" x14ac:dyDescent="0.25">
      <c r="A479" s="6" t="s">
        <v>1851</v>
      </c>
      <c r="B479" s="14">
        <v>46261</v>
      </c>
      <c r="C479" s="14">
        <v>46261</v>
      </c>
      <c r="D479" s="6" t="s">
        <v>1852</v>
      </c>
      <c r="E479" s="6" t="s">
        <v>173</v>
      </c>
      <c r="F479" s="6" t="s">
        <v>173</v>
      </c>
      <c r="G479" s="6" t="s">
        <v>236</v>
      </c>
      <c r="H479" s="10">
        <v>72</v>
      </c>
      <c r="I479" s="6"/>
      <c r="J479" s="6"/>
      <c r="K479" s="6" t="s">
        <v>3</v>
      </c>
      <c r="L479" s="10">
        <v>49</v>
      </c>
      <c r="M479" s="6"/>
      <c r="N479" s="6"/>
      <c r="O479" s="6"/>
      <c r="P479" s="17" t="s">
        <v>3</v>
      </c>
      <c r="Q479" s="6" t="s">
        <v>313</v>
      </c>
      <c r="R479" s="17" t="s">
        <v>3</v>
      </c>
      <c r="S479" s="17" t="s">
        <v>1853</v>
      </c>
      <c r="T479" s="6" t="s">
        <v>24</v>
      </c>
      <c r="U479" s="6" t="s">
        <v>207</v>
      </c>
      <c r="V479" s="17" t="s">
        <v>3</v>
      </c>
      <c r="W479" s="6">
        <v>899</v>
      </c>
      <c r="X479" s="6" t="s">
        <v>208</v>
      </c>
    </row>
    <row r="480" spans="1:24" ht="67.5" x14ac:dyDescent="0.25">
      <c r="A480" s="6" t="s">
        <v>1854</v>
      </c>
      <c r="B480" s="14">
        <v>46263</v>
      </c>
      <c r="C480" s="14">
        <v>46263</v>
      </c>
      <c r="D480" s="6" t="s">
        <v>1855</v>
      </c>
      <c r="E480" s="6" t="s">
        <v>51</v>
      </c>
      <c r="F480" s="6" t="s">
        <v>1779</v>
      </c>
      <c r="G480" s="6" t="s">
        <v>204</v>
      </c>
      <c r="H480" s="6"/>
      <c r="I480" s="6"/>
      <c r="J480" s="6"/>
      <c r="K480" s="6" t="s">
        <v>1856</v>
      </c>
      <c r="L480" s="6"/>
      <c r="M480" s="10">
        <v>104</v>
      </c>
      <c r="N480" s="6"/>
      <c r="O480" s="6"/>
      <c r="P480" s="17" t="s">
        <v>3</v>
      </c>
      <c r="Q480" s="6" t="s">
        <v>205</v>
      </c>
      <c r="R480" s="17" t="s">
        <v>3</v>
      </c>
      <c r="S480" s="17" t="s">
        <v>1857</v>
      </c>
      <c r="T480" s="6" t="s">
        <v>25</v>
      </c>
      <c r="U480" s="6" t="s">
        <v>222</v>
      </c>
      <c r="V480" s="17" t="s">
        <v>223</v>
      </c>
      <c r="W480" s="6">
        <v>901</v>
      </c>
      <c r="X480" s="6" t="s">
        <v>224</v>
      </c>
    </row>
    <row r="481" spans="1:24" ht="67.5" x14ac:dyDescent="0.25">
      <c r="A481" s="6" t="s">
        <v>1858</v>
      </c>
      <c r="B481" s="14">
        <v>46263</v>
      </c>
      <c r="C481" s="14">
        <v>46263</v>
      </c>
      <c r="D481" s="6" t="s">
        <v>1859</v>
      </c>
      <c r="E481" s="6" t="s">
        <v>89</v>
      </c>
      <c r="F481" s="6" t="s">
        <v>89</v>
      </c>
      <c r="G481" s="6" t="s">
        <v>204</v>
      </c>
      <c r="H481" s="10">
        <v>93</v>
      </c>
      <c r="I481" s="6"/>
      <c r="J481" s="6"/>
      <c r="K481" s="6" t="s">
        <v>3</v>
      </c>
      <c r="L481" s="6"/>
      <c r="M481" s="6"/>
      <c r="N481" s="6"/>
      <c r="O481" s="6"/>
      <c r="P481" s="17" t="s">
        <v>3</v>
      </c>
      <c r="Q481" s="6" t="s">
        <v>313</v>
      </c>
      <c r="R481" s="17" t="s">
        <v>3</v>
      </c>
      <c r="S481" s="17" t="s">
        <v>1860</v>
      </c>
      <c r="T481" s="6" t="s">
        <v>24</v>
      </c>
      <c r="U481" s="6" t="s">
        <v>207</v>
      </c>
      <c r="V481" s="17" t="s">
        <v>3</v>
      </c>
      <c r="W481" s="6">
        <v>902</v>
      </c>
      <c r="X481" s="6" t="s">
        <v>208</v>
      </c>
    </row>
    <row r="482" spans="1:24" x14ac:dyDescent="0.25">
      <c r="A482" s="6" t="s">
        <v>1861</v>
      </c>
      <c r="B482" s="14">
        <v>46263</v>
      </c>
      <c r="C482" s="14">
        <v>46263</v>
      </c>
      <c r="D482" s="6" t="s">
        <v>1862</v>
      </c>
      <c r="E482" s="6" t="s">
        <v>90</v>
      </c>
      <c r="F482" s="6" t="s">
        <v>90</v>
      </c>
      <c r="G482" s="6" t="s">
        <v>236</v>
      </c>
      <c r="H482" s="10">
        <v>205</v>
      </c>
      <c r="I482" s="6"/>
      <c r="J482" s="6"/>
      <c r="K482" s="6" t="s">
        <v>3</v>
      </c>
      <c r="L482" s="10">
        <v>45</v>
      </c>
      <c r="M482" s="6"/>
      <c r="N482" s="6"/>
      <c r="O482" s="6"/>
      <c r="P482" s="17" t="s">
        <v>3</v>
      </c>
      <c r="Q482" s="6" t="s">
        <v>265</v>
      </c>
      <c r="R482" s="17" t="s">
        <v>3</v>
      </c>
      <c r="S482" s="17" t="s">
        <v>1863</v>
      </c>
      <c r="T482" s="6" t="s">
        <v>24</v>
      </c>
      <c r="U482" s="6" t="s">
        <v>207</v>
      </c>
      <c r="V482" s="17" t="s">
        <v>3</v>
      </c>
      <c r="W482" s="6">
        <v>904</v>
      </c>
      <c r="X482" s="6" t="s">
        <v>208</v>
      </c>
    </row>
    <row r="483" spans="1:24" x14ac:dyDescent="0.25">
      <c r="A483" s="6" t="s">
        <v>1864</v>
      </c>
      <c r="B483" s="14">
        <v>46263</v>
      </c>
      <c r="C483" s="14">
        <v>46263</v>
      </c>
      <c r="D483" s="6" t="s">
        <v>1865</v>
      </c>
      <c r="E483" s="6" t="s">
        <v>42</v>
      </c>
      <c r="F483" s="6" t="s">
        <v>1866</v>
      </c>
      <c r="G483" s="6" t="s">
        <v>263</v>
      </c>
      <c r="H483" s="10">
        <v>50</v>
      </c>
      <c r="I483" s="6"/>
      <c r="J483" s="6"/>
      <c r="K483" s="6" t="s">
        <v>3</v>
      </c>
      <c r="L483" s="6"/>
      <c r="M483" s="6"/>
      <c r="N483" s="6"/>
      <c r="O483" s="6"/>
      <c r="P483" s="17" t="s">
        <v>3</v>
      </c>
      <c r="Q483" s="6" t="s">
        <v>265</v>
      </c>
      <c r="R483" s="17" t="s">
        <v>3</v>
      </c>
      <c r="S483" s="17" t="s">
        <v>1867</v>
      </c>
      <c r="T483" s="6" t="s">
        <v>25</v>
      </c>
      <c r="U483" s="6" t="s">
        <v>222</v>
      </c>
      <c r="V483" s="17" t="s">
        <v>267</v>
      </c>
      <c r="W483" s="6">
        <v>903</v>
      </c>
      <c r="X483" s="6" t="s">
        <v>224</v>
      </c>
    </row>
    <row r="484" spans="1:24" ht="67.5" x14ac:dyDescent="0.25">
      <c r="A484" s="6" t="s">
        <v>1868</v>
      </c>
      <c r="B484" s="14">
        <v>46264</v>
      </c>
      <c r="C484" s="14">
        <v>46264</v>
      </c>
      <c r="D484" s="6" t="s">
        <v>1869</v>
      </c>
      <c r="E484" s="6" t="s">
        <v>65</v>
      </c>
      <c r="F484" s="6" t="s">
        <v>65</v>
      </c>
      <c r="G484" s="6" t="s">
        <v>236</v>
      </c>
      <c r="H484" s="10">
        <v>244</v>
      </c>
      <c r="I484" s="6"/>
      <c r="J484" s="6"/>
      <c r="K484" s="6" t="s">
        <v>3</v>
      </c>
      <c r="L484" s="10">
        <v>134</v>
      </c>
      <c r="M484" s="6"/>
      <c r="N484" s="6"/>
      <c r="O484" s="6"/>
      <c r="P484" s="17" t="s">
        <v>3</v>
      </c>
      <c r="Q484" s="6" t="s">
        <v>313</v>
      </c>
      <c r="R484" s="17" t="s">
        <v>1870</v>
      </c>
      <c r="S484" s="17" t="s">
        <v>1871</v>
      </c>
      <c r="T484" s="6" t="s">
        <v>24</v>
      </c>
      <c r="U484" s="6" t="s">
        <v>207</v>
      </c>
      <c r="V484" s="17" t="s">
        <v>3</v>
      </c>
      <c r="W484" s="6">
        <v>906</v>
      </c>
      <c r="X484" s="6" t="s">
        <v>208</v>
      </c>
    </row>
    <row r="485" spans="1:24" ht="67.5" x14ac:dyDescent="0.25">
      <c r="A485" s="6" t="s">
        <v>1872</v>
      </c>
      <c r="B485" s="14">
        <v>46265</v>
      </c>
      <c r="C485" s="14">
        <v>46265</v>
      </c>
      <c r="D485" s="6" t="s">
        <v>1873</v>
      </c>
      <c r="E485" s="6" t="s">
        <v>89</v>
      </c>
      <c r="F485" s="6" t="s">
        <v>89</v>
      </c>
      <c r="G485" s="6" t="s">
        <v>236</v>
      </c>
      <c r="H485" s="10">
        <v>93</v>
      </c>
      <c r="I485" s="6"/>
      <c r="J485" s="6"/>
      <c r="K485" s="6" t="s">
        <v>3</v>
      </c>
      <c r="L485" s="10">
        <v>34</v>
      </c>
      <c r="M485" s="6"/>
      <c r="N485" s="6"/>
      <c r="O485" s="6"/>
      <c r="P485" s="17" t="s">
        <v>3</v>
      </c>
      <c r="Q485" s="6" t="s">
        <v>313</v>
      </c>
      <c r="R485" s="17" t="s">
        <v>3</v>
      </c>
      <c r="S485" s="17" t="s">
        <v>1874</v>
      </c>
      <c r="T485" s="6" t="s">
        <v>24</v>
      </c>
      <c r="U485" s="6" t="s">
        <v>207</v>
      </c>
      <c r="V485" s="17" t="s">
        <v>3</v>
      </c>
      <c r="W485" s="6">
        <v>907</v>
      </c>
      <c r="X485" s="6" t="s">
        <v>208</v>
      </c>
    </row>
    <row r="486" spans="1:24" ht="40.5" x14ac:dyDescent="0.25">
      <c r="A486" s="6" t="s">
        <v>1875</v>
      </c>
      <c r="B486" s="14">
        <v>46265</v>
      </c>
      <c r="C486" s="14">
        <v>46265</v>
      </c>
      <c r="D486" s="6" t="s">
        <v>1876</v>
      </c>
      <c r="E486" s="6" t="s">
        <v>90</v>
      </c>
      <c r="F486" s="6" t="s">
        <v>90</v>
      </c>
      <c r="G486" s="6" t="s">
        <v>263</v>
      </c>
      <c r="H486" s="10">
        <v>205</v>
      </c>
      <c r="I486" s="10">
        <v>30</v>
      </c>
      <c r="J486" s="10">
        <v>30</v>
      </c>
      <c r="K486" s="6" t="s">
        <v>3</v>
      </c>
      <c r="L486" s="6"/>
      <c r="M486" s="6"/>
      <c r="N486" s="6"/>
      <c r="O486" s="6"/>
      <c r="P486" s="17" t="s">
        <v>3</v>
      </c>
      <c r="Q486" s="6" t="s">
        <v>1877</v>
      </c>
      <c r="R486" s="17" t="s">
        <v>3</v>
      </c>
      <c r="S486" s="17" t="s">
        <v>1878</v>
      </c>
      <c r="T486" s="6" t="s">
        <v>25</v>
      </c>
      <c r="U486" s="6" t="s">
        <v>222</v>
      </c>
      <c r="V486" s="17" t="s">
        <v>267</v>
      </c>
      <c r="W486" s="6">
        <v>916</v>
      </c>
      <c r="X486" s="6" t="s">
        <v>224</v>
      </c>
    </row>
    <row r="487" spans="1:24" ht="243" x14ac:dyDescent="0.25">
      <c r="A487" s="6" t="s">
        <v>1879</v>
      </c>
      <c r="B487" s="14">
        <v>46265</v>
      </c>
      <c r="C487" s="14">
        <v>46265</v>
      </c>
      <c r="D487" s="6" t="s">
        <v>1880</v>
      </c>
      <c r="E487" s="6" t="s">
        <v>146</v>
      </c>
      <c r="F487" s="6" t="s">
        <v>146</v>
      </c>
      <c r="G487" s="6" t="s">
        <v>236</v>
      </c>
      <c r="H487" s="10">
        <v>0</v>
      </c>
      <c r="I487" s="6"/>
      <c r="J487" s="6"/>
      <c r="K487" s="6" t="s">
        <v>3</v>
      </c>
      <c r="L487" s="6"/>
      <c r="M487" s="6"/>
      <c r="N487" s="6"/>
      <c r="O487" s="6"/>
      <c r="P487" s="17" t="s">
        <v>1881</v>
      </c>
      <c r="Q487" s="6" t="s">
        <v>265</v>
      </c>
      <c r="R487" s="17" t="s">
        <v>3</v>
      </c>
      <c r="S487" s="17" t="s">
        <v>1882</v>
      </c>
      <c r="T487" s="6" t="s">
        <v>25</v>
      </c>
      <c r="U487" s="6" t="s">
        <v>222</v>
      </c>
      <c r="V487" s="17" t="s">
        <v>223</v>
      </c>
      <c r="W487" s="6">
        <v>909</v>
      </c>
      <c r="X487" s="6" t="s">
        <v>224</v>
      </c>
    </row>
    <row r="488" spans="1:24" ht="27" x14ac:dyDescent="0.25">
      <c r="A488" s="6" t="s">
        <v>1883</v>
      </c>
      <c r="B488" s="14">
        <v>46265</v>
      </c>
      <c r="C488" s="14">
        <v>46265</v>
      </c>
      <c r="D488" s="6" t="s">
        <v>1884</v>
      </c>
      <c r="E488" s="6" t="s">
        <v>42</v>
      </c>
      <c r="F488" s="6" t="s">
        <v>42</v>
      </c>
      <c r="G488" s="6" t="s">
        <v>236</v>
      </c>
      <c r="H488" s="10">
        <v>147</v>
      </c>
      <c r="I488" s="6"/>
      <c r="J488" s="6"/>
      <c r="K488" s="6" t="s">
        <v>3</v>
      </c>
      <c r="L488" s="6"/>
      <c r="M488" s="6"/>
      <c r="N488" s="6"/>
      <c r="O488" s="6"/>
      <c r="P488" s="17" t="s">
        <v>3</v>
      </c>
      <c r="Q488" s="6" t="s">
        <v>228</v>
      </c>
      <c r="R488" s="17" t="s">
        <v>3</v>
      </c>
      <c r="S488" s="17" t="s">
        <v>1885</v>
      </c>
      <c r="T488" s="6" t="s">
        <v>24</v>
      </c>
      <c r="U488" s="6" t="s">
        <v>207</v>
      </c>
      <c r="V488" s="17" t="s">
        <v>3</v>
      </c>
      <c r="W488" s="6">
        <v>910</v>
      </c>
      <c r="X488" s="6" t="s">
        <v>208</v>
      </c>
    </row>
    <row r="489" spans="1:24" ht="54" x14ac:dyDescent="0.25">
      <c r="A489" s="6" t="s">
        <v>1886</v>
      </c>
      <c r="B489" s="14">
        <v>46265</v>
      </c>
      <c r="C489" s="14">
        <v>46265</v>
      </c>
      <c r="D489" s="6" t="s">
        <v>1887</v>
      </c>
      <c r="E489" s="6" t="s">
        <v>42</v>
      </c>
      <c r="F489" s="6" t="s">
        <v>1483</v>
      </c>
      <c r="G489" s="6" t="s">
        <v>204</v>
      </c>
      <c r="H489" s="10">
        <v>300</v>
      </c>
      <c r="I489" s="6"/>
      <c r="J489" s="6"/>
      <c r="K489" s="6" t="s">
        <v>3</v>
      </c>
      <c r="L489" s="6"/>
      <c r="M489" s="10">
        <v>93</v>
      </c>
      <c r="N489" s="6"/>
      <c r="O489" s="6"/>
      <c r="P489" s="17" t="s">
        <v>3</v>
      </c>
      <c r="Q489" s="6" t="s">
        <v>205</v>
      </c>
      <c r="R489" s="17" t="s">
        <v>3</v>
      </c>
      <c r="S489" s="17" t="s">
        <v>1888</v>
      </c>
      <c r="T489" s="6" t="s">
        <v>24</v>
      </c>
      <c r="U489" s="6" t="s">
        <v>207</v>
      </c>
      <c r="V489" s="17" t="s">
        <v>3</v>
      </c>
      <c r="W489" s="6">
        <v>921</v>
      </c>
      <c r="X489" s="6" t="s">
        <v>208</v>
      </c>
    </row>
    <row r="490" spans="1:24" ht="54" x14ac:dyDescent="0.25">
      <c r="A490" s="6" t="s">
        <v>1889</v>
      </c>
      <c r="B490" s="14">
        <v>46265</v>
      </c>
      <c r="C490" s="14">
        <v>46265</v>
      </c>
      <c r="D490" s="6" t="s">
        <v>1890</v>
      </c>
      <c r="E490" s="6" t="s">
        <v>83</v>
      </c>
      <c r="F490" s="6" t="s">
        <v>83</v>
      </c>
      <c r="G490" s="6" t="s">
        <v>1420</v>
      </c>
      <c r="H490" s="10">
        <v>180</v>
      </c>
      <c r="I490" s="10">
        <v>20</v>
      </c>
      <c r="J490" s="10">
        <v>40</v>
      </c>
      <c r="K490" s="6" t="s">
        <v>3</v>
      </c>
      <c r="L490" s="6"/>
      <c r="M490" s="6"/>
      <c r="N490" s="6"/>
      <c r="O490" s="6"/>
      <c r="P490" s="17" t="s">
        <v>1891</v>
      </c>
      <c r="Q490" s="6" t="s">
        <v>1877</v>
      </c>
      <c r="R490" s="17" t="s">
        <v>3</v>
      </c>
      <c r="S490" s="17" t="s">
        <v>1892</v>
      </c>
      <c r="T490" s="6" t="s">
        <v>24</v>
      </c>
      <c r="U490" s="6" t="s">
        <v>207</v>
      </c>
      <c r="V490" s="17" t="s">
        <v>3</v>
      </c>
      <c r="W490" s="6">
        <v>911</v>
      </c>
      <c r="X490" s="6" t="s">
        <v>208</v>
      </c>
    </row>
    <row r="491" spans="1:24" ht="67.5" x14ac:dyDescent="0.25">
      <c r="A491" s="6" t="s">
        <v>1893</v>
      </c>
      <c r="B491" s="14">
        <v>46266</v>
      </c>
      <c r="C491" s="14">
        <v>46266</v>
      </c>
      <c r="D491" s="6" t="s">
        <v>1894</v>
      </c>
      <c r="E491" s="6" t="s">
        <v>51</v>
      </c>
      <c r="F491" s="6" t="s">
        <v>51</v>
      </c>
      <c r="G491" s="6" t="s">
        <v>236</v>
      </c>
      <c r="H491" s="10">
        <v>70</v>
      </c>
      <c r="I491" s="10">
        <v>70</v>
      </c>
      <c r="J491" s="10">
        <v>80</v>
      </c>
      <c r="K491" s="6" t="s">
        <v>1895</v>
      </c>
      <c r="L491" s="10">
        <v>28</v>
      </c>
      <c r="M491" s="6"/>
      <c r="N491" s="6"/>
      <c r="O491" s="6"/>
      <c r="P491" s="17" t="s">
        <v>3</v>
      </c>
      <c r="Q491" s="6" t="s">
        <v>1877</v>
      </c>
      <c r="R491" s="17" t="s">
        <v>3</v>
      </c>
      <c r="S491" s="17" t="s">
        <v>1896</v>
      </c>
      <c r="T491" s="6" t="s">
        <v>25</v>
      </c>
      <c r="U491" s="6" t="s">
        <v>222</v>
      </c>
      <c r="V491" s="17" t="s">
        <v>238</v>
      </c>
      <c r="W491" s="6">
        <v>928</v>
      </c>
      <c r="X491" s="6" t="s">
        <v>224</v>
      </c>
    </row>
    <row r="492" spans="1:24" ht="94.5" x14ac:dyDescent="0.25">
      <c r="A492" s="6" t="s">
        <v>1897</v>
      </c>
      <c r="B492" s="14">
        <v>46266</v>
      </c>
      <c r="C492" s="14">
        <v>46266</v>
      </c>
      <c r="D492" s="6" t="s">
        <v>1898</v>
      </c>
      <c r="E492" s="6" t="s">
        <v>83</v>
      </c>
      <c r="F492" s="6" t="s">
        <v>83</v>
      </c>
      <c r="G492" s="6" t="s">
        <v>1420</v>
      </c>
      <c r="H492" s="10">
        <v>75</v>
      </c>
      <c r="I492" s="10">
        <v>20</v>
      </c>
      <c r="J492" s="10">
        <v>40</v>
      </c>
      <c r="K492" s="6" t="s">
        <v>3</v>
      </c>
      <c r="L492" s="6"/>
      <c r="M492" s="6"/>
      <c r="N492" s="6"/>
      <c r="O492" s="6"/>
      <c r="P492" s="17" t="s">
        <v>1899</v>
      </c>
      <c r="Q492" s="6" t="s">
        <v>313</v>
      </c>
      <c r="R492" s="17" t="s">
        <v>1900</v>
      </c>
      <c r="S492" s="17" t="s">
        <v>1901</v>
      </c>
      <c r="T492" s="6" t="s">
        <v>24</v>
      </c>
      <c r="U492" s="6" t="s">
        <v>207</v>
      </c>
      <c r="V492" s="17" t="s">
        <v>3</v>
      </c>
      <c r="W492" s="6">
        <v>930</v>
      </c>
      <c r="X492" s="6" t="s">
        <v>208</v>
      </c>
    </row>
    <row r="493" spans="1:24" ht="94.5" x14ac:dyDescent="0.25">
      <c r="A493" s="12" t="s">
        <v>1902</v>
      </c>
      <c r="B493" s="16">
        <v>46266</v>
      </c>
      <c r="C493" s="16">
        <v>46266</v>
      </c>
      <c r="D493" s="12" t="s">
        <v>1898</v>
      </c>
      <c r="E493" s="12" t="s">
        <v>83</v>
      </c>
      <c r="F493" s="12" t="s">
        <v>83</v>
      </c>
      <c r="G493" s="12" t="s">
        <v>852</v>
      </c>
      <c r="H493" s="15">
        <v>180</v>
      </c>
      <c r="I493" s="15">
        <v>20</v>
      </c>
      <c r="J493" s="15">
        <v>40</v>
      </c>
      <c r="K493" s="12" t="s">
        <v>3</v>
      </c>
      <c r="L493" s="12"/>
      <c r="M493" s="12"/>
      <c r="N493" s="12"/>
      <c r="O493" s="12"/>
      <c r="P493" s="18" t="s">
        <v>1899</v>
      </c>
      <c r="Q493" s="12" t="s">
        <v>313</v>
      </c>
      <c r="R493" s="18" t="s">
        <v>1900</v>
      </c>
      <c r="S493" s="18" t="s">
        <v>1901</v>
      </c>
      <c r="T493" s="12" t="s">
        <v>24</v>
      </c>
      <c r="U493" s="12" t="s">
        <v>207</v>
      </c>
      <c r="V493" s="18" t="s">
        <v>3</v>
      </c>
      <c r="W493" s="12">
        <v>930</v>
      </c>
      <c r="X493" s="12" t="s">
        <v>208</v>
      </c>
    </row>
  </sheetData>
  <mergeCells count="2">
    <mergeCell ref="A1:X1"/>
    <mergeCell ref="A2:X2"/>
  </mergeCells>
  <conditionalFormatting sqref="U5:U493">
    <cfRule type="cellIs" dxfId="2" priority="1" stopIfTrue="1" operator="equal">
      <formula>"PÄrbaudÄ«t"</formula>
    </cfRule>
  </conditionalFormatting>
  <conditionalFormatting sqref="T5:T493">
    <cfRule type="cellIs" dxfId="1" priority="2" stopIfTrue="1" operator="equal">
      <formula>"Zema"</formula>
    </cfRule>
    <cfRule type="cellIs" dxfId="0" priority="3" stopIfTrue="1" operator="equal">
      <formula>"Augsta"</formula>
    </cfRule>
  </conditionalFormatting>
  <dataValidations count="1">
    <dataValidation type="list" allowBlank="1" showInputMessage="1" showErrorMessage="1" sqref="X5:X493" xr:uid="{3EE449FA-C1F5-463C-8DED-DDCB9FCCF578}">
      <mc:AlternateContent xmlns:x12ac="http://schemas.microsoft.com/office/spreadsheetml/2011/1/ac" xmlns:mc="http://schemas.openxmlformats.org/markup-compatibility/2006">
        <mc:Choice Requires="x12ac">
          <x12ac:list>"IekÄ¼aut,PÄrskatÄ«t,IzslÄ“gt"</x12ac:list>
        </mc:Choice>
        <mc:Fallback>
          <formula1>"IekÄ¼aut,PÄrskatÄ«t,IzslÄ“gt"</formula1>
        </mc:Fallback>
      </mc:AlternateContent>
    </dataValidation>
  </dataValidations>
  <pageMargins left="0.25" right="0.25" top="0.35" bottom="0.35" header="0.3" footer="0.3"/>
  <pageSetup scale="25" fitToHeight="0" orientation="landscape" r:id="rId1"/>
  <ignoredErrors>
    <ignoredError sqref="A1:X4 A5:W49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13"/>
  <sheetViews>
    <sheetView showGridLines="0" workbookViewId="0">
      <pane ySplit="4" topLeftCell="A5" activePane="bottomLeft" state="frozenSplit"/>
      <selection pane="bottomLeft" sqref="A1:K24"/>
    </sheetView>
  </sheetViews>
  <sheetFormatPr defaultRowHeight="13.5" x14ac:dyDescent="0.25"/>
  <cols>
    <col min="1" max="1" width="17.875" style="1" customWidth="1"/>
    <col min="2" max="2" width="13.875" style="1" customWidth="1"/>
    <col min="3" max="3" width="28.875" style="1" customWidth="1"/>
    <col min="4" max="4" width="25.875" style="1" customWidth="1"/>
    <col min="5" max="5" width="12.875" style="1" customWidth="1"/>
    <col min="6" max="6" width="13.875" style="1" customWidth="1"/>
    <col min="7" max="7" width="44.625" style="19" customWidth="1"/>
    <col min="8" max="8" width="28.875" style="19" customWidth="1"/>
    <col min="9" max="9" width="36.875" style="19" customWidth="1"/>
    <col min="10" max="10" width="60.625" style="19" customWidth="1"/>
    <col min="11" max="11" width="16.875" style="1" customWidth="1"/>
    <col min="12" max="16384" width="9" style="1"/>
  </cols>
  <sheetData>
    <row r="1" spans="1:11" ht="30" customHeight="1" x14ac:dyDescent="0.25">
      <c r="A1" s="4" t="s">
        <v>1903</v>
      </c>
      <c r="B1" s="4"/>
      <c r="C1" s="4"/>
      <c r="D1" s="4"/>
      <c r="E1" s="4"/>
      <c r="F1" s="4"/>
      <c r="G1" s="4"/>
      <c r="H1" s="4"/>
      <c r="I1" s="4"/>
      <c r="J1" s="4"/>
      <c r="K1" s="4"/>
    </row>
    <row r="2" spans="1:11" ht="24" customHeight="1" x14ac:dyDescent="0.25">
      <c r="A2" s="5" t="s">
        <v>1904</v>
      </c>
      <c r="B2" s="5"/>
      <c r="C2" s="5"/>
      <c r="D2" s="5"/>
      <c r="E2" s="5"/>
      <c r="F2" s="5"/>
      <c r="G2" s="5"/>
      <c r="H2" s="5"/>
      <c r="I2" s="5"/>
      <c r="J2" s="5"/>
      <c r="K2" s="5"/>
    </row>
    <row r="3" spans="1:11" x14ac:dyDescent="0.25">
      <c r="A3" s="6"/>
      <c r="B3" s="6"/>
      <c r="C3" s="6"/>
      <c r="D3" s="6"/>
      <c r="E3" s="6"/>
      <c r="F3" s="6"/>
      <c r="G3" s="17"/>
      <c r="H3" s="17"/>
      <c r="I3" s="17"/>
      <c r="J3" s="17"/>
      <c r="K3" s="6"/>
    </row>
    <row r="4" spans="1:11" ht="32.1" customHeight="1" x14ac:dyDescent="0.25">
      <c r="A4" s="13" t="s">
        <v>179</v>
      </c>
      <c r="B4" s="13" t="s">
        <v>180</v>
      </c>
      <c r="C4" s="13" t="s">
        <v>29</v>
      </c>
      <c r="D4" s="13" t="s">
        <v>185</v>
      </c>
      <c r="E4" s="13" t="s">
        <v>186</v>
      </c>
      <c r="F4" s="13" t="s">
        <v>23</v>
      </c>
      <c r="G4" s="13" t="s">
        <v>1905</v>
      </c>
      <c r="H4" s="13" t="s">
        <v>195</v>
      </c>
      <c r="I4" s="13" t="s">
        <v>1906</v>
      </c>
      <c r="J4" s="13" t="s">
        <v>197</v>
      </c>
      <c r="K4" s="13" t="s">
        <v>201</v>
      </c>
    </row>
    <row r="5" spans="1:11" ht="54" x14ac:dyDescent="0.25">
      <c r="A5" s="20" t="s">
        <v>216</v>
      </c>
      <c r="B5" s="21">
        <v>46028</v>
      </c>
      <c r="C5" s="20" t="s">
        <v>75</v>
      </c>
      <c r="D5" s="20" t="s">
        <v>218</v>
      </c>
      <c r="E5" s="20"/>
      <c r="F5" s="20" t="s">
        <v>25</v>
      </c>
      <c r="G5" s="22" t="s">
        <v>223</v>
      </c>
      <c r="H5" s="22" t="s">
        <v>220</v>
      </c>
      <c r="I5" s="22" t="s">
        <v>3</v>
      </c>
      <c r="J5" s="22" t="s">
        <v>221</v>
      </c>
      <c r="K5" s="20" t="s">
        <v>224</v>
      </c>
    </row>
    <row r="6" spans="1:11" ht="54" x14ac:dyDescent="0.25">
      <c r="A6" s="20" t="s">
        <v>234</v>
      </c>
      <c r="B6" s="21">
        <v>46029</v>
      </c>
      <c r="C6" s="20" t="s">
        <v>59</v>
      </c>
      <c r="D6" s="20" t="s">
        <v>236</v>
      </c>
      <c r="E6" s="23">
        <v>240</v>
      </c>
      <c r="F6" s="20" t="s">
        <v>25</v>
      </c>
      <c r="G6" s="22" t="s">
        <v>238</v>
      </c>
      <c r="H6" s="22" t="s">
        <v>211</v>
      </c>
      <c r="I6" s="22" t="s">
        <v>3</v>
      </c>
      <c r="J6" s="22" t="s">
        <v>237</v>
      </c>
      <c r="K6" s="20" t="s">
        <v>224</v>
      </c>
    </row>
    <row r="7" spans="1:11" x14ac:dyDescent="0.25">
      <c r="A7" s="20" t="s">
        <v>260</v>
      </c>
      <c r="B7" s="21">
        <v>46036</v>
      </c>
      <c r="C7" s="20" t="s">
        <v>56</v>
      </c>
      <c r="D7" s="20" t="s">
        <v>263</v>
      </c>
      <c r="E7" s="23">
        <v>120</v>
      </c>
      <c r="F7" s="20" t="s">
        <v>25</v>
      </c>
      <c r="G7" s="22" t="s">
        <v>267</v>
      </c>
      <c r="H7" s="22" t="s">
        <v>265</v>
      </c>
      <c r="I7" s="22" t="s">
        <v>3</v>
      </c>
      <c r="J7" s="22" t="s">
        <v>266</v>
      </c>
      <c r="K7" s="20" t="s">
        <v>224</v>
      </c>
    </row>
    <row r="8" spans="1:11" ht="67.5" x14ac:dyDescent="0.25">
      <c r="A8" s="20" t="s">
        <v>300</v>
      </c>
      <c r="B8" s="21">
        <v>46045</v>
      </c>
      <c r="C8" s="20" t="s">
        <v>38</v>
      </c>
      <c r="D8" s="20" t="s">
        <v>236</v>
      </c>
      <c r="E8" s="23">
        <v>160</v>
      </c>
      <c r="F8" s="20" t="s">
        <v>25</v>
      </c>
      <c r="G8" s="22" t="s">
        <v>304</v>
      </c>
      <c r="H8" s="22" t="s">
        <v>211</v>
      </c>
      <c r="I8" s="22" t="s">
        <v>302</v>
      </c>
      <c r="J8" s="22" t="s">
        <v>303</v>
      </c>
      <c r="K8" s="20" t="s">
        <v>224</v>
      </c>
    </row>
    <row r="9" spans="1:11" ht="54" x14ac:dyDescent="0.25">
      <c r="A9" s="20" t="s">
        <v>308</v>
      </c>
      <c r="B9" s="21">
        <v>46045</v>
      </c>
      <c r="C9" s="20" t="s">
        <v>53</v>
      </c>
      <c r="D9" s="20" t="s">
        <v>204</v>
      </c>
      <c r="E9" s="20"/>
      <c r="F9" s="20" t="s">
        <v>25</v>
      </c>
      <c r="G9" s="22" t="s">
        <v>223</v>
      </c>
      <c r="H9" s="22" t="s">
        <v>205</v>
      </c>
      <c r="I9" s="22" t="s">
        <v>3</v>
      </c>
      <c r="J9" s="22" t="s">
        <v>310</v>
      </c>
      <c r="K9" s="20" t="s">
        <v>224</v>
      </c>
    </row>
    <row r="10" spans="1:11" ht="40.5" x14ac:dyDescent="0.25">
      <c r="A10" s="20" t="s">
        <v>327</v>
      </c>
      <c r="B10" s="21">
        <v>46050</v>
      </c>
      <c r="C10" s="20" t="s">
        <v>91</v>
      </c>
      <c r="D10" s="20" t="s">
        <v>204</v>
      </c>
      <c r="E10" s="20"/>
      <c r="F10" s="20" t="s">
        <v>25</v>
      </c>
      <c r="G10" s="22" t="s">
        <v>223</v>
      </c>
      <c r="H10" s="22" t="s">
        <v>205</v>
      </c>
      <c r="I10" s="22" t="s">
        <v>3</v>
      </c>
      <c r="J10" s="22" t="s">
        <v>329</v>
      </c>
      <c r="K10" s="20" t="s">
        <v>224</v>
      </c>
    </row>
    <row r="11" spans="1:11" ht="54" x14ac:dyDescent="0.25">
      <c r="A11" s="20" t="s">
        <v>346</v>
      </c>
      <c r="B11" s="21">
        <v>46055</v>
      </c>
      <c r="C11" s="20" t="s">
        <v>38</v>
      </c>
      <c r="D11" s="20" t="s">
        <v>263</v>
      </c>
      <c r="E11" s="23">
        <v>203</v>
      </c>
      <c r="F11" s="20" t="s">
        <v>25</v>
      </c>
      <c r="G11" s="22" t="s">
        <v>267</v>
      </c>
      <c r="H11" s="22" t="s">
        <v>205</v>
      </c>
      <c r="I11" s="22" t="s">
        <v>3</v>
      </c>
      <c r="J11" s="22" t="s">
        <v>348</v>
      </c>
      <c r="K11" s="20" t="s">
        <v>224</v>
      </c>
    </row>
    <row r="12" spans="1:11" ht="54" x14ac:dyDescent="0.25">
      <c r="A12" s="20" t="s">
        <v>349</v>
      </c>
      <c r="B12" s="21">
        <v>46056</v>
      </c>
      <c r="C12" s="20" t="s">
        <v>38</v>
      </c>
      <c r="D12" s="20" t="s">
        <v>204</v>
      </c>
      <c r="E12" s="23">
        <v>343</v>
      </c>
      <c r="F12" s="20" t="s">
        <v>25</v>
      </c>
      <c r="G12" s="22" t="s">
        <v>353</v>
      </c>
      <c r="H12" s="22" t="s">
        <v>205</v>
      </c>
      <c r="I12" s="22" t="s">
        <v>351</v>
      </c>
      <c r="J12" s="22" t="s">
        <v>352</v>
      </c>
      <c r="K12" s="20" t="s">
        <v>224</v>
      </c>
    </row>
    <row r="13" spans="1:11" ht="54" x14ac:dyDescent="0.25">
      <c r="A13" s="20" t="s">
        <v>354</v>
      </c>
      <c r="B13" s="21">
        <v>46056</v>
      </c>
      <c r="C13" s="20" t="s">
        <v>72</v>
      </c>
      <c r="D13" s="20" t="s">
        <v>204</v>
      </c>
      <c r="E13" s="23">
        <v>90</v>
      </c>
      <c r="F13" s="20" t="s">
        <v>25</v>
      </c>
      <c r="G13" s="22" t="s">
        <v>357</v>
      </c>
      <c r="H13" s="22" t="s">
        <v>205</v>
      </c>
      <c r="I13" s="22" t="s">
        <v>3</v>
      </c>
      <c r="J13" s="22" t="s">
        <v>356</v>
      </c>
      <c r="K13" s="20" t="s">
        <v>224</v>
      </c>
    </row>
    <row r="14" spans="1:11" ht="67.5" x14ac:dyDescent="0.25">
      <c r="A14" s="20" t="s">
        <v>361</v>
      </c>
      <c r="B14" s="21">
        <v>46057</v>
      </c>
      <c r="C14" s="20" t="s">
        <v>40</v>
      </c>
      <c r="D14" s="20" t="s">
        <v>204</v>
      </c>
      <c r="E14" s="23">
        <v>249</v>
      </c>
      <c r="F14" s="20" t="s">
        <v>25</v>
      </c>
      <c r="G14" s="22" t="s">
        <v>353</v>
      </c>
      <c r="H14" s="22" t="s">
        <v>211</v>
      </c>
      <c r="I14" s="22" t="s">
        <v>363</v>
      </c>
      <c r="J14" s="22" t="s">
        <v>364</v>
      </c>
      <c r="K14" s="20" t="s">
        <v>224</v>
      </c>
    </row>
    <row r="15" spans="1:11" ht="67.5" x14ac:dyDescent="0.25">
      <c r="A15" s="20" t="s">
        <v>365</v>
      </c>
      <c r="B15" s="21">
        <v>46057</v>
      </c>
      <c r="C15" s="20" t="s">
        <v>40</v>
      </c>
      <c r="D15" s="20" t="s">
        <v>204</v>
      </c>
      <c r="E15" s="23">
        <v>249</v>
      </c>
      <c r="F15" s="20" t="s">
        <v>25</v>
      </c>
      <c r="G15" s="22" t="s">
        <v>369</v>
      </c>
      <c r="H15" s="22" t="s">
        <v>211</v>
      </c>
      <c r="I15" s="22" t="s">
        <v>367</v>
      </c>
      <c r="J15" s="22" t="s">
        <v>368</v>
      </c>
      <c r="K15" s="20" t="s">
        <v>224</v>
      </c>
    </row>
    <row r="16" spans="1:11" ht="54" x14ac:dyDescent="0.25">
      <c r="A16" s="20" t="s">
        <v>377</v>
      </c>
      <c r="B16" s="21">
        <v>46058</v>
      </c>
      <c r="C16" s="20" t="s">
        <v>122</v>
      </c>
      <c r="D16" s="20" t="s">
        <v>263</v>
      </c>
      <c r="E16" s="23">
        <v>59</v>
      </c>
      <c r="F16" s="20" t="s">
        <v>25</v>
      </c>
      <c r="G16" s="22" t="s">
        <v>267</v>
      </c>
      <c r="H16" s="22" t="s">
        <v>205</v>
      </c>
      <c r="I16" s="22" t="s">
        <v>3</v>
      </c>
      <c r="J16" s="22" t="s">
        <v>379</v>
      </c>
      <c r="K16" s="20" t="s">
        <v>224</v>
      </c>
    </row>
    <row r="17" spans="1:11" ht="67.5" x14ac:dyDescent="0.25">
      <c r="A17" s="20" t="s">
        <v>400</v>
      </c>
      <c r="B17" s="21">
        <v>46060</v>
      </c>
      <c r="C17" s="20" t="s">
        <v>38</v>
      </c>
      <c r="D17" s="20" t="s">
        <v>236</v>
      </c>
      <c r="E17" s="23">
        <v>195</v>
      </c>
      <c r="F17" s="20" t="s">
        <v>25</v>
      </c>
      <c r="G17" s="22" t="s">
        <v>404</v>
      </c>
      <c r="H17" s="22" t="s">
        <v>313</v>
      </c>
      <c r="I17" s="22" t="s">
        <v>402</v>
      </c>
      <c r="J17" s="22" t="s">
        <v>403</v>
      </c>
      <c r="K17" s="20" t="s">
        <v>224</v>
      </c>
    </row>
    <row r="18" spans="1:11" ht="54" x14ac:dyDescent="0.25">
      <c r="A18" s="20" t="s">
        <v>416</v>
      </c>
      <c r="B18" s="21">
        <v>46063</v>
      </c>
      <c r="C18" s="20" t="s">
        <v>73</v>
      </c>
      <c r="D18" s="20" t="s">
        <v>263</v>
      </c>
      <c r="E18" s="23">
        <v>384</v>
      </c>
      <c r="F18" s="20" t="s">
        <v>25</v>
      </c>
      <c r="G18" s="22" t="s">
        <v>267</v>
      </c>
      <c r="H18" s="22" t="s">
        <v>205</v>
      </c>
      <c r="I18" s="22" t="s">
        <v>3</v>
      </c>
      <c r="J18" s="22" t="s">
        <v>418</v>
      </c>
      <c r="K18" s="20" t="s">
        <v>224</v>
      </c>
    </row>
    <row r="19" spans="1:11" ht="54" x14ac:dyDescent="0.25">
      <c r="A19" s="20" t="s">
        <v>423</v>
      </c>
      <c r="B19" s="21">
        <v>46063</v>
      </c>
      <c r="C19" s="20" t="s">
        <v>40</v>
      </c>
      <c r="D19" s="20" t="s">
        <v>236</v>
      </c>
      <c r="E19" s="23">
        <v>172</v>
      </c>
      <c r="F19" s="20" t="s">
        <v>25</v>
      </c>
      <c r="G19" s="22" t="s">
        <v>427</v>
      </c>
      <c r="H19" s="22" t="s">
        <v>211</v>
      </c>
      <c r="I19" s="22" t="s">
        <v>425</v>
      </c>
      <c r="J19" s="22" t="s">
        <v>426</v>
      </c>
      <c r="K19" s="20" t="s">
        <v>224</v>
      </c>
    </row>
    <row r="20" spans="1:11" ht="54" x14ac:dyDescent="0.25">
      <c r="A20" s="20" t="s">
        <v>428</v>
      </c>
      <c r="B20" s="21">
        <v>46063</v>
      </c>
      <c r="C20" s="20" t="s">
        <v>159</v>
      </c>
      <c r="D20" s="20" t="s">
        <v>263</v>
      </c>
      <c r="E20" s="23">
        <v>175</v>
      </c>
      <c r="F20" s="20" t="s">
        <v>25</v>
      </c>
      <c r="G20" s="22" t="s">
        <v>267</v>
      </c>
      <c r="H20" s="22" t="s">
        <v>313</v>
      </c>
      <c r="I20" s="22" t="s">
        <v>3</v>
      </c>
      <c r="J20" s="22" t="s">
        <v>430</v>
      </c>
      <c r="K20" s="20" t="s">
        <v>224</v>
      </c>
    </row>
    <row r="21" spans="1:11" ht="54" x14ac:dyDescent="0.25">
      <c r="A21" s="20" t="s">
        <v>435</v>
      </c>
      <c r="B21" s="21">
        <v>46064</v>
      </c>
      <c r="C21" s="20" t="s">
        <v>73</v>
      </c>
      <c r="D21" s="20" t="s">
        <v>263</v>
      </c>
      <c r="E21" s="23">
        <v>345</v>
      </c>
      <c r="F21" s="20" t="s">
        <v>25</v>
      </c>
      <c r="G21" s="22" t="s">
        <v>267</v>
      </c>
      <c r="H21" s="22" t="s">
        <v>205</v>
      </c>
      <c r="I21" s="22" t="s">
        <v>3</v>
      </c>
      <c r="J21" s="22" t="s">
        <v>437</v>
      </c>
      <c r="K21" s="20" t="s">
        <v>224</v>
      </c>
    </row>
    <row r="22" spans="1:11" ht="54" x14ac:dyDescent="0.25">
      <c r="A22" s="20" t="s">
        <v>442</v>
      </c>
      <c r="B22" s="21">
        <v>46064</v>
      </c>
      <c r="C22" s="20" t="s">
        <v>40</v>
      </c>
      <c r="D22" s="20" t="s">
        <v>236</v>
      </c>
      <c r="E22" s="23">
        <v>232</v>
      </c>
      <c r="F22" s="20" t="s">
        <v>25</v>
      </c>
      <c r="G22" s="22" t="s">
        <v>446</v>
      </c>
      <c r="H22" s="22" t="s">
        <v>211</v>
      </c>
      <c r="I22" s="22" t="s">
        <v>444</v>
      </c>
      <c r="J22" s="22" t="s">
        <v>445</v>
      </c>
      <c r="K22" s="20" t="s">
        <v>224</v>
      </c>
    </row>
    <row r="23" spans="1:11" ht="67.5" x14ac:dyDescent="0.25">
      <c r="A23" s="20" t="s">
        <v>451</v>
      </c>
      <c r="B23" s="21">
        <v>46065</v>
      </c>
      <c r="C23" s="20" t="s">
        <v>38</v>
      </c>
      <c r="D23" s="20" t="s">
        <v>204</v>
      </c>
      <c r="E23" s="23">
        <v>215</v>
      </c>
      <c r="F23" s="20" t="s">
        <v>25</v>
      </c>
      <c r="G23" s="22" t="s">
        <v>404</v>
      </c>
      <c r="H23" s="22" t="s">
        <v>205</v>
      </c>
      <c r="I23" s="22" t="s">
        <v>454</v>
      </c>
      <c r="J23" s="22" t="s">
        <v>455</v>
      </c>
      <c r="K23" s="20" t="s">
        <v>224</v>
      </c>
    </row>
    <row r="24" spans="1:11" ht="54" x14ac:dyDescent="0.25">
      <c r="A24" s="20" t="s">
        <v>460</v>
      </c>
      <c r="B24" s="21">
        <v>46065</v>
      </c>
      <c r="C24" s="20" t="s">
        <v>40</v>
      </c>
      <c r="D24" s="20" t="s">
        <v>236</v>
      </c>
      <c r="E24" s="23">
        <v>135</v>
      </c>
      <c r="F24" s="20" t="s">
        <v>25</v>
      </c>
      <c r="G24" s="22" t="s">
        <v>464</v>
      </c>
      <c r="H24" s="22" t="s">
        <v>211</v>
      </c>
      <c r="I24" s="22" t="s">
        <v>462</v>
      </c>
      <c r="J24" s="22" t="s">
        <v>463</v>
      </c>
      <c r="K24" s="20" t="s">
        <v>224</v>
      </c>
    </row>
    <row r="25" spans="1:11" ht="27" x14ac:dyDescent="0.25">
      <c r="A25" s="20" t="s">
        <v>465</v>
      </c>
      <c r="B25" s="21">
        <v>46065</v>
      </c>
      <c r="C25" s="20" t="s">
        <v>124</v>
      </c>
      <c r="D25" s="20" t="s">
        <v>263</v>
      </c>
      <c r="E25" s="23">
        <v>427</v>
      </c>
      <c r="F25" s="20" t="s">
        <v>25</v>
      </c>
      <c r="G25" s="22" t="s">
        <v>267</v>
      </c>
      <c r="H25" s="22" t="s">
        <v>468</v>
      </c>
      <c r="I25" s="22" t="s">
        <v>469</v>
      </c>
      <c r="J25" s="22" t="s">
        <v>470</v>
      </c>
      <c r="K25" s="20" t="s">
        <v>224</v>
      </c>
    </row>
    <row r="26" spans="1:11" x14ac:dyDescent="0.25">
      <c r="A26" s="20" t="s">
        <v>471</v>
      </c>
      <c r="B26" s="21">
        <v>46065</v>
      </c>
      <c r="C26" s="20" t="s">
        <v>45</v>
      </c>
      <c r="D26" s="20" t="s">
        <v>263</v>
      </c>
      <c r="E26" s="23">
        <v>427</v>
      </c>
      <c r="F26" s="20" t="s">
        <v>26</v>
      </c>
      <c r="G26" s="22" t="s">
        <v>474</v>
      </c>
      <c r="H26" s="22" t="s">
        <v>468</v>
      </c>
      <c r="I26" s="22" t="s">
        <v>3</v>
      </c>
      <c r="J26" s="22" t="s">
        <v>473</v>
      </c>
      <c r="K26" s="20" t="s">
        <v>224</v>
      </c>
    </row>
    <row r="27" spans="1:11" ht="54" x14ac:dyDescent="0.25">
      <c r="A27" s="20" t="s">
        <v>475</v>
      </c>
      <c r="B27" s="21">
        <v>46066</v>
      </c>
      <c r="C27" s="20" t="s">
        <v>38</v>
      </c>
      <c r="D27" s="20" t="s">
        <v>263</v>
      </c>
      <c r="E27" s="23">
        <v>264</v>
      </c>
      <c r="F27" s="20" t="s">
        <v>25</v>
      </c>
      <c r="G27" s="22" t="s">
        <v>479</v>
      </c>
      <c r="H27" s="22" t="s">
        <v>205</v>
      </c>
      <c r="I27" s="22" t="s">
        <v>477</v>
      </c>
      <c r="J27" s="22" t="s">
        <v>478</v>
      </c>
      <c r="K27" s="20" t="s">
        <v>224</v>
      </c>
    </row>
    <row r="28" spans="1:11" ht="54" x14ac:dyDescent="0.25">
      <c r="A28" s="20" t="s">
        <v>487</v>
      </c>
      <c r="B28" s="21">
        <v>46066</v>
      </c>
      <c r="C28" s="20" t="s">
        <v>47</v>
      </c>
      <c r="D28" s="20" t="s">
        <v>263</v>
      </c>
      <c r="E28" s="23">
        <v>78</v>
      </c>
      <c r="F28" s="20" t="s">
        <v>25</v>
      </c>
      <c r="G28" s="22" t="s">
        <v>267</v>
      </c>
      <c r="H28" s="22" t="s">
        <v>228</v>
      </c>
      <c r="I28" s="22" t="s">
        <v>490</v>
      </c>
      <c r="J28" s="22" t="s">
        <v>491</v>
      </c>
      <c r="K28" s="20" t="s">
        <v>224</v>
      </c>
    </row>
    <row r="29" spans="1:11" ht="40.5" x14ac:dyDescent="0.25">
      <c r="A29" s="20" t="s">
        <v>501</v>
      </c>
      <c r="B29" s="21">
        <v>46067</v>
      </c>
      <c r="C29" s="20" t="s">
        <v>142</v>
      </c>
      <c r="D29" s="20" t="s">
        <v>204</v>
      </c>
      <c r="E29" s="20"/>
      <c r="F29" s="20" t="s">
        <v>25</v>
      </c>
      <c r="G29" s="22" t="s">
        <v>223</v>
      </c>
      <c r="H29" s="22" t="s">
        <v>205</v>
      </c>
      <c r="I29" s="22" t="s">
        <v>3</v>
      </c>
      <c r="J29" s="22" t="s">
        <v>503</v>
      </c>
      <c r="K29" s="20" t="s">
        <v>224</v>
      </c>
    </row>
    <row r="30" spans="1:11" ht="67.5" x14ac:dyDescent="0.25">
      <c r="A30" s="20" t="s">
        <v>518</v>
      </c>
      <c r="B30" s="21">
        <v>46069</v>
      </c>
      <c r="C30" s="20" t="s">
        <v>40</v>
      </c>
      <c r="D30" s="20" t="s">
        <v>236</v>
      </c>
      <c r="E30" s="23">
        <v>207</v>
      </c>
      <c r="F30" s="20" t="s">
        <v>25</v>
      </c>
      <c r="G30" s="22" t="s">
        <v>522</v>
      </c>
      <c r="H30" s="22" t="s">
        <v>211</v>
      </c>
      <c r="I30" s="22" t="s">
        <v>520</v>
      </c>
      <c r="J30" s="22" t="s">
        <v>521</v>
      </c>
      <c r="K30" s="20" t="s">
        <v>224</v>
      </c>
    </row>
    <row r="31" spans="1:11" ht="67.5" x14ac:dyDescent="0.25">
      <c r="A31" s="20" t="s">
        <v>534</v>
      </c>
      <c r="B31" s="21">
        <v>46071</v>
      </c>
      <c r="C31" s="20" t="s">
        <v>40</v>
      </c>
      <c r="D31" s="20" t="s">
        <v>236</v>
      </c>
      <c r="E31" s="23">
        <v>89</v>
      </c>
      <c r="F31" s="20" t="s">
        <v>25</v>
      </c>
      <c r="G31" s="22" t="s">
        <v>538</v>
      </c>
      <c r="H31" s="22" t="s">
        <v>211</v>
      </c>
      <c r="I31" s="22" t="s">
        <v>536</v>
      </c>
      <c r="J31" s="22" t="s">
        <v>537</v>
      </c>
      <c r="K31" s="20" t="s">
        <v>224</v>
      </c>
    </row>
    <row r="32" spans="1:11" ht="67.5" x14ac:dyDescent="0.25">
      <c r="A32" s="20" t="s">
        <v>539</v>
      </c>
      <c r="B32" s="21">
        <v>46071</v>
      </c>
      <c r="C32" s="20" t="s">
        <v>40</v>
      </c>
      <c r="D32" s="20" t="s">
        <v>236</v>
      </c>
      <c r="E32" s="23">
        <v>155</v>
      </c>
      <c r="F32" s="20" t="s">
        <v>25</v>
      </c>
      <c r="G32" s="22" t="s">
        <v>538</v>
      </c>
      <c r="H32" s="22" t="s">
        <v>211</v>
      </c>
      <c r="I32" s="22" t="s">
        <v>536</v>
      </c>
      <c r="J32" s="22" t="s">
        <v>537</v>
      </c>
      <c r="K32" s="20" t="s">
        <v>224</v>
      </c>
    </row>
    <row r="33" spans="1:11" ht="148.5" x14ac:dyDescent="0.25">
      <c r="A33" s="20" t="s">
        <v>540</v>
      </c>
      <c r="B33" s="21">
        <v>46071</v>
      </c>
      <c r="C33" s="20" t="s">
        <v>45</v>
      </c>
      <c r="D33" s="20" t="s">
        <v>204</v>
      </c>
      <c r="E33" s="23">
        <v>330</v>
      </c>
      <c r="F33" s="20" t="s">
        <v>26</v>
      </c>
      <c r="G33" s="22" t="s">
        <v>543</v>
      </c>
      <c r="H33" s="22" t="s">
        <v>205</v>
      </c>
      <c r="I33" s="22" t="s">
        <v>3</v>
      </c>
      <c r="J33" s="22" t="s">
        <v>542</v>
      </c>
      <c r="K33" s="20" t="s">
        <v>224</v>
      </c>
    </row>
    <row r="34" spans="1:11" ht="148.5" x14ac:dyDescent="0.25">
      <c r="A34" s="20" t="s">
        <v>544</v>
      </c>
      <c r="B34" s="21">
        <v>46071</v>
      </c>
      <c r="C34" s="20" t="s">
        <v>45</v>
      </c>
      <c r="D34" s="20" t="s">
        <v>204</v>
      </c>
      <c r="E34" s="23">
        <v>200</v>
      </c>
      <c r="F34" s="20" t="s">
        <v>26</v>
      </c>
      <c r="G34" s="22" t="s">
        <v>543</v>
      </c>
      <c r="H34" s="22" t="s">
        <v>205</v>
      </c>
      <c r="I34" s="22" t="s">
        <v>3</v>
      </c>
      <c r="J34" s="22" t="s">
        <v>542</v>
      </c>
      <c r="K34" s="20" t="s">
        <v>224</v>
      </c>
    </row>
    <row r="35" spans="1:11" ht="148.5" x14ac:dyDescent="0.25">
      <c r="A35" s="20" t="s">
        <v>545</v>
      </c>
      <c r="B35" s="21">
        <v>46071</v>
      </c>
      <c r="C35" s="20" t="s">
        <v>45</v>
      </c>
      <c r="D35" s="20" t="s">
        <v>204</v>
      </c>
      <c r="E35" s="23">
        <v>200</v>
      </c>
      <c r="F35" s="20" t="s">
        <v>26</v>
      </c>
      <c r="G35" s="22" t="s">
        <v>543</v>
      </c>
      <c r="H35" s="22" t="s">
        <v>205</v>
      </c>
      <c r="I35" s="22" t="s">
        <v>3</v>
      </c>
      <c r="J35" s="22" t="s">
        <v>542</v>
      </c>
      <c r="K35" s="20" t="s">
        <v>224</v>
      </c>
    </row>
    <row r="36" spans="1:11" ht="67.5" x14ac:dyDescent="0.25">
      <c r="A36" s="20" t="s">
        <v>557</v>
      </c>
      <c r="B36" s="21">
        <v>46072</v>
      </c>
      <c r="C36" s="20" t="s">
        <v>40</v>
      </c>
      <c r="D36" s="20" t="s">
        <v>236</v>
      </c>
      <c r="E36" s="23">
        <v>150</v>
      </c>
      <c r="F36" s="20" t="s">
        <v>25</v>
      </c>
      <c r="G36" s="22" t="s">
        <v>561</v>
      </c>
      <c r="H36" s="22" t="s">
        <v>211</v>
      </c>
      <c r="I36" s="22" t="s">
        <v>559</v>
      </c>
      <c r="J36" s="22" t="s">
        <v>560</v>
      </c>
      <c r="K36" s="20" t="s">
        <v>224</v>
      </c>
    </row>
    <row r="37" spans="1:11" ht="40.5" x14ac:dyDescent="0.25">
      <c r="A37" s="20" t="s">
        <v>562</v>
      </c>
      <c r="B37" s="21">
        <v>46072</v>
      </c>
      <c r="C37" s="20" t="s">
        <v>45</v>
      </c>
      <c r="D37" s="20" t="s">
        <v>236</v>
      </c>
      <c r="E37" s="23">
        <v>45</v>
      </c>
      <c r="F37" s="20" t="s">
        <v>26</v>
      </c>
      <c r="G37" s="22" t="s">
        <v>543</v>
      </c>
      <c r="H37" s="22" t="s">
        <v>228</v>
      </c>
      <c r="I37" s="22" t="s">
        <v>564</v>
      </c>
      <c r="J37" s="22" t="s">
        <v>565</v>
      </c>
      <c r="K37" s="20" t="s">
        <v>224</v>
      </c>
    </row>
    <row r="38" spans="1:11" ht="40.5" x14ac:dyDescent="0.25">
      <c r="A38" s="20" t="s">
        <v>566</v>
      </c>
      <c r="B38" s="21">
        <v>46072</v>
      </c>
      <c r="C38" s="20" t="s">
        <v>45</v>
      </c>
      <c r="D38" s="20" t="s">
        <v>506</v>
      </c>
      <c r="E38" s="23">
        <v>60</v>
      </c>
      <c r="F38" s="20" t="s">
        <v>26</v>
      </c>
      <c r="G38" s="22" t="s">
        <v>543</v>
      </c>
      <c r="H38" s="22" t="s">
        <v>228</v>
      </c>
      <c r="I38" s="22" t="s">
        <v>564</v>
      </c>
      <c r="J38" s="22" t="s">
        <v>565</v>
      </c>
      <c r="K38" s="20" t="s">
        <v>224</v>
      </c>
    </row>
    <row r="39" spans="1:11" ht="67.5" x14ac:dyDescent="0.25">
      <c r="A39" s="20" t="s">
        <v>575</v>
      </c>
      <c r="B39" s="21">
        <v>46073</v>
      </c>
      <c r="C39" s="20" t="s">
        <v>40</v>
      </c>
      <c r="D39" s="20" t="s">
        <v>236</v>
      </c>
      <c r="E39" s="23">
        <v>190</v>
      </c>
      <c r="F39" s="20" t="s">
        <v>25</v>
      </c>
      <c r="G39" s="22" t="s">
        <v>579</v>
      </c>
      <c r="H39" s="22" t="s">
        <v>211</v>
      </c>
      <c r="I39" s="22" t="s">
        <v>577</v>
      </c>
      <c r="J39" s="22" t="s">
        <v>578</v>
      </c>
      <c r="K39" s="20" t="s">
        <v>224</v>
      </c>
    </row>
    <row r="40" spans="1:11" ht="54" x14ac:dyDescent="0.25">
      <c r="A40" s="20" t="s">
        <v>580</v>
      </c>
      <c r="B40" s="21">
        <v>46073</v>
      </c>
      <c r="C40" s="20" t="s">
        <v>45</v>
      </c>
      <c r="D40" s="20" t="s">
        <v>236</v>
      </c>
      <c r="E40" s="23">
        <v>60</v>
      </c>
      <c r="F40" s="20" t="s">
        <v>26</v>
      </c>
      <c r="G40" s="22" t="s">
        <v>543</v>
      </c>
      <c r="H40" s="22" t="s">
        <v>228</v>
      </c>
      <c r="I40" s="22" t="s">
        <v>582</v>
      </c>
      <c r="J40" s="22" t="s">
        <v>583</v>
      </c>
      <c r="K40" s="20" t="s">
        <v>224</v>
      </c>
    </row>
    <row r="41" spans="1:11" ht="54" x14ac:dyDescent="0.25">
      <c r="A41" s="20" t="s">
        <v>584</v>
      </c>
      <c r="B41" s="21">
        <v>46073</v>
      </c>
      <c r="C41" s="20" t="s">
        <v>45</v>
      </c>
      <c r="D41" s="20" t="s">
        <v>236</v>
      </c>
      <c r="E41" s="23">
        <v>15</v>
      </c>
      <c r="F41" s="20" t="s">
        <v>26</v>
      </c>
      <c r="G41" s="22" t="s">
        <v>543</v>
      </c>
      <c r="H41" s="22" t="s">
        <v>228</v>
      </c>
      <c r="I41" s="22" t="s">
        <v>582</v>
      </c>
      <c r="J41" s="22" t="s">
        <v>583</v>
      </c>
      <c r="K41" s="20" t="s">
        <v>224</v>
      </c>
    </row>
    <row r="42" spans="1:11" ht="54" x14ac:dyDescent="0.25">
      <c r="A42" s="20" t="s">
        <v>585</v>
      </c>
      <c r="B42" s="21">
        <v>46073</v>
      </c>
      <c r="C42" s="20" t="s">
        <v>45</v>
      </c>
      <c r="D42" s="20" t="s">
        <v>506</v>
      </c>
      <c r="E42" s="23">
        <v>38</v>
      </c>
      <c r="F42" s="20" t="s">
        <v>26</v>
      </c>
      <c r="G42" s="22" t="s">
        <v>543</v>
      </c>
      <c r="H42" s="22" t="s">
        <v>228</v>
      </c>
      <c r="I42" s="22" t="s">
        <v>582</v>
      </c>
      <c r="J42" s="22" t="s">
        <v>583</v>
      </c>
      <c r="K42" s="20" t="s">
        <v>224</v>
      </c>
    </row>
    <row r="43" spans="1:11" ht="27" x14ac:dyDescent="0.25">
      <c r="A43" s="20" t="s">
        <v>594</v>
      </c>
      <c r="B43" s="21">
        <v>46074</v>
      </c>
      <c r="C43" s="20" t="s">
        <v>45</v>
      </c>
      <c r="D43" s="20" t="s">
        <v>236</v>
      </c>
      <c r="E43" s="23">
        <v>108</v>
      </c>
      <c r="F43" s="20" t="s">
        <v>26</v>
      </c>
      <c r="G43" s="22" t="s">
        <v>543</v>
      </c>
      <c r="H43" s="22" t="s">
        <v>228</v>
      </c>
      <c r="I43" s="22" t="s">
        <v>596</v>
      </c>
      <c r="J43" s="22" t="s">
        <v>597</v>
      </c>
      <c r="K43" s="20" t="s">
        <v>224</v>
      </c>
    </row>
    <row r="44" spans="1:11" ht="54" x14ac:dyDescent="0.25">
      <c r="A44" s="20" t="s">
        <v>598</v>
      </c>
      <c r="B44" s="21">
        <v>46074</v>
      </c>
      <c r="C44" s="20" t="s">
        <v>55</v>
      </c>
      <c r="D44" s="20" t="s">
        <v>204</v>
      </c>
      <c r="E44" s="23">
        <v>360</v>
      </c>
      <c r="F44" s="20" t="s">
        <v>25</v>
      </c>
      <c r="G44" s="22" t="s">
        <v>601</v>
      </c>
      <c r="H44" s="22" t="s">
        <v>205</v>
      </c>
      <c r="I44" s="22" t="s">
        <v>3</v>
      </c>
      <c r="J44" s="22" t="s">
        <v>600</v>
      </c>
      <c r="K44" s="20" t="s">
        <v>224</v>
      </c>
    </row>
    <row r="45" spans="1:11" ht="67.5" x14ac:dyDescent="0.25">
      <c r="A45" s="20" t="s">
        <v>610</v>
      </c>
      <c r="B45" s="21">
        <v>46076</v>
      </c>
      <c r="C45" s="20" t="s">
        <v>40</v>
      </c>
      <c r="D45" s="20" t="s">
        <v>236</v>
      </c>
      <c r="E45" s="23">
        <v>208</v>
      </c>
      <c r="F45" s="20" t="s">
        <v>25</v>
      </c>
      <c r="G45" s="22" t="s">
        <v>614</v>
      </c>
      <c r="H45" s="22" t="s">
        <v>211</v>
      </c>
      <c r="I45" s="22" t="s">
        <v>612</v>
      </c>
      <c r="J45" s="22" t="s">
        <v>613</v>
      </c>
      <c r="K45" s="20" t="s">
        <v>224</v>
      </c>
    </row>
    <row r="46" spans="1:11" ht="54" x14ac:dyDescent="0.25">
      <c r="A46" s="20" t="s">
        <v>615</v>
      </c>
      <c r="B46" s="21">
        <v>46076</v>
      </c>
      <c r="C46" s="20" t="s">
        <v>40</v>
      </c>
      <c r="D46" s="20" t="s">
        <v>204</v>
      </c>
      <c r="E46" s="23">
        <v>376</v>
      </c>
      <c r="F46" s="20" t="s">
        <v>25</v>
      </c>
      <c r="G46" s="22" t="s">
        <v>404</v>
      </c>
      <c r="H46" s="22" t="s">
        <v>205</v>
      </c>
      <c r="I46" s="22" t="s">
        <v>617</v>
      </c>
      <c r="J46" s="22" t="s">
        <v>618</v>
      </c>
      <c r="K46" s="20" t="s">
        <v>224</v>
      </c>
    </row>
    <row r="47" spans="1:11" x14ac:dyDescent="0.25">
      <c r="A47" s="20" t="s">
        <v>619</v>
      </c>
      <c r="B47" s="21">
        <v>46076</v>
      </c>
      <c r="C47" s="20" t="s">
        <v>45</v>
      </c>
      <c r="D47" s="20" t="s">
        <v>204</v>
      </c>
      <c r="E47" s="23">
        <v>270</v>
      </c>
      <c r="F47" s="20" t="s">
        <v>26</v>
      </c>
      <c r="G47" s="22" t="s">
        <v>543</v>
      </c>
      <c r="H47" s="22" t="s">
        <v>228</v>
      </c>
      <c r="I47" s="22" t="s">
        <v>621</v>
      </c>
      <c r="J47" s="22" t="s">
        <v>622</v>
      </c>
      <c r="K47" s="20" t="s">
        <v>224</v>
      </c>
    </row>
    <row r="48" spans="1:11" ht="67.5" x14ac:dyDescent="0.25">
      <c r="A48" s="20" t="s">
        <v>643</v>
      </c>
      <c r="B48" s="21">
        <v>46077</v>
      </c>
      <c r="C48" s="20" t="s">
        <v>40</v>
      </c>
      <c r="D48" s="20" t="s">
        <v>236</v>
      </c>
      <c r="E48" s="23">
        <v>190</v>
      </c>
      <c r="F48" s="20" t="s">
        <v>25</v>
      </c>
      <c r="G48" s="22" t="s">
        <v>647</v>
      </c>
      <c r="H48" s="22" t="s">
        <v>211</v>
      </c>
      <c r="I48" s="22" t="s">
        <v>645</v>
      </c>
      <c r="J48" s="22" t="s">
        <v>646</v>
      </c>
      <c r="K48" s="20" t="s">
        <v>224</v>
      </c>
    </row>
    <row r="49" spans="1:11" ht="54" x14ac:dyDescent="0.25">
      <c r="A49" s="20" t="s">
        <v>653</v>
      </c>
      <c r="B49" s="21">
        <v>46078</v>
      </c>
      <c r="C49" s="20" t="s">
        <v>38</v>
      </c>
      <c r="D49" s="20" t="s">
        <v>263</v>
      </c>
      <c r="E49" s="23">
        <v>574</v>
      </c>
      <c r="F49" s="20" t="s">
        <v>25</v>
      </c>
      <c r="G49" s="22" t="s">
        <v>657</v>
      </c>
      <c r="H49" s="22" t="s">
        <v>205</v>
      </c>
      <c r="I49" s="22" t="s">
        <v>655</v>
      </c>
      <c r="J49" s="22" t="s">
        <v>656</v>
      </c>
      <c r="K49" s="20" t="s">
        <v>224</v>
      </c>
    </row>
    <row r="50" spans="1:11" ht="67.5" x14ac:dyDescent="0.25">
      <c r="A50" s="20" t="s">
        <v>658</v>
      </c>
      <c r="B50" s="21">
        <v>46078</v>
      </c>
      <c r="C50" s="20" t="s">
        <v>38</v>
      </c>
      <c r="D50" s="20" t="s">
        <v>236</v>
      </c>
      <c r="E50" s="23">
        <v>260</v>
      </c>
      <c r="F50" s="20" t="s">
        <v>25</v>
      </c>
      <c r="G50" s="22" t="s">
        <v>404</v>
      </c>
      <c r="H50" s="22" t="s">
        <v>313</v>
      </c>
      <c r="I50" s="22" t="s">
        <v>660</v>
      </c>
      <c r="J50" s="22" t="s">
        <v>661</v>
      </c>
      <c r="K50" s="20" t="s">
        <v>224</v>
      </c>
    </row>
    <row r="51" spans="1:11" ht="67.5" x14ac:dyDescent="0.25">
      <c r="A51" s="20" t="s">
        <v>666</v>
      </c>
      <c r="B51" s="21">
        <v>46078</v>
      </c>
      <c r="C51" s="20" t="s">
        <v>40</v>
      </c>
      <c r="D51" s="20" t="s">
        <v>236</v>
      </c>
      <c r="E51" s="23">
        <v>110</v>
      </c>
      <c r="F51" s="20" t="s">
        <v>25</v>
      </c>
      <c r="G51" s="22" t="s">
        <v>670</v>
      </c>
      <c r="H51" s="22" t="s">
        <v>211</v>
      </c>
      <c r="I51" s="22" t="s">
        <v>668</v>
      </c>
      <c r="J51" s="22" t="s">
        <v>669</v>
      </c>
      <c r="K51" s="20" t="s">
        <v>224</v>
      </c>
    </row>
    <row r="52" spans="1:11" ht="40.5" x14ac:dyDescent="0.25">
      <c r="A52" s="20" t="s">
        <v>671</v>
      </c>
      <c r="B52" s="21">
        <v>46078</v>
      </c>
      <c r="C52" s="20" t="s">
        <v>45</v>
      </c>
      <c r="D52" s="20" t="s">
        <v>236</v>
      </c>
      <c r="E52" s="23">
        <v>157</v>
      </c>
      <c r="F52" s="20" t="s">
        <v>26</v>
      </c>
      <c r="G52" s="22" t="s">
        <v>543</v>
      </c>
      <c r="H52" s="22" t="s">
        <v>673</v>
      </c>
      <c r="I52" s="22" t="s">
        <v>674</v>
      </c>
      <c r="J52" s="22" t="s">
        <v>675</v>
      </c>
      <c r="K52" s="20" t="s">
        <v>224</v>
      </c>
    </row>
    <row r="53" spans="1:11" ht="40.5" x14ac:dyDescent="0.25">
      <c r="A53" s="20" t="s">
        <v>695</v>
      </c>
      <c r="B53" s="21">
        <v>46080</v>
      </c>
      <c r="C53" s="20" t="s">
        <v>45</v>
      </c>
      <c r="D53" s="20" t="s">
        <v>204</v>
      </c>
      <c r="E53" s="23">
        <v>217</v>
      </c>
      <c r="F53" s="20" t="s">
        <v>26</v>
      </c>
      <c r="G53" s="22" t="s">
        <v>699</v>
      </c>
      <c r="H53" s="22" t="s">
        <v>205</v>
      </c>
      <c r="I53" s="22" t="s">
        <v>697</v>
      </c>
      <c r="J53" s="22" t="s">
        <v>698</v>
      </c>
      <c r="K53" s="20" t="s">
        <v>224</v>
      </c>
    </row>
    <row r="54" spans="1:11" ht="40.5" x14ac:dyDescent="0.25">
      <c r="A54" s="20" t="s">
        <v>700</v>
      </c>
      <c r="B54" s="21">
        <v>46080</v>
      </c>
      <c r="C54" s="20" t="s">
        <v>45</v>
      </c>
      <c r="D54" s="20" t="s">
        <v>263</v>
      </c>
      <c r="E54" s="23">
        <v>73</v>
      </c>
      <c r="F54" s="20" t="s">
        <v>26</v>
      </c>
      <c r="G54" s="22" t="s">
        <v>474</v>
      </c>
      <c r="H54" s="22" t="s">
        <v>673</v>
      </c>
      <c r="I54" s="22" t="s">
        <v>702</v>
      </c>
      <c r="J54" s="22" t="s">
        <v>703</v>
      </c>
      <c r="K54" s="20" t="s">
        <v>224</v>
      </c>
    </row>
    <row r="55" spans="1:11" ht="67.5" x14ac:dyDescent="0.25">
      <c r="A55" s="20" t="s">
        <v>713</v>
      </c>
      <c r="B55" s="21">
        <v>46081</v>
      </c>
      <c r="C55" s="20" t="s">
        <v>38</v>
      </c>
      <c r="D55" s="20" t="s">
        <v>236</v>
      </c>
      <c r="E55" s="23">
        <v>274</v>
      </c>
      <c r="F55" s="20" t="s">
        <v>25</v>
      </c>
      <c r="G55" s="22" t="s">
        <v>404</v>
      </c>
      <c r="H55" s="22" t="s">
        <v>313</v>
      </c>
      <c r="I55" s="22" t="s">
        <v>715</v>
      </c>
      <c r="J55" s="22" t="s">
        <v>716</v>
      </c>
      <c r="K55" s="20" t="s">
        <v>224</v>
      </c>
    </row>
    <row r="56" spans="1:11" ht="81" x14ac:dyDescent="0.25">
      <c r="A56" s="20" t="s">
        <v>721</v>
      </c>
      <c r="B56" s="21">
        <v>46083</v>
      </c>
      <c r="C56" s="20" t="s">
        <v>38</v>
      </c>
      <c r="D56" s="20" t="s">
        <v>236</v>
      </c>
      <c r="E56" s="23">
        <v>127</v>
      </c>
      <c r="F56" s="20" t="s">
        <v>25</v>
      </c>
      <c r="G56" s="22" t="s">
        <v>404</v>
      </c>
      <c r="H56" s="22" t="s">
        <v>313</v>
      </c>
      <c r="I56" s="22" t="s">
        <v>723</v>
      </c>
      <c r="J56" s="22" t="s">
        <v>724</v>
      </c>
      <c r="K56" s="20" t="s">
        <v>224</v>
      </c>
    </row>
    <row r="57" spans="1:11" ht="27" x14ac:dyDescent="0.25">
      <c r="A57" s="20" t="s">
        <v>749</v>
      </c>
      <c r="B57" s="21">
        <v>46084</v>
      </c>
      <c r="C57" s="20" t="s">
        <v>45</v>
      </c>
      <c r="D57" s="20" t="s">
        <v>263</v>
      </c>
      <c r="E57" s="23">
        <v>150</v>
      </c>
      <c r="F57" s="20" t="s">
        <v>26</v>
      </c>
      <c r="G57" s="22" t="s">
        <v>474</v>
      </c>
      <c r="H57" s="22" t="s">
        <v>673</v>
      </c>
      <c r="I57" s="22" t="s">
        <v>751</v>
      </c>
      <c r="J57" s="22" t="s">
        <v>752</v>
      </c>
      <c r="K57" s="20" t="s">
        <v>224</v>
      </c>
    </row>
    <row r="58" spans="1:11" ht="67.5" x14ac:dyDescent="0.25">
      <c r="A58" s="20" t="s">
        <v>758</v>
      </c>
      <c r="B58" s="21">
        <v>46085</v>
      </c>
      <c r="C58" s="20" t="s">
        <v>38</v>
      </c>
      <c r="D58" s="20" t="s">
        <v>236</v>
      </c>
      <c r="E58" s="20"/>
      <c r="F58" s="20" t="s">
        <v>25</v>
      </c>
      <c r="G58" s="22" t="s">
        <v>762</v>
      </c>
      <c r="H58" s="22" t="s">
        <v>313</v>
      </c>
      <c r="I58" s="22" t="s">
        <v>760</v>
      </c>
      <c r="J58" s="22" t="s">
        <v>761</v>
      </c>
      <c r="K58" s="20" t="s">
        <v>224</v>
      </c>
    </row>
    <row r="59" spans="1:11" ht="54" x14ac:dyDescent="0.25">
      <c r="A59" s="20" t="s">
        <v>767</v>
      </c>
      <c r="B59" s="21">
        <v>46085</v>
      </c>
      <c r="C59" s="20" t="s">
        <v>38</v>
      </c>
      <c r="D59" s="20" t="s">
        <v>204</v>
      </c>
      <c r="E59" s="20"/>
      <c r="F59" s="20" t="s">
        <v>26</v>
      </c>
      <c r="G59" s="22" t="s">
        <v>770</v>
      </c>
      <c r="H59" s="22" t="s">
        <v>205</v>
      </c>
      <c r="I59" s="22" t="s">
        <v>3</v>
      </c>
      <c r="J59" s="22" t="s">
        <v>769</v>
      </c>
      <c r="K59" s="20" t="s">
        <v>224</v>
      </c>
    </row>
    <row r="60" spans="1:11" ht="27" x14ac:dyDescent="0.25">
      <c r="A60" s="20" t="s">
        <v>778</v>
      </c>
      <c r="B60" s="21">
        <v>46085</v>
      </c>
      <c r="C60" s="20" t="s">
        <v>45</v>
      </c>
      <c r="D60" s="20" t="s">
        <v>263</v>
      </c>
      <c r="E60" s="23">
        <v>153</v>
      </c>
      <c r="F60" s="20" t="s">
        <v>26</v>
      </c>
      <c r="G60" s="22" t="s">
        <v>474</v>
      </c>
      <c r="H60" s="22" t="s">
        <v>673</v>
      </c>
      <c r="I60" s="22" t="s">
        <v>780</v>
      </c>
      <c r="J60" s="22" t="s">
        <v>781</v>
      </c>
      <c r="K60" s="20" t="s">
        <v>224</v>
      </c>
    </row>
    <row r="61" spans="1:11" ht="135" x14ac:dyDescent="0.25">
      <c r="A61" s="20" t="s">
        <v>782</v>
      </c>
      <c r="B61" s="21">
        <v>46085</v>
      </c>
      <c r="C61" s="20" t="s">
        <v>82</v>
      </c>
      <c r="D61" s="20" t="s">
        <v>204</v>
      </c>
      <c r="E61" s="23">
        <v>47</v>
      </c>
      <c r="F61" s="20" t="s">
        <v>25</v>
      </c>
      <c r="G61" s="22" t="s">
        <v>785</v>
      </c>
      <c r="H61" s="22" t="s">
        <v>313</v>
      </c>
      <c r="I61" s="22" t="s">
        <v>3</v>
      </c>
      <c r="J61" s="22" t="s">
        <v>784</v>
      </c>
      <c r="K61" s="20" t="s">
        <v>224</v>
      </c>
    </row>
    <row r="62" spans="1:11" ht="135" x14ac:dyDescent="0.25">
      <c r="A62" s="20" t="s">
        <v>786</v>
      </c>
      <c r="B62" s="21">
        <v>46085</v>
      </c>
      <c r="C62" s="20" t="s">
        <v>82</v>
      </c>
      <c r="D62" s="20" t="s">
        <v>204</v>
      </c>
      <c r="E62" s="23">
        <v>40</v>
      </c>
      <c r="F62" s="20" t="s">
        <v>25</v>
      </c>
      <c r="G62" s="22" t="s">
        <v>785</v>
      </c>
      <c r="H62" s="22" t="s">
        <v>313</v>
      </c>
      <c r="I62" s="22" t="s">
        <v>3</v>
      </c>
      <c r="J62" s="22" t="s">
        <v>784</v>
      </c>
      <c r="K62" s="20" t="s">
        <v>224</v>
      </c>
    </row>
    <row r="63" spans="1:11" x14ac:dyDescent="0.25">
      <c r="A63" s="20" t="s">
        <v>789</v>
      </c>
      <c r="B63" s="21">
        <v>46087</v>
      </c>
      <c r="C63" s="20" t="s">
        <v>45</v>
      </c>
      <c r="D63" s="20" t="s">
        <v>263</v>
      </c>
      <c r="E63" s="23">
        <v>55</v>
      </c>
      <c r="F63" s="20" t="s">
        <v>26</v>
      </c>
      <c r="G63" s="22" t="s">
        <v>474</v>
      </c>
      <c r="H63" s="22" t="s">
        <v>228</v>
      </c>
      <c r="I63" s="22" t="s">
        <v>3</v>
      </c>
      <c r="J63" s="22" t="s">
        <v>791</v>
      </c>
      <c r="K63" s="20" t="s">
        <v>224</v>
      </c>
    </row>
    <row r="64" spans="1:11" x14ac:dyDescent="0.25">
      <c r="A64" s="20" t="s">
        <v>792</v>
      </c>
      <c r="B64" s="21">
        <v>46087</v>
      </c>
      <c r="C64" s="20" t="s">
        <v>45</v>
      </c>
      <c r="D64" s="20" t="s">
        <v>263</v>
      </c>
      <c r="E64" s="23">
        <v>93</v>
      </c>
      <c r="F64" s="20" t="s">
        <v>26</v>
      </c>
      <c r="G64" s="22" t="s">
        <v>474</v>
      </c>
      <c r="H64" s="22" t="s">
        <v>228</v>
      </c>
      <c r="I64" s="22" t="s">
        <v>3</v>
      </c>
      <c r="J64" s="22" t="s">
        <v>794</v>
      </c>
      <c r="K64" s="20" t="s">
        <v>224</v>
      </c>
    </row>
    <row r="65" spans="1:11" ht="67.5" x14ac:dyDescent="0.25">
      <c r="A65" s="20" t="s">
        <v>795</v>
      </c>
      <c r="B65" s="21">
        <v>46087</v>
      </c>
      <c r="C65" s="20" t="s">
        <v>158</v>
      </c>
      <c r="D65" s="20" t="s">
        <v>204</v>
      </c>
      <c r="E65" s="20"/>
      <c r="F65" s="20" t="s">
        <v>25</v>
      </c>
      <c r="G65" s="22" t="s">
        <v>223</v>
      </c>
      <c r="H65" s="22" t="s">
        <v>205</v>
      </c>
      <c r="I65" s="22" t="s">
        <v>3</v>
      </c>
      <c r="J65" s="22" t="s">
        <v>798</v>
      </c>
      <c r="K65" s="20" t="s">
        <v>224</v>
      </c>
    </row>
    <row r="66" spans="1:11" ht="67.5" x14ac:dyDescent="0.25">
      <c r="A66" s="20" t="s">
        <v>805</v>
      </c>
      <c r="B66" s="21">
        <v>46088</v>
      </c>
      <c r="C66" s="20" t="s">
        <v>38</v>
      </c>
      <c r="D66" s="20" t="s">
        <v>236</v>
      </c>
      <c r="E66" s="23">
        <v>203</v>
      </c>
      <c r="F66" s="20" t="s">
        <v>25</v>
      </c>
      <c r="G66" s="22" t="s">
        <v>785</v>
      </c>
      <c r="H66" s="22" t="s">
        <v>313</v>
      </c>
      <c r="I66" s="22" t="s">
        <v>3</v>
      </c>
      <c r="J66" s="22" t="s">
        <v>807</v>
      </c>
      <c r="K66" s="20" t="s">
        <v>224</v>
      </c>
    </row>
    <row r="67" spans="1:11" ht="54" x14ac:dyDescent="0.25">
      <c r="A67" s="20" t="s">
        <v>825</v>
      </c>
      <c r="B67" s="21">
        <v>46090</v>
      </c>
      <c r="C67" s="20" t="s">
        <v>35</v>
      </c>
      <c r="D67" s="20" t="s">
        <v>204</v>
      </c>
      <c r="E67" s="23">
        <v>89</v>
      </c>
      <c r="F67" s="20" t="s">
        <v>25</v>
      </c>
      <c r="G67" s="22" t="s">
        <v>404</v>
      </c>
      <c r="H67" s="22" t="s">
        <v>205</v>
      </c>
      <c r="I67" s="22" t="s">
        <v>827</v>
      </c>
      <c r="J67" s="22" t="s">
        <v>828</v>
      </c>
      <c r="K67" s="20" t="s">
        <v>224</v>
      </c>
    </row>
    <row r="68" spans="1:11" ht="27" x14ac:dyDescent="0.25">
      <c r="A68" s="20" t="s">
        <v>832</v>
      </c>
      <c r="B68" s="21">
        <v>46091</v>
      </c>
      <c r="C68" s="20" t="s">
        <v>172</v>
      </c>
      <c r="D68" s="20" t="s">
        <v>263</v>
      </c>
      <c r="E68" s="23">
        <v>320</v>
      </c>
      <c r="F68" s="20" t="s">
        <v>25</v>
      </c>
      <c r="G68" s="22" t="s">
        <v>267</v>
      </c>
      <c r="H68" s="22" t="s">
        <v>673</v>
      </c>
      <c r="I68" s="22" t="s">
        <v>834</v>
      </c>
      <c r="J68" s="22" t="s">
        <v>835</v>
      </c>
      <c r="K68" s="20" t="s">
        <v>224</v>
      </c>
    </row>
    <row r="69" spans="1:11" ht="67.5" x14ac:dyDescent="0.25">
      <c r="A69" s="20" t="s">
        <v>836</v>
      </c>
      <c r="B69" s="21">
        <v>46091</v>
      </c>
      <c r="C69" s="20" t="s">
        <v>35</v>
      </c>
      <c r="D69" s="20" t="s">
        <v>204</v>
      </c>
      <c r="E69" s="23">
        <v>222</v>
      </c>
      <c r="F69" s="20" t="s">
        <v>25</v>
      </c>
      <c r="G69" s="22" t="s">
        <v>404</v>
      </c>
      <c r="H69" s="22" t="s">
        <v>205</v>
      </c>
      <c r="I69" s="22" t="s">
        <v>839</v>
      </c>
      <c r="J69" s="22" t="s">
        <v>840</v>
      </c>
      <c r="K69" s="20" t="s">
        <v>224</v>
      </c>
    </row>
    <row r="70" spans="1:11" x14ac:dyDescent="0.25">
      <c r="A70" s="20" t="s">
        <v>847</v>
      </c>
      <c r="B70" s="21">
        <v>46092</v>
      </c>
      <c r="C70" s="20" t="s">
        <v>45</v>
      </c>
      <c r="D70" s="20" t="s">
        <v>204</v>
      </c>
      <c r="E70" s="23">
        <v>300</v>
      </c>
      <c r="F70" s="20" t="s">
        <v>26</v>
      </c>
      <c r="G70" s="22" t="s">
        <v>543</v>
      </c>
      <c r="H70" s="22" t="s">
        <v>228</v>
      </c>
      <c r="I70" s="22" t="s">
        <v>3</v>
      </c>
      <c r="J70" s="22" t="s">
        <v>849</v>
      </c>
      <c r="K70" s="20" t="s">
        <v>224</v>
      </c>
    </row>
    <row r="71" spans="1:11" ht="67.5" x14ac:dyDescent="0.25">
      <c r="A71" s="20" t="s">
        <v>855</v>
      </c>
      <c r="B71" s="21">
        <v>46092</v>
      </c>
      <c r="C71" s="20" t="s">
        <v>35</v>
      </c>
      <c r="D71" s="20" t="s">
        <v>204</v>
      </c>
      <c r="E71" s="23">
        <v>144</v>
      </c>
      <c r="F71" s="20" t="s">
        <v>25</v>
      </c>
      <c r="G71" s="22" t="s">
        <v>404</v>
      </c>
      <c r="H71" s="22" t="s">
        <v>205</v>
      </c>
      <c r="I71" s="22" t="s">
        <v>858</v>
      </c>
      <c r="J71" s="22" t="s">
        <v>859</v>
      </c>
      <c r="K71" s="20" t="s">
        <v>224</v>
      </c>
    </row>
    <row r="72" spans="1:11" ht="27" x14ac:dyDescent="0.25">
      <c r="A72" s="20" t="s">
        <v>867</v>
      </c>
      <c r="B72" s="21">
        <v>46093</v>
      </c>
      <c r="C72" s="20" t="s">
        <v>45</v>
      </c>
      <c r="D72" s="20" t="s">
        <v>263</v>
      </c>
      <c r="E72" s="23">
        <v>280</v>
      </c>
      <c r="F72" s="20" t="s">
        <v>26</v>
      </c>
      <c r="G72" s="22" t="s">
        <v>872</v>
      </c>
      <c r="H72" s="22" t="s">
        <v>673</v>
      </c>
      <c r="I72" s="22" t="s">
        <v>870</v>
      </c>
      <c r="J72" s="22" t="s">
        <v>871</v>
      </c>
      <c r="K72" s="20" t="s">
        <v>224</v>
      </c>
    </row>
    <row r="73" spans="1:11" ht="54" x14ac:dyDescent="0.25">
      <c r="A73" s="20" t="s">
        <v>873</v>
      </c>
      <c r="B73" s="21">
        <v>46093</v>
      </c>
      <c r="C73" s="20" t="s">
        <v>80</v>
      </c>
      <c r="D73" s="20" t="s">
        <v>204</v>
      </c>
      <c r="E73" s="23">
        <v>186</v>
      </c>
      <c r="F73" s="20" t="s">
        <v>25</v>
      </c>
      <c r="G73" s="22" t="s">
        <v>404</v>
      </c>
      <c r="H73" s="22" t="s">
        <v>313</v>
      </c>
      <c r="I73" s="22" t="s">
        <v>876</v>
      </c>
      <c r="J73" s="22" t="s">
        <v>877</v>
      </c>
      <c r="K73" s="20" t="s">
        <v>224</v>
      </c>
    </row>
    <row r="74" spans="1:11" ht="54" x14ac:dyDescent="0.25">
      <c r="A74" s="20" t="s">
        <v>878</v>
      </c>
      <c r="B74" s="21">
        <v>46093</v>
      </c>
      <c r="C74" s="20" t="s">
        <v>35</v>
      </c>
      <c r="D74" s="20" t="s">
        <v>204</v>
      </c>
      <c r="E74" s="23">
        <v>215</v>
      </c>
      <c r="F74" s="20" t="s">
        <v>25</v>
      </c>
      <c r="G74" s="22" t="s">
        <v>404</v>
      </c>
      <c r="H74" s="22" t="s">
        <v>205</v>
      </c>
      <c r="I74" s="22" t="s">
        <v>880</v>
      </c>
      <c r="J74" s="22" t="s">
        <v>881</v>
      </c>
      <c r="K74" s="20" t="s">
        <v>224</v>
      </c>
    </row>
    <row r="75" spans="1:11" ht="54" x14ac:dyDescent="0.25">
      <c r="A75" s="20" t="s">
        <v>890</v>
      </c>
      <c r="B75" s="21">
        <v>46094</v>
      </c>
      <c r="C75" s="20" t="s">
        <v>129</v>
      </c>
      <c r="D75" s="20" t="s">
        <v>204</v>
      </c>
      <c r="E75" s="20"/>
      <c r="F75" s="20" t="s">
        <v>25</v>
      </c>
      <c r="G75" s="22" t="s">
        <v>223</v>
      </c>
      <c r="H75" s="22" t="s">
        <v>205</v>
      </c>
      <c r="I75" s="22" t="s">
        <v>3</v>
      </c>
      <c r="J75" s="22" t="s">
        <v>893</v>
      </c>
      <c r="K75" s="20" t="s">
        <v>224</v>
      </c>
    </row>
    <row r="76" spans="1:11" ht="40.5" x14ac:dyDescent="0.25">
      <c r="A76" s="20" t="s">
        <v>894</v>
      </c>
      <c r="B76" s="21">
        <v>46094</v>
      </c>
      <c r="C76" s="20" t="s">
        <v>45</v>
      </c>
      <c r="D76" s="20" t="s">
        <v>236</v>
      </c>
      <c r="E76" s="23">
        <v>100</v>
      </c>
      <c r="F76" s="20" t="s">
        <v>26</v>
      </c>
      <c r="G76" s="22" t="s">
        <v>543</v>
      </c>
      <c r="H76" s="22" t="s">
        <v>673</v>
      </c>
      <c r="I76" s="22" t="s">
        <v>896</v>
      </c>
      <c r="J76" s="22" t="s">
        <v>897</v>
      </c>
      <c r="K76" s="20" t="s">
        <v>224</v>
      </c>
    </row>
    <row r="77" spans="1:11" ht="54" x14ac:dyDescent="0.25">
      <c r="A77" s="20" t="s">
        <v>898</v>
      </c>
      <c r="B77" s="21">
        <v>46094</v>
      </c>
      <c r="C77" s="20" t="s">
        <v>80</v>
      </c>
      <c r="D77" s="20" t="s">
        <v>236</v>
      </c>
      <c r="E77" s="23">
        <v>145</v>
      </c>
      <c r="F77" s="20" t="s">
        <v>25</v>
      </c>
      <c r="G77" s="22" t="s">
        <v>404</v>
      </c>
      <c r="H77" s="22" t="s">
        <v>313</v>
      </c>
      <c r="I77" s="22" t="s">
        <v>900</v>
      </c>
      <c r="J77" s="22" t="s">
        <v>901</v>
      </c>
      <c r="K77" s="20" t="s">
        <v>224</v>
      </c>
    </row>
    <row r="78" spans="1:11" ht="54" x14ac:dyDescent="0.25">
      <c r="A78" s="20" t="s">
        <v>912</v>
      </c>
      <c r="B78" s="21">
        <v>46098</v>
      </c>
      <c r="C78" s="20" t="s">
        <v>72</v>
      </c>
      <c r="D78" s="20" t="s">
        <v>204</v>
      </c>
      <c r="E78" s="20"/>
      <c r="F78" s="20" t="s">
        <v>25</v>
      </c>
      <c r="G78" s="22" t="s">
        <v>223</v>
      </c>
      <c r="H78" s="22" t="s">
        <v>205</v>
      </c>
      <c r="I78" s="22" t="s">
        <v>3</v>
      </c>
      <c r="J78" s="22" t="s">
        <v>914</v>
      </c>
      <c r="K78" s="20" t="s">
        <v>224</v>
      </c>
    </row>
    <row r="79" spans="1:11" ht="135" x14ac:dyDescent="0.25">
      <c r="A79" s="20" t="s">
        <v>920</v>
      </c>
      <c r="B79" s="21">
        <v>46098</v>
      </c>
      <c r="C79" s="20" t="s">
        <v>56</v>
      </c>
      <c r="D79" s="20" t="s">
        <v>817</v>
      </c>
      <c r="E79" s="20"/>
      <c r="F79" s="20" t="s">
        <v>26</v>
      </c>
      <c r="G79" s="22" t="s">
        <v>924</v>
      </c>
      <c r="H79" s="22" t="s">
        <v>812</v>
      </c>
      <c r="I79" s="22" t="s">
        <v>3</v>
      </c>
      <c r="J79" s="22" t="s">
        <v>923</v>
      </c>
      <c r="K79" s="20" t="s">
        <v>224</v>
      </c>
    </row>
    <row r="80" spans="1:11" ht="40.5" x14ac:dyDescent="0.25">
      <c r="A80" s="20" t="s">
        <v>928</v>
      </c>
      <c r="B80" s="21">
        <v>46099</v>
      </c>
      <c r="C80" s="20" t="s">
        <v>141</v>
      </c>
      <c r="D80" s="20" t="s">
        <v>204</v>
      </c>
      <c r="E80" s="20"/>
      <c r="F80" s="20" t="s">
        <v>25</v>
      </c>
      <c r="G80" s="22" t="s">
        <v>223</v>
      </c>
      <c r="H80" s="22" t="s">
        <v>205</v>
      </c>
      <c r="I80" s="22" t="s">
        <v>3</v>
      </c>
      <c r="J80" s="22" t="s">
        <v>930</v>
      </c>
      <c r="K80" s="20" t="s">
        <v>224</v>
      </c>
    </row>
    <row r="81" spans="1:11" ht="148.5" x14ac:dyDescent="0.25">
      <c r="A81" s="20" t="s">
        <v>951</v>
      </c>
      <c r="B81" s="21">
        <v>46105</v>
      </c>
      <c r="C81" s="20" t="s">
        <v>45</v>
      </c>
      <c r="D81" s="20" t="s">
        <v>218</v>
      </c>
      <c r="E81" s="20"/>
      <c r="F81" s="20" t="s">
        <v>26</v>
      </c>
      <c r="G81" s="22" t="s">
        <v>957</v>
      </c>
      <c r="H81" s="22" t="s">
        <v>812</v>
      </c>
      <c r="I81" s="22" t="s">
        <v>955</v>
      </c>
      <c r="J81" s="22" t="s">
        <v>956</v>
      </c>
      <c r="K81" s="20" t="s">
        <v>224</v>
      </c>
    </row>
    <row r="82" spans="1:11" ht="40.5" x14ac:dyDescent="0.25">
      <c r="A82" s="20" t="s">
        <v>965</v>
      </c>
      <c r="B82" s="21">
        <v>46107</v>
      </c>
      <c r="C82" s="20" t="s">
        <v>45</v>
      </c>
      <c r="D82" s="20" t="s">
        <v>263</v>
      </c>
      <c r="E82" s="23">
        <v>45</v>
      </c>
      <c r="F82" s="20" t="s">
        <v>26</v>
      </c>
      <c r="G82" s="22" t="s">
        <v>474</v>
      </c>
      <c r="H82" s="22" t="s">
        <v>673</v>
      </c>
      <c r="I82" s="22" t="s">
        <v>967</v>
      </c>
      <c r="J82" s="22" t="s">
        <v>968</v>
      </c>
      <c r="K82" s="20" t="s">
        <v>224</v>
      </c>
    </row>
    <row r="83" spans="1:11" ht="40.5" x14ac:dyDescent="0.25">
      <c r="A83" s="20" t="s">
        <v>969</v>
      </c>
      <c r="B83" s="21">
        <v>46107</v>
      </c>
      <c r="C83" s="20" t="s">
        <v>45</v>
      </c>
      <c r="D83" s="20" t="s">
        <v>263</v>
      </c>
      <c r="E83" s="23">
        <v>513</v>
      </c>
      <c r="F83" s="20" t="s">
        <v>26</v>
      </c>
      <c r="G83" s="22" t="s">
        <v>474</v>
      </c>
      <c r="H83" s="22" t="s">
        <v>673</v>
      </c>
      <c r="I83" s="22" t="s">
        <v>967</v>
      </c>
      <c r="J83" s="22" t="s">
        <v>968</v>
      </c>
      <c r="K83" s="20" t="s">
        <v>224</v>
      </c>
    </row>
    <row r="84" spans="1:11" ht="81" x14ac:dyDescent="0.25">
      <c r="A84" s="20" t="s">
        <v>1007</v>
      </c>
      <c r="B84" s="21">
        <v>46112</v>
      </c>
      <c r="C84" s="20" t="s">
        <v>87</v>
      </c>
      <c r="D84" s="20" t="s">
        <v>236</v>
      </c>
      <c r="E84" s="23">
        <v>316</v>
      </c>
      <c r="F84" s="20" t="s">
        <v>25</v>
      </c>
      <c r="G84" s="22" t="s">
        <v>404</v>
      </c>
      <c r="H84" s="22" t="s">
        <v>313</v>
      </c>
      <c r="I84" s="22" t="s">
        <v>1010</v>
      </c>
      <c r="J84" s="22" t="s">
        <v>1011</v>
      </c>
      <c r="K84" s="20" t="s">
        <v>224</v>
      </c>
    </row>
    <row r="85" spans="1:11" x14ac:dyDescent="0.25">
      <c r="A85" s="20" t="s">
        <v>1012</v>
      </c>
      <c r="B85" s="21">
        <v>46112</v>
      </c>
      <c r="C85" s="20" t="s">
        <v>45</v>
      </c>
      <c r="D85" s="20" t="s">
        <v>276</v>
      </c>
      <c r="E85" s="23">
        <v>416</v>
      </c>
      <c r="F85" s="20" t="s">
        <v>26</v>
      </c>
      <c r="G85" s="22" t="s">
        <v>543</v>
      </c>
      <c r="H85" s="22" t="s">
        <v>313</v>
      </c>
      <c r="I85" s="22" t="s">
        <v>3</v>
      </c>
      <c r="J85" s="22" t="s">
        <v>1014</v>
      </c>
      <c r="K85" s="20" t="s">
        <v>224</v>
      </c>
    </row>
    <row r="86" spans="1:11" ht="54" x14ac:dyDescent="0.25">
      <c r="A86" s="20" t="s">
        <v>1033</v>
      </c>
      <c r="B86" s="21">
        <v>46114</v>
      </c>
      <c r="C86" s="20" t="s">
        <v>38</v>
      </c>
      <c r="D86" s="20" t="s">
        <v>236</v>
      </c>
      <c r="E86" s="20"/>
      <c r="F86" s="20" t="s">
        <v>25</v>
      </c>
      <c r="G86" s="22" t="s">
        <v>223</v>
      </c>
      <c r="H86" s="22" t="s">
        <v>313</v>
      </c>
      <c r="I86" s="22" t="s">
        <v>3</v>
      </c>
      <c r="J86" s="22" t="s">
        <v>1035</v>
      </c>
      <c r="K86" s="20" t="s">
        <v>224</v>
      </c>
    </row>
    <row r="87" spans="1:11" ht="54" x14ac:dyDescent="0.25">
      <c r="A87" s="20" t="s">
        <v>1044</v>
      </c>
      <c r="B87" s="21">
        <v>46119</v>
      </c>
      <c r="C87" s="20" t="s">
        <v>62</v>
      </c>
      <c r="D87" s="20" t="s">
        <v>236</v>
      </c>
      <c r="E87" s="23">
        <v>233</v>
      </c>
      <c r="F87" s="20" t="s">
        <v>25</v>
      </c>
      <c r="G87" s="22" t="s">
        <v>404</v>
      </c>
      <c r="H87" s="22" t="s">
        <v>313</v>
      </c>
      <c r="I87" s="22" t="s">
        <v>1046</v>
      </c>
      <c r="J87" s="22" t="s">
        <v>1047</v>
      </c>
      <c r="K87" s="20" t="s">
        <v>224</v>
      </c>
    </row>
    <row r="88" spans="1:11" ht="40.5" x14ac:dyDescent="0.25">
      <c r="A88" s="20" t="s">
        <v>1051</v>
      </c>
      <c r="B88" s="21">
        <v>46120</v>
      </c>
      <c r="C88" s="20" t="s">
        <v>150</v>
      </c>
      <c r="D88" s="20" t="s">
        <v>218</v>
      </c>
      <c r="E88" s="20"/>
      <c r="F88" s="20" t="s">
        <v>26</v>
      </c>
      <c r="G88" s="22" t="s">
        <v>924</v>
      </c>
      <c r="H88" s="22" t="s">
        <v>812</v>
      </c>
      <c r="I88" s="22" t="s">
        <v>3</v>
      </c>
      <c r="J88" s="22" t="s">
        <v>1053</v>
      </c>
      <c r="K88" s="20" t="s">
        <v>224</v>
      </c>
    </row>
    <row r="89" spans="1:11" ht="121.5" x14ac:dyDescent="0.25">
      <c r="A89" s="20" t="s">
        <v>1057</v>
      </c>
      <c r="B89" s="21">
        <v>46120</v>
      </c>
      <c r="C89" s="20" t="s">
        <v>56</v>
      </c>
      <c r="D89" s="20" t="s">
        <v>811</v>
      </c>
      <c r="E89" s="20"/>
      <c r="F89" s="20" t="s">
        <v>25</v>
      </c>
      <c r="G89" s="22" t="s">
        <v>223</v>
      </c>
      <c r="H89" s="22" t="s">
        <v>812</v>
      </c>
      <c r="I89" s="22" t="s">
        <v>1061</v>
      </c>
      <c r="J89" s="22" t="s">
        <v>1062</v>
      </c>
      <c r="K89" s="20" t="s">
        <v>224</v>
      </c>
    </row>
    <row r="90" spans="1:11" ht="40.5" x14ac:dyDescent="0.25">
      <c r="A90" s="20" t="s">
        <v>1071</v>
      </c>
      <c r="B90" s="21">
        <v>46122</v>
      </c>
      <c r="C90" s="20" t="s">
        <v>70</v>
      </c>
      <c r="D90" s="20" t="s">
        <v>204</v>
      </c>
      <c r="E90" s="20"/>
      <c r="F90" s="20" t="s">
        <v>25</v>
      </c>
      <c r="G90" s="22" t="s">
        <v>223</v>
      </c>
      <c r="H90" s="22" t="s">
        <v>205</v>
      </c>
      <c r="I90" s="22" t="s">
        <v>3</v>
      </c>
      <c r="J90" s="22" t="s">
        <v>1073</v>
      </c>
      <c r="K90" s="20" t="s">
        <v>224</v>
      </c>
    </row>
    <row r="91" spans="1:11" ht="81" x14ac:dyDescent="0.25">
      <c r="A91" s="20" t="s">
        <v>1081</v>
      </c>
      <c r="B91" s="21">
        <v>46123</v>
      </c>
      <c r="C91" s="20" t="s">
        <v>95</v>
      </c>
      <c r="D91" s="20" t="s">
        <v>811</v>
      </c>
      <c r="E91" s="20"/>
      <c r="F91" s="20" t="s">
        <v>25</v>
      </c>
      <c r="G91" s="22" t="s">
        <v>223</v>
      </c>
      <c r="H91" s="22" t="s">
        <v>812</v>
      </c>
      <c r="I91" s="22" t="s">
        <v>3</v>
      </c>
      <c r="J91" s="22" t="s">
        <v>1084</v>
      </c>
      <c r="K91" s="20" t="s">
        <v>224</v>
      </c>
    </row>
    <row r="92" spans="1:11" ht="54" x14ac:dyDescent="0.25">
      <c r="A92" s="20" t="s">
        <v>1094</v>
      </c>
      <c r="B92" s="21">
        <v>46124</v>
      </c>
      <c r="C92" s="20" t="s">
        <v>95</v>
      </c>
      <c r="D92" s="20" t="s">
        <v>811</v>
      </c>
      <c r="E92" s="20"/>
      <c r="F92" s="20" t="s">
        <v>25</v>
      </c>
      <c r="G92" s="22" t="s">
        <v>223</v>
      </c>
      <c r="H92" s="22" t="s">
        <v>812</v>
      </c>
      <c r="I92" s="22" t="s">
        <v>3</v>
      </c>
      <c r="J92" s="22" t="s">
        <v>1096</v>
      </c>
      <c r="K92" s="20" t="s">
        <v>224</v>
      </c>
    </row>
    <row r="93" spans="1:11" ht="40.5" x14ac:dyDescent="0.25">
      <c r="A93" s="20" t="s">
        <v>1097</v>
      </c>
      <c r="B93" s="21">
        <v>46125</v>
      </c>
      <c r="C93" s="20" t="s">
        <v>155</v>
      </c>
      <c r="D93" s="20" t="s">
        <v>204</v>
      </c>
      <c r="E93" s="20"/>
      <c r="F93" s="20" t="s">
        <v>25</v>
      </c>
      <c r="G93" s="22" t="s">
        <v>223</v>
      </c>
      <c r="H93" s="22" t="s">
        <v>205</v>
      </c>
      <c r="I93" s="22" t="s">
        <v>3</v>
      </c>
      <c r="J93" s="22" t="s">
        <v>1099</v>
      </c>
      <c r="K93" s="20" t="s">
        <v>224</v>
      </c>
    </row>
    <row r="94" spans="1:11" ht="94.5" x14ac:dyDescent="0.25">
      <c r="A94" s="20" t="s">
        <v>1106</v>
      </c>
      <c r="B94" s="21">
        <v>46125</v>
      </c>
      <c r="C94" s="20" t="s">
        <v>35</v>
      </c>
      <c r="D94" s="20" t="s">
        <v>236</v>
      </c>
      <c r="E94" s="23">
        <v>93</v>
      </c>
      <c r="F94" s="20" t="s">
        <v>25</v>
      </c>
      <c r="G94" s="22" t="s">
        <v>238</v>
      </c>
      <c r="H94" s="22" t="s">
        <v>211</v>
      </c>
      <c r="I94" s="22" t="s">
        <v>3</v>
      </c>
      <c r="J94" s="22" t="s">
        <v>1108</v>
      </c>
      <c r="K94" s="20" t="s">
        <v>224</v>
      </c>
    </row>
    <row r="95" spans="1:11" ht="94.5" x14ac:dyDescent="0.25">
      <c r="A95" s="20" t="s">
        <v>1109</v>
      </c>
      <c r="B95" s="21">
        <v>46125</v>
      </c>
      <c r="C95" s="20" t="s">
        <v>35</v>
      </c>
      <c r="D95" s="20" t="s">
        <v>1110</v>
      </c>
      <c r="E95" s="23">
        <v>50</v>
      </c>
      <c r="F95" s="20" t="s">
        <v>25</v>
      </c>
      <c r="G95" s="22" t="s">
        <v>238</v>
      </c>
      <c r="H95" s="22" t="s">
        <v>211</v>
      </c>
      <c r="I95" s="22" t="s">
        <v>3</v>
      </c>
      <c r="J95" s="22" t="s">
        <v>1108</v>
      </c>
      <c r="K95" s="20" t="s">
        <v>224</v>
      </c>
    </row>
    <row r="96" spans="1:11" ht="40.5" x14ac:dyDescent="0.25">
      <c r="A96" s="20" t="s">
        <v>1114</v>
      </c>
      <c r="B96" s="21">
        <v>46126</v>
      </c>
      <c r="C96" s="20" t="s">
        <v>102</v>
      </c>
      <c r="D96" s="20" t="s">
        <v>204</v>
      </c>
      <c r="E96" s="20"/>
      <c r="F96" s="20" t="s">
        <v>25</v>
      </c>
      <c r="G96" s="22" t="s">
        <v>223</v>
      </c>
      <c r="H96" s="22" t="s">
        <v>205</v>
      </c>
      <c r="I96" s="22" t="s">
        <v>3</v>
      </c>
      <c r="J96" s="22" t="s">
        <v>1116</v>
      </c>
      <c r="K96" s="20" t="s">
        <v>224</v>
      </c>
    </row>
    <row r="97" spans="1:11" ht="40.5" x14ac:dyDescent="0.25">
      <c r="A97" s="20" t="s">
        <v>1117</v>
      </c>
      <c r="B97" s="21">
        <v>46127</v>
      </c>
      <c r="C97" s="20" t="s">
        <v>102</v>
      </c>
      <c r="D97" s="20" t="s">
        <v>204</v>
      </c>
      <c r="E97" s="20"/>
      <c r="F97" s="20" t="s">
        <v>25</v>
      </c>
      <c r="G97" s="22" t="s">
        <v>223</v>
      </c>
      <c r="H97" s="22" t="s">
        <v>205</v>
      </c>
      <c r="I97" s="22" t="s">
        <v>3</v>
      </c>
      <c r="J97" s="22" t="s">
        <v>1119</v>
      </c>
      <c r="K97" s="20" t="s">
        <v>224</v>
      </c>
    </row>
    <row r="98" spans="1:11" ht="54" x14ac:dyDescent="0.25">
      <c r="A98" s="20" t="s">
        <v>1126</v>
      </c>
      <c r="B98" s="21">
        <v>46128</v>
      </c>
      <c r="C98" s="20" t="s">
        <v>35</v>
      </c>
      <c r="D98" s="20" t="s">
        <v>263</v>
      </c>
      <c r="E98" s="20"/>
      <c r="F98" s="20" t="s">
        <v>26</v>
      </c>
      <c r="G98" s="22" t="s">
        <v>1129</v>
      </c>
      <c r="H98" s="22" t="s">
        <v>205</v>
      </c>
      <c r="I98" s="22" t="s">
        <v>3</v>
      </c>
      <c r="J98" s="22" t="s">
        <v>1128</v>
      </c>
      <c r="K98" s="20" t="s">
        <v>224</v>
      </c>
    </row>
    <row r="99" spans="1:11" ht="54" x14ac:dyDescent="0.25">
      <c r="A99" s="20" t="s">
        <v>1133</v>
      </c>
      <c r="B99" s="21">
        <v>46129</v>
      </c>
      <c r="C99" s="20" t="s">
        <v>35</v>
      </c>
      <c r="D99" s="20" t="s">
        <v>236</v>
      </c>
      <c r="E99" s="23">
        <v>90</v>
      </c>
      <c r="F99" s="20" t="s">
        <v>25</v>
      </c>
      <c r="G99" s="22" t="s">
        <v>404</v>
      </c>
      <c r="H99" s="22" t="s">
        <v>211</v>
      </c>
      <c r="I99" s="22" t="s">
        <v>1135</v>
      </c>
      <c r="J99" s="22" t="s">
        <v>1136</v>
      </c>
      <c r="K99" s="20" t="s">
        <v>224</v>
      </c>
    </row>
    <row r="100" spans="1:11" ht="54" x14ac:dyDescent="0.25">
      <c r="A100" s="20" t="s">
        <v>1137</v>
      </c>
      <c r="B100" s="21">
        <v>46129</v>
      </c>
      <c r="C100" s="20" t="s">
        <v>35</v>
      </c>
      <c r="D100" s="20" t="s">
        <v>263</v>
      </c>
      <c r="E100" s="23">
        <v>250</v>
      </c>
      <c r="F100" s="20" t="s">
        <v>25</v>
      </c>
      <c r="G100" s="22" t="s">
        <v>479</v>
      </c>
      <c r="H100" s="22" t="s">
        <v>205</v>
      </c>
      <c r="I100" s="22" t="s">
        <v>1139</v>
      </c>
      <c r="J100" s="22" t="s">
        <v>1140</v>
      </c>
      <c r="K100" s="20" t="s">
        <v>224</v>
      </c>
    </row>
    <row r="101" spans="1:11" ht="54" x14ac:dyDescent="0.25">
      <c r="A101" s="20" t="s">
        <v>1141</v>
      </c>
      <c r="B101" s="21">
        <v>46132</v>
      </c>
      <c r="C101" s="20" t="s">
        <v>58</v>
      </c>
      <c r="D101" s="20" t="s">
        <v>204</v>
      </c>
      <c r="E101" s="20"/>
      <c r="F101" s="20" t="s">
        <v>25</v>
      </c>
      <c r="G101" s="22" t="s">
        <v>223</v>
      </c>
      <c r="H101" s="22" t="s">
        <v>205</v>
      </c>
      <c r="I101" s="22" t="s">
        <v>3</v>
      </c>
      <c r="J101" s="22" t="s">
        <v>1144</v>
      </c>
      <c r="K101" s="20" t="s">
        <v>224</v>
      </c>
    </row>
    <row r="102" spans="1:11" ht="54" x14ac:dyDescent="0.25">
      <c r="A102" s="20" t="s">
        <v>1153</v>
      </c>
      <c r="B102" s="21">
        <v>46133</v>
      </c>
      <c r="C102" s="20" t="s">
        <v>58</v>
      </c>
      <c r="D102" s="20" t="s">
        <v>204</v>
      </c>
      <c r="E102" s="20"/>
      <c r="F102" s="20" t="s">
        <v>25</v>
      </c>
      <c r="G102" s="22" t="s">
        <v>223</v>
      </c>
      <c r="H102" s="22" t="s">
        <v>205</v>
      </c>
      <c r="I102" s="22" t="s">
        <v>3</v>
      </c>
      <c r="J102" s="22" t="s">
        <v>1155</v>
      </c>
      <c r="K102" s="20" t="s">
        <v>224</v>
      </c>
    </row>
    <row r="103" spans="1:11" ht="67.5" x14ac:dyDescent="0.25">
      <c r="A103" s="20" t="s">
        <v>1156</v>
      </c>
      <c r="B103" s="21">
        <v>46133</v>
      </c>
      <c r="C103" s="20" t="s">
        <v>62</v>
      </c>
      <c r="D103" s="20" t="s">
        <v>236</v>
      </c>
      <c r="E103" s="23">
        <v>263</v>
      </c>
      <c r="F103" s="20" t="s">
        <v>25</v>
      </c>
      <c r="G103" s="22" t="s">
        <v>404</v>
      </c>
      <c r="H103" s="22" t="s">
        <v>313</v>
      </c>
      <c r="I103" s="22" t="s">
        <v>1158</v>
      </c>
      <c r="J103" s="22" t="s">
        <v>1159</v>
      </c>
      <c r="K103" s="20" t="s">
        <v>224</v>
      </c>
    </row>
    <row r="104" spans="1:11" ht="40.5" x14ac:dyDescent="0.25">
      <c r="A104" s="20" t="s">
        <v>1164</v>
      </c>
      <c r="B104" s="21">
        <v>46134</v>
      </c>
      <c r="C104" s="20" t="s">
        <v>126</v>
      </c>
      <c r="D104" s="20" t="s">
        <v>204</v>
      </c>
      <c r="E104" s="20"/>
      <c r="F104" s="20" t="s">
        <v>25</v>
      </c>
      <c r="G104" s="22" t="s">
        <v>223</v>
      </c>
      <c r="H104" s="22" t="s">
        <v>205</v>
      </c>
      <c r="I104" s="22" t="s">
        <v>3</v>
      </c>
      <c r="J104" s="22" t="s">
        <v>1166</v>
      </c>
      <c r="K104" s="20" t="s">
        <v>224</v>
      </c>
    </row>
    <row r="105" spans="1:11" ht="189" x14ac:dyDescent="0.25">
      <c r="A105" s="20" t="s">
        <v>1167</v>
      </c>
      <c r="B105" s="21">
        <v>46134</v>
      </c>
      <c r="C105" s="20" t="s">
        <v>45</v>
      </c>
      <c r="D105" s="20" t="s">
        <v>817</v>
      </c>
      <c r="E105" s="20"/>
      <c r="F105" s="20" t="s">
        <v>26</v>
      </c>
      <c r="G105" s="22" t="s">
        <v>957</v>
      </c>
      <c r="H105" s="22" t="s">
        <v>812</v>
      </c>
      <c r="I105" s="22" t="s">
        <v>3</v>
      </c>
      <c r="J105" s="22" t="s">
        <v>1171</v>
      </c>
      <c r="K105" s="20" t="s">
        <v>224</v>
      </c>
    </row>
    <row r="106" spans="1:11" ht="135" x14ac:dyDescent="0.25">
      <c r="A106" s="20" t="s">
        <v>1176</v>
      </c>
      <c r="B106" s="21">
        <v>46134</v>
      </c>
      <c r="C106" s="20" t="s">
        <v>35</v>
      </c>
      <c r="D106" s="20" t="s">
        <v>276</v>
      </c>
      <c r="E106" s="23">
        <v>260</v>
      </c>
      <c r="F106" s="20" t="s">
        <v>25</v>
      </c>
      <c r="G106" s="22" t="s">
        <v>785</v>
      </c>
      <c r="H106" s="22" t="s">
        <v>313</v>
      </c>
      <c r="I106" s="22" t="s">
        <v>3</v>
      </c>
      <c r="J106" s="22" t="s">
        <v>1178</v>
      </c>
      <c r="K106" s="20" t="s">
        <v>224</v>
      </c>
    </row>
    <row r="107" spans="1:11" ht="135" x14ac:dyDescent="0.25">
      <c r="A107" s="20" t="s">
        <v>1179</v>
      </c>
      <c r="B107" s="21">
        <v>46134</v>
      </c>
      <c r="C107" s="20" t="s">
        <v>35</v>
      </c>
      <c r="D107" s="20" t="s">
        <v>276</v>
      </c>
      <c r="E107" s="23">
        <v>260</v>
      </c>
      <c r="F107" s="20" t="s">
        <v>25</v>
      </c>
      <c r="G107" s="22" t="s">
        <v>785</v>
      </c>
      <c r="H107" s="22" t="s">
        <v>313</v>
      </c>
      <c r="I107" s="22" t="s">
        <v>3</v>
      </c>
      <c r="J107" s="22" t="s">
        <v>1178</v>
      </c>
      <c r="K107" s="20" t="s">
        <v>224</v>
      </c>
    </row>
    <row r="108" spans="1:11" ht="121.5" x14ac:dyDescent="0.25">
      <c r="A108" s="20" t="s">
        <v>1190</v>
      </c>
      <c r="B108" s="21">
        <v>46136</v>
      </c>
      <c r="C108" s="20" t="s">
        <v>75</v>
      </c>
      <c r="D108" s="20" t="s">
        <v>218</v>
      </c>
      <c r="E108" s="20"/>
      <c r="F108" s="20" t="s">
        <v>25</v>
      </c>
      <c r="G108" s="22" t="s">
        <v>223</v>
      </c>
      <c r="H108" s="22" t="s">
        <v>812</v>
      </c>
      <c r="I108" s="22" t="s">
        <v>1194</v>
      </c>
      <c r="J108" s="22" t="s">
        <v>1195</v>
      </c>
      <c r="K108" s="20" t="s">
        <v>224</v>
      </c>
    </row>
    <row r="109" spans="1:11" ht="81" x14ac:dyDescent="0.25">
      <c r="A109" s="20" t="s">
        <v>1200</v>
      </c>
      <c r="B109" s="21">
        <v>46137</v>
      </c>
      <c r="C109" s="20" t="s">
        <v>56</v>
      </c>
      <c r="D109" s="20" t="s">
        <v>811</v>
      </c>
      <c r="E109" s="20"/>
      <c r="F109" s="20" t="s">
        <v>26</v>
      </c>
      <c r="G109" s="22" t="s">
        <v>924</v>
      </c>
      <c r="H109" s="22" t="s">
        <v>812</v>
      </c>
      <c r="I109" s="22" t="s">
        <v>3</v>
      </c>
      <c r="J109" s="22" t="s">
        <v>1204</v>
      </c>
      <c r="K109" s="20" t="s">
        <v>224</v>
      </c>
    </row>
    <row r="110" spans="1:11" ht="94.5" x14ac:dyDescent="0.25">
      <c r="A110" s="20" t="s">
        <v>1209</v>
      </c>
      <c r="B110" s="21">
        <v>46138</v>
      </c>
      <c r="C110" s="20" t="s">
        <v>56</v>
      </c>
      <c r="D110" s="20" t="s">
        <v>218</v>
      </c>
      <c r="E110" s="20"/>
      <c r="F110" s="20" t="s">
        <v>25</v>
      </c>
      <c r="G110" s="22" t="s">
        <v>223</v>
      </c>
      <c r="H110" s="22" t="s">
        <v>812</v>
      </c>
      <c r="I110" s="22" t="s">
        <v>1211</v>
      </c>
      <c r="J110" s="22" t="s">
        <v>1212</v>
      </c>
      <c r="K110" s="20" t="s">
        <v>224</v>
      </c>
    </row>
    <row r="111" spans="1:11" ht="67.5" x14ac:dyDescent="0.25">
      <c r="A111" s="20" t="s">
        <v>1222</v>
      </c>
      <c r="B111" s="21">
        <v>46140</v>
      </c>
      <c r="C111" s="20" t="s">
        <v>70</v>
      </c>
      <c r="D111" s="20" t="s">
        <v>236</v>
      </c>
      <c r="E111" s="23">
        <v>296</v>
      </c>
      <c r="F111" s="20" t="s">
        <v>25</v>
      </c>
      <c r="G111" s="22" t="s">
        <v>404</v>
      </c>
      <c r="H111" s="22" t="s">
        <v>313</v>
      </c>
      <c r="I111" s="22" t="s">
        <v>1225</v>
      </c>
      <c r="J111" s="22" t="s">
        <v>1226</v>
      </c>
      <c r="K111" s="20" t="s">
        <v>224</v>
      </c>
    </row>
    <row r="112" spans="1:11" ht="67.5" x14ac:dyDescent="0.25">
      <c r="A112" s="20" t="s">
        <v>1231</v>
      </c>
      <c r="B112" s="21">
        <v>46141</v>
      </c>
      <c r="C112" s="20" t="s">
        <v>70</v>
      </c>
      <c r="D112" s="20" t="s">
        <v>236</v>
      </c>
      <c r="E112" s="23">
        <v>344</v>
      </c>
      <c r="F112" s="20" t="s">
        <v>25</v>
      </c>
      <c r="G112" s="22" t="s">
        <v>404</v>
      </c>
      <c r="H112" s="22" t="s">
        <v>313</v>
      </c>
      <c r="I112" s="22" t="s">
        <v>1234</v>
      </c>
      <c r="J112" s="22" t="s">
        <v>1235</v>
      </c>
      <c r="K112" s="20" t="s">
        <v>224</v>
      </c>
    </row>
    <row r="113" spans="1:11" ht="81" x14ac:dyDescent="0.25">
      <c r="A113" s="20" t="s">
        <v>1236</v>
      </c>
      <c r="B113" s="21">
        <v>46141</v>
      </c>
      <c r="C113" s="20" t="s">
        <v>35</v>
      </c>
      <c r="D113" s="20" t="s">
        <v>236</v>
      </c>
      <c r="E113" s="23">
        <v>120</v>
      </c>
      <c r="F113" s="20" t="s">
        <v>25</v>
      </c>
      <c r="G113" s="22" t="s">
        <v>238</v>
      </c>
      <c r="H113" s="22" t="s">
        <v>211</v>
      </c>
      <c r="I113" s="22" t="s">
        <v>3</v>
      </c>
      <c r="J113" s="22" t="s">
        <v>1238</v>
      </c>
      <c r="K113" s="20" t="s">
        <v>224</v>
      </c>
    </row>
    <row r="114" spans="1:11" ht="40.5" x14ac:dyDescent="0.25">
      <c r="A114" s="20" t="s">
        <v>1239</v>
      </c>
      <c r="B114" s="21">
        <v>46142</v>
      </c>
      <c r="C114" s="20" t="s">
        <v>49</v>
      </c>
      <c r="D114" s="20" t="s">
        <v>263</v>
      </c>
      <c r="E114" s="23">
        <v>86</v>
      </c>
      <c r="F114" s="20" t="s">
        <v>25</v>
      </c>
      <c r="G114" s="22" t="s">
        <v>267</v>
      </c>
      <c r="H114" s="22" t="s">
        <v>228</v>
      </c>
      <c r="I114" s="22" t="s">
        <v>3</v>
      </c>
      <c r="J114" s="22" t="s">
        <v>1241</v>
      </c>
      <c r="K114" s="20" t="s">
        <v>224</v>
      </c>
    </row>
    <row r="115" spans="1:11" ht="27" x14ac:dyDescent="0.25">
      <c r="A115" s="20" t="s">
        <v>1242</v>
      </c>
      <c r="B115" s="21">
        <v>46142</v>
      </c>
      <c r="C115" s="20" t="s">
        <v>49</v>
      </c>
      <c r="D115" s="20" t="s">
        <v>236</v>
      </c>
      <c r="E115" s="23">
        <v>140</v>
      </c>
      <c r="F115" s="20" t="s">
        <v>25</v>
      </c>
      <c r="G115" s="22" t="s">
        <v>1244</v>
      </c>
      <c r="H115" s="22" t="s">
        <v>228</v>
      </c>
      <c r="I115" s="22" t="s">
        <v>3</v>
      </c>
      <c r="J115" s="22" t="s">
        <v>1189</v>
      </c>
      <c r="K115" s="20" t="s">
        <v>224</v>
      </c>
    </row>
    <row r="116" spans="1:11" ht="54" x14ac:dyDescent="0.25">
      <c r="A116" s="20" t="s">
        <v>1249</v>
      </c>
      <c r="B116" s="21">
        <v>46142</v>
      </c>
      <c r="C116" s="20" t="s">
        <v>40</v>
      </c>
      <c r="D116" s="20" t="s">
        <v>236</v>
      </c>
      <c r="E116" s="23">
        <v>305</v>
      </c>
      <c r="F116" s="20" t="s">
        <v>25</v>
      </c>
      <c r="G116" s="22" t="s">
        <v>1253</v>
      </c>
      <c r="H116" s="22" t="s">
        <v>313</v>
      </c>
      <c r="I116" s="22" t="s">
        <v>1251</v>
      </c>
      <c r="J116" s="22" t="s">
        <v>1252</v>
      </c>
      <c r="K116" s="20" t="s">
        <v>224</v>
      </c>
    </row>
    <row r="117" spans="1:11" ht="67.5" x14ac:dyDescent="0.25">
      <c r="A117" s="20" t="s">
        <v>1254</v>
      </c>
      <c r="B117" s="21">
        <v>46143</v>
      </c>
      <c r="C117" s="20" t="s">
        <v>35</v>
      </c>
      <c r="D117" s="20" t="s">
        <v>204</v>
      </c>
      <c r="E117" s="23">
        <v>163</v>
      </c>
      <c r="F117" s="20" t="s">
        <v>25</v>
      </c>
      <c r="G117" s="22" t="s">
        <v>238</v>
      </c>
      <c r="H117" s="22" t="s">
        <v>313</v>
      </c>
      <c r="I117" s="22" t="s">
        <v>3</v>
      </c>
      <c r="J117" s="22" t="s">
        <v>1257</v>
      </c>
      <c r="K117" s="20" t="s">
        <v>224</v>
      </c>
    </row>
    <row r="118" spans="1:11" ht="67.5" x14ac:dyDescent="0.25">
      <c r="A118" s="20" t="s">
        <v>1258</v>
      </c>
      <c r="B118" s="21">
        <v>46144</v>
      </c>
      <c r="C118" s="20" t="s">
        <v>40</v>
      </c>
      <c r="D118" s="20" t="s">
        <v>236</v>
      </c>
      <c r="E118" s="20"/>
      <c r="F118" s="20" t="s">
        <v>26</v>
      </c>
      <c r="G118" s="22" t="s">
        <v>924</v>
      </c>
      <c r="H118" s="22" t="s">
        <v>313</v>
      </c>
      <c r="I118" s="22" t="s">
        <v>3</v>
      </c>
      <c r="J118" s="22" t="s">
        <v>1260</v>
      </c>
      <c r="K118" s="20" t="s">
        <v>224</v>
      </c>
    </row>
    <row r="119" spans="1:11" ht="40.5" x14ac:dyDescent="0.25">
      <c r="A119" s="20" t="s">
        <v>1264</v>
      </c>
      <c r="B119" s="21">
        <v>46148</v>
      </c>
      <c r="C119" s="20" t="s">
        <v>103</v>
      </c>
      <c r="D119" s="20" t="s">
        <v>1266</v>
      </c>
      <c r="E119" s="20"/>
      <c r="F119" s="20" t="s">
        <v>25</v>
      </c>
      <c r="G119" s="22" t="s">
        <v>223</v>
      </c>
      <c r="H119" s="22" t="s">
        <v>812</v>
      </c>
      <c r="I119" s="22" t="s">
        <v>3</v>
      </c>
      <c r="J119" s="22" t="s">
        <v>1267</v>
      </c>
      <c r="K119" s="20" t="s">
        <v>224</v>
      </c>
    </row>
    <row r="120" spans="1:11" ht="27" x14ac:dyDescent="0.25">
      <c r="A120" s="20" t="s">
        <v>1268</v>
      </c>
      <c r="B120" s="21">
        <v>46148</v>
      </c>
      <c r="C120" s="20" t="s">
        <v>49</v>
      </c>
      <c r="D120" s="20" t="s">
        <v>236</v>
      </c>
      <c r="E120" s="23">
        <v>140</v>
      </c>
      <c r="F120" s="20" t="s">
        <v>25</v>
      </c>
      <c r="G120" s="22" t="s">
        <v>1244</v>
      </c>
      <c r="H120" s="22" t="s">
        <v>228</v>
      </c>
      <c r="I120" s="22" t="s">
        <v>3</v>
      </c>
      <c r="J120" s="22" t="s">
        <v>1189</v>
      </c>
      <c r="K120" s="20" t="s">
        <v>224</v>
      </c>
    </row>
    <row r="121" spans="1:11" ht="108" x14ac:dyDescent="0.25">
      <c r="A121" s="20" t="s">
        <v>1282</v>
      </c>
      <c r="B121" s="21">
        <v>46149</v>
      </c>
      <c r="C121" s="20" t="s">
        <v>56</v>
      </c>
      <c r="D121" s="20" t="s">
        <v>817</v>
      </c>
      <c r="E121" s="20"/>
      <c r="F121" s="20" t="s">
        <v>25</v>
      </c>
      <c r="G121" s="22" t="s">
        <v>223</v>
      </c>
      <c r="H121" s="22" t="s">
        <v>812</v>
      </c>
      <c r="I121" s="22" t="s">
        <v>1284</v>
      </c>
      <c r="J121" s="22" t="s">
        <v>1285</v>
      </c>
      <c r="K121" s="20" t="s">
        <v>224</v>
      </c>
    </row>
    <row r="122" spans="1:11" ht="40.5" x14ac:dyDescent="0.25">
      <c r="A122" s="20" t="s">
        <v>1286</v>
      </c>
      <c r="B122" s="21">
        <v>46150</v>
      </c>
      <c r="C122" s="20" t="s">
        <v>108</v>
      </c>
      <c r="D122" s="20" t="s">
        <v>204</v>
      </c>
      <c r="E122" s="20"/>
      <c r="F122" s="20" t="s">
        <v>25</v>
      </c>
      <c r="G122" s="22" t="s">
        <v>223</v>
      </c>
      <c r="H122" s="22" t="s">
        <v>313</v>
      </c>
      <c r="I122" s="22" t="s">
        <v>3</v>
      </c>
      <c r="J122" s="22" t="s">
        <v>1288</v>
      </c>
      <c r="K122" s="20" t="s">
        <v>224</v>
      </c>
    </row>
    <row r="123" spans="1:11" ht="40.5" x14ac:dyDescent="0.25">
      <c r="A123" s="20" t="s">
        <v>1292</v>
      </c>
      <c r="B123" s="21">
        <v>46150</v>
      </c>
      <c r="C123" s="20" t="s">
        <v>118</v>
      </c>
      <c r="D123" s="20" t="s">
        <v>204</v>
      </c>
      <c r="E123" s="20"/>
      <c r="F123" s="20" t="s">
        <v>25</v>
      </c>
      <c r="G123" s="22" t="s">
        <v>223</v>
      </c>
      <c r="H123" s="22" t="s">
        <v>205</v>
      </c>
      <c r="I123" s="22" t="s">
        <v>3</v>
      </c>
      <c r="J123" s="22" t="s">
        <v>1294</v>
      </c>
      <c r="K123" s="20" t="s">
        <v>224</v>
      </c>
    </row>
    <row r="124" spans="1:11" ht="27" x14ac:dyDescent="0.25">
      <c r="A124" s="20" t="s">
        <v>1304</v>
      </c>
      <c r="B124" s="21">
        <v>46153</v>
      </c>
      <c r="C124" s="20" t="s">
        <v>137</v>
      </c>
      <c r="D124" s="20" t="s">
        <v>263</v>
      </c>
      <c r="E124" s="23">
        <v>200</v>
      </c>
      <c r="F124" s="20" t="s">
        <v>25</v>
      </c>
      <c r="G124" s="22" t="s">
        <v>479</v>
      </c>
      <c r="H124" s="22" t="s">
        <v>265</v>
      </c>
      <c r="I124" s="22" t="s">
        <v>1306</v>
      </c>
      <c r="J124" s="22" t="s">
        <v>1307</v>
      </c>
      <c r="K124" s="20" t="s">
        <v>224</v>
      </c>
    </row>
    <row r="125" spans="1:11" ht="40.5" x14ac:dyDescent="0.25">
      <c r="A125" s="20" t="s">
        <v>1318</v>
      </c>
      <c r="B125" s="21">
        <v>46154</v>
      </c>
      <c r="C125" s="20" t="s">
        <v>58</v>
      </c>
      <c r="D125" s="20" t="s">
        <v>204</v>
      </c>
      <c r="E125" s="20"/>
      <c r="F125" s="20" t="s">
        <v>25</v>
      </c>
      <c r="G125" s="22" t="s">
        <v>223</v>
      </c>
      <c r="H125" s="22" t="s">
        <v>205</v>
      </c>
      <c r="I125" s="22" t="s">
        <v>3</v>
      </c>
      <c r="J125" s="22" t="s">
        <v>1320</v>
      </c>
      <c r="K125" s="20" t="s">
        <v>224</v>
      </c>
    </row>
    <row r="126" spans="1:11" ht="148.5" x14ac:dyDescent="0.25">
      <c r="A126" s="20" t="s">
        <v>1335</v>
      </c>
      <c r="B126" s="21">
        <v>46156</v>
      </c>
      <c r="C126" s="20" t="s">
        <v>63</v>
      </c>
      <c r="D126" s="20" t="s">
        <v>236</v>
      </c>
      <c r="E126" s="23">
        <v>72</v>
      </c>
      <c r="F126" s="20" t="s">
        <v>25</v>
      </c>
      <c r="G126" s="22" t="s">
        <v>1338</v>
      </c>
      <c r="H126" s="22" t="s">
        <v>313</v>
      </c>
      <c r="I126" s="22" t="s">
        <v>3</v>
      </c>
      <c r="J126" s="22" t="s">
        <v>1337</v>
      </c>
      <c r="K126" s="20" t="s">
        <v>224</v>
      </c>
    </row>
    <row r="127" spans="1:11" ht="148.5" x14ac:dyDescent="0.25">
      <c r="A127" s="20" t="s">
        <v>1339</v>
      </c>
      <c r="B127" s="21">
        <v>46156</v>
      </c>
      <c r="C127" s="20" t="s">
        <v>63</v>
      </c>
      <c r="D127" s="20" t="s">
        <v>236</v>
      </c>
      <c r="E127" s="23">
        <v>50</v>
      </c>
      <c r="F127" s="20" t="s">
        <v>25</v>
      </c>
      <c r="G127" s="22" t="s">
        <v>1338</v>
      </c>
      <c r="H127" s="22" t="s">
        <v>313</v>
      </c>
      <c r="I127" s="22" t="s">
        <v>3</v>
      </c>
      <c r="J127" s="22" t="s">
        <v>1337</v>
      </c>
      <c r="K127" s="20" t="s">
        <v>224</v>
      </c>
    </row>
    <row r="128" spans="1:11" ht="148.5" x14ac:dyDescent="0.25">
      <c r="A128" s="20" t="s">
        <v>1340</v>
      </c>
      <c r="B128" s="21">
        <v>46156</v>
      </c>
      <c r="C128" s="20" t="s">
        <v>63</v>
      </c>
      <c r="D128" s="20" t="s">
        <v>236</v>
      </c>
      <c r="E128" s="23">
        <v>4</v>
      </c>
      <c r="F128" s="20" t="s">
        <v>25</v>
      </c>
      <c r="G128" s="22" t="s">
        <v>1338</v>
      </c>
      <c r="H128" s="22" t="s">
        <v>313</v>
      </c>
      <c r="I128" s="22" t="s">
        <v>3</v>
      </c>
      <c r="J128" s="22" t="s">
        <v>1337</v>
      </c>
      <c r="K128" s="20" t="s">
        <v>224</v>
      </c>
    </row>
    <row r="129" spans="1:11" ht="162" x14ac:dyDescent="0.25">
      <c r="A129" s="20" t="s">
        <v>1354</v>
      </c>
      <c r="B129" s="21">
        <v>46161</v>
      </c>
      <c r="C129" s="20" t="s">
        <v>127</v>
      </c>
      <c r="D129" s="20" t="s">
        <v>263</v>
      </c>
      <c r="E129" s="20"/>
      <c r="F129" s="20" t="s">
        <v>26</v>
      </c>
      <c r="G129" s="22" t="s">
        <v>1358</v>
      </c>
      <c r="H129" s="22" t="s">
        <v>812</v>
      </c>
      <c r="I129" s="22" t="s">
        <v>3</v>
      </c>
      <c r="J129" s="22" t="s">
        <v>1357</v>
      </c>
      <c r="K129" s="20" t="s">
        <v>224</v>
      </c>
    </row>
    <row r="130" spans="1:11" ht="121.5" x14ac:dyDescent="0.25">
      <c r="A130" s="20" t="s">
        <v>1366</v>
      </c>
      <c r="B130" s="21">
        <v>46161</v>
      </c>
      <c r="C130" s="20" t="s">
        <v>35</v>
      </c>
      <c r="D130" s="20" t="s">
        <v>218</v>
      </c>
      <c r="E130" s="20"/>
      <c r="F130" s="20" t="s">
        <v>26</v>
      </c>
      <c r="G130" s="22" t="s">
        <v>1372</v>
      </c>
      <c r="H130" s="22" t="s">
        <v>812</v>
      </c>
      <c r="I130" s="22" t="s">
        <v>3</v>
      </c>
      <c r="J130" s="22" t="s">
        <v>1371</v>
      </c>
      <c r="K130" s="20" t="s">
        <v>224</v>
      </c>
    </row>
    <row r="131" spans="1:11" ht="135" x14ac:dyDescent="0.25">
      <c r="A131" s="20" t="s">
        <v>1373</v>
      </c>
      <c r="B131" s="21">
        <v>46161</v>
      </c>
      <c r="C131" s="20" t="s">
        <v>63</v>
      </c>
      <c r="D131" s="20" t="s">
        <v>236</v>
      </c>
      <c r="E131" s="23">
        <v>20</v>
      </c>
      <c r="F131" s="20" t="s">
        <v>26</v>
      </c>
      <c r="G131" s="22" t="s">
        <v>1376</v>
      </c>
      <c r="H131" s="22" t="s">
        <v>313</v>
      </c>
      <c r="I131" s="22" t="s">
        <v>3</v>
      </c>
      <c r="J131" s="22" t="s">
        <v>1375</v>
      </c>
      <c r="K131" s="20" t="s">
        <v>224</v>
      </c>
    </row>
    <row r="132" spans="1:11" ht="135" x14ac:dyDescent="0.25">
      <c r="A132" s="20" t="s">
        <v>1377</v>
      </c>
      <c r="B132" s="21">
        <v>46161</v>
      </c>
      <c r="C132" s="20" t="s">
        <v>63</v>
      </c>
      <c r="D132" s="20" t="s">
        <v>236</v>
      </c>
      <c r="E132" s="23">
        <v>65</v>
      </c>
      <c r="F132" s="20" t="s">
        <v>26</v>
      </c>
      <c r="G132" s="22" t="s">
        <v>1376</v>
      </c>
      <c r="H132" s="22" t="s">
        <v>313</v>
      </c>
      <c r="I132" s="22" t="s">
        <v>3</v>
      </c>
      <c r="J132" s="22" t="s">
        <v>1375</v>
      </c>
      <c r="K132" s="20" t="s">
        <v>224</v>
      </c>
    </row>
    <row r="133" spans="1:11" ht="121.5" x14ac:dyDescent="0.25">
      <c r="A133" s="20" t="s">
        <v>1378</v>
      </c>
      <c r="B133" s="21">
        <v>46162</v>
      </c>
      <c r="C133" s="20" t="s">
        <v>75</v>
      </c>
      <c r="D133" s="20" t="s">
        <v>218</v>
      </c>
      <c r="E133" s="20"/>
      <c r="F133" s="20" t="s">
        <v>26</v>
      </c>
      <c r="G133" s="22" t="s">
        <v>924</v>
      </c>
      <c r="H133" s="22" t="s">
        <v>812</v>
      </c>
      <c r="I133" s="22" t="s">
        <v>3</v>
      </c>
      <c r="J133" s="22" t="s">
        <v>1380</v>
      </c>
      <c r="K133" s="20" t="s">
        <v>224</v>
      </c>
    </row>
    <row r="134" spans="1:11" ht="40.5" x14ac:dyDescent="0.25">
      <c r="A134" s="20" t="s">
        <v>1384</v>
      </c>
      <c r="B134" s="21">
        <v>46162</v>
      </c>
      <c r="C134" s="20" t="s">
        <v>35</v>
      </c>
      <c r="D134" s="20" t="s">
        <v>204</v>
      </c>
      <c r="E134" s="20"/>
      <c r="F134" s="20" t="s">
        <v>25</v>
      </c>
      <c r="G134" s="22" t="s">
        <v>223</v>
      </c>
      <c r="H134" s="22" t="s">
        <v>205</v>
      </c>
      <c r="I134" s="22" t="s">
        <v>3</v>
      </c>
      <c r="J134" s="22" t="s">
        <v>1387</v>
      </c>
      <c r="K134" s="20" t="s">
        <v>224</v>
      </c>
    </row>
    <row r="135" spans="1:11" ht="40.5" x14ac:dyDescent="0.25">
      <c r="A135" s="20" t="s">
        <v>1395</v>
      </c>
      <c r="B135" s="21">
        <v>46163</v>
      </c>
      <c r="C135" s="20" t="s">
        <v>35</v>
      </c>
      <c r="D135" s="20" t="s">
        <v>204</v>
      </c>
      <c r="E135" s="20"/>
      <c r="F135" s="20" t="s">
        <v>25</v>
      </c>
      <c r="G135" s="22" t="s">
        <v>223</v>
      </c>
      <c r="H135" s="22" t="s">
        <v>205</v>
      </c>
      <c r="I135" s="22" t="s">
        <v>3</v>
      </c>
      <c r="J135" s="22" t="s">
        <v>1397</v>
      </c>
      <c r="K135" s="20" t="s">
        <v>224</v>
      </c>
    </row>
    <row r="136" spans="1:11" ht="54" x14ac:dyDescent="0.25">
      <c r="A136" s="20" t="s">
        <v>1405</v>
      </c>
      <c r="B136" s="21">
        <v>46164</v>
      </c>
      <c r="C136" s="20" t="s">
        <v>35</v>
      </c>
      <c r="D136" s="20" t="s">
        <v>204</v>
      </c>
      <c r="E136" s="20"/>
      <c r="F136" s="20" t="s">
        <v>25</v>
      </c>
      <c r="G136" s="22" t="s">
        <v>223</v>
      </c>
      <c r="H136" s="22" t="s">
        <v>205</v>
      </c>
      <c r="I136" s="22" t="s">
        <v>3</v>
      </c>
      <c r="J136" s="22" t="s">
        <v>1407</v>
      </c>
      <c r="K136" s="20" t="s">
        <v>224</v>
      </c>
    </row>
    <row r="137" spans="1:11" ht="229.5" x14ac:dyDescent="0.25">
      <c r="A137" s="20" t="s">
        <v>1408</v>
      </c>
      <c r="B137" s="21">
        <v>46165</v>
      </c>
      <c r="C137" s="20" t="s">
        <v>86</v>
      </c>
      <c r="D137" s="20" t="s">
        <v>1410</v>
      </c>
      <c r="E137" s="23">
        <v>100</v>
      </c>
      <c r="F137" s="20" t="s">
        <v>25</v>
      </c>
      <c r="G137" s="22" t="s">
        <v>238</v>
      </c>
      <c r="H137" s="22" t="s">
        <v>812</v>
      </c>
      <c r="I137" s="22" t="s">
        <v>3</v>
      </c>
      <c r="J137" s="22" t="s">
        <v>1412</v>
      </c>
      <c r="K137" s="20" t="s">
        <v>224</v>
      </c>
    </row>
    <row r="138" spans="1:11" ht="229.5" x14ac:dyDescent="0.25">
      <c r="A138" s="20" t="s">
        <v>1413</v>
      </c>
      <c r="B138" s="21">
        <v>46165</v>
      </c>
      <c r="C138" s="20" t="s">
        <v>86</v>
      </c>
      <c r="D138" s="20" t="s">
        <v>1410</v>
      </c>
      <c r="E138" s="23">
        <v>100</v>
      </c>
      <c r="F138" s="20" t="s">
        <v>25</v>
      </c>
      <c r="G138" s="22" t="s">
        <v>238</v>
      </c>
      <c r="H138" s="22" t="s">
        <v>812</v>
      </c>
      <c r="I138" s="22" t="s">
        <v>3</v>
      </c>
      <c r="J138" s="22" t="s">
        <v>1412</v>
      </c>
      <c r="K138" s="20" t="s">
        <v>224</v>
      </c>
    </row>
    <row r="139" spans="1:11" ht="27" x14ac:dyDescent="0.25">
      <c r="A139" s="20" t="s">
        <v>1418</v>
      </c>
      <c r="B139" s="21">
        <v>46167</v>
      </c>
      <c r="C139" s="20" t="s">
        <v>45</v>
      </c>
      <c r="D139" s="20" t="s">
        <v>1420</v>
      </c>
      <c r="E139" s="23">
        <v>208.38</v>
      </c>
      <c r="F139" s="20" t="s">
        <v>26</v>
      </c>
      <c r="G139" s="22" t="s">
        <v>543</v>
      </c>
      <c r="H139" s="22" t="s">
        <v>313</v>
      </c>
      <c r="I139" s="22" t="s">
        <v>1422</v>
      </c>
      <c r="J139" s="22" t="s">
        <v>1423</v>
      </c>
      <c r="K139" s="20" t="s">
        <v>224</v>
      </c>
    </row>
    <row r="140" spans="1:11" ht="27" x14ac:dyDescent="0.25">
      <c r="A140" s="20" t="s">
        <v>1424</v>
      </c>
      <c r="B140" s="21">
        <v>46167</v>
      </c>
      <c r="C140" s="20" t="s">
        <v>45</v>
      </c>
      <c r="D140" s="20" t="s">
        <v>852</v>
      </c>
      <c r="E140" s="23">
        <v>272.89999999999998</v>
      </c>
      <c r="F140" s="20" t="s">
        <v>26</v>
      </c>
      <c r="G140" s="22" t="s">
        <v>543</v>
      </c>
      <c r="H140" s="22" t="s">
        <v>313</v>
      </c>
      <c r="I140" s="22" t="s">
        <v>1426</v>
      </c>
      <c r="J140" s="22" t="s">
        <v>1427</v>
      </c>
      <c r="K140" s="20" t="s">
        <v>224</v>
      </c>
    </row>
    <row r="141" spans="1:11" ht="40.5" x14ac:dyDescent="0.25">
      <c r="A141" s="20" t="s">
        <v>1432</v>
      </c>
      <c r="B141" s="21">
        <v>46167</v>
      </c>
      <c r="C141" s="20" t="s">
        <v>47</v>
      </c>
      <c r="D141" s="20" t="s">
        <v>204</v>
      </c>
      <c r="E141" s="20"/>
      <c r="F141" s="20" t="s">
        <v>25</v>
      </c>
      <c r="G141" s="22" t="s">
        <v>223</v>
      </c>
      <c r="H141" s="22" t="s">
        <v>205</v>
      </c>
      <c r="I141" s="22" t="s">
        <v>3</v>
      </c>
      <c r="J141" s="22" t="s">
        <v>1434</v>
      </c>
      <c r="K141" s="20" t="s">
        <v>224</v>
      </c>
    </row>
    <row r="142" spans="1:11" ht="54" x14ac:dyDescent="0.25">
      <c r="A142" s="20" t="s">
        <v>1438</v>
      </c>
      <c r="B142" s="21">
        <v>46168</v>
      </c>
      <c r="C142" s="20" t="s">
        <v>88</v>
      </c>
      <c r="D142" s="20" t="s">
        <v>263</v>
      </c>
      <c r="E142" s="20"/>
      <c r="F142" s="20" t="s">
        <v>26</v>
      </c>
      <c r="G142" s="22" t="s">
        <v>1129</v>
      </c>
      <c r="H142" s="22" t="s">
        <v>205</v>
      </c>
      <c r="I142" s="22" t="s">
        <v>3</v>
      </c>
      <c r="J142" s="22" t="s">
        <v>1441</v>
      </c>
      <c r="K142" s="20" t="s">
        <v>224</v>
      </c>
    </row>
    <row r="143" spans="1:11" ht="27" x14ac:dyDescent="0.25">
      <c r="A143" s="20" t="s">
        <v>1449</v>
      </c>
      <c r="B143" s="21">
        <v>46169</v>
      </c>
      <c r="C143" s="20" t="s">
        <v>71</v>
      </c>
      <c r="D143" s="20" t="s">
        <v>263</v>
      </c>
      <c r="E143" s="23">
        <v>160</v>
      </c>
      <c r="F143" s="20" t="s">
        <v>25</v>
      </c>
      <c r="G143" s="22" t="s">
        <v>267</v>
      </c>
      <c r="H143" s="22" t="s">
        <v>228</v>
      </c>
      <c r="I143" s="22" t="s">
        <v>3</v>
      </c>
      <c r="J143" s="22" t="s">
        <v>1451</v>
      </c>
      <c r="K143" s="20" t="s">
        <v>224</v>
      </c>
    </row>
    <row r="144" spans="1:11" ht="81" x14ac:dyDescent="0.25">
      <c r="A144" s="20" t="s">
        <v>1476</v>
      </c>
      <c r="B144" s="21">
        <v>46175</v>
      </c>
      <c r="C144" s="20" t="s">
        <v>104</v>
      </c>
      <c r="D144" s="20" t="s">
        <v>263</v>
      </c>
      <c r="E144" s="23">
        <v>290</v>
      </c>
      <c r="F144" s="20" t="s">
        <v>25</v>
      </c>
      <c r="G144" s="22" t="s">
        <v>267</v>
      </c>
      <c r="H144" s="22" t="s">
        <v>812</v>
      </c>
      <c r="I144" s="22" t="s">
        <v>1479</v>
      </c>
      <c r="J144" s="22" t="s">
        <v>1480</v>
      </c>
      <c r="K144" s="20" t="s">
        <v>224</v>
      </c>
    </row>
    <row r="145" spans="1:11" ht="54" x14ac:dyDescent="0.25">
      <c r="A145" s="20" t="s">
        <v>1481</v>
      </c>
      <c r="B145" s="21">
        <v>46175</v>
      </c>
      <c r="C145" s="20" t="s">
        <v>42</v>
      </c>
      <c r="D145" s="20" t="s">
        <v>204</v>
      </c>
      <c r="E145" s="20"/>
      <c r="F145" s="20" t="s">
        <v>25</v>
      </c>
      <c r="G145" s="22" t="s">
        <v>223</v>
      </c>
      <c r="H145" s="22" t="s">
        <v>205</v>
      </c>
      <c r="I145" s="22" t="s">
        <v>3</v>
      </c>
      <c r="J145" s="22" t="s">
        <v>1484</v>
      </c>
      <c r="K145" s="20" t="s">
        <v>224</v>
      </c>
    </row>
    <row r="146" spans="1:11" ht="54" x14ac:dyDescent="0.25">
      <c r="A146" s="20" t="s">
        <v>1489</v>
      </c>
      <c r="B146" s="21">
        <v>46176</v>
      </c>
      <c r="C146" s="20" t="s">
        <v>42</v>
      </c>
      <c r="D146" s="20" t="s">
        <v>204</v>
      </c>
      <c r="E146" s="20"/>
      <c r="F146" s="20" t="s">
        <v>25</v>
      </c>
      <c r="G146" s="22" t="s">
        <v>223</v>
      </c>
      <c r="H146" s="22" t="s">
        <v>205</v>
      </c>
      <c r="I146" s="22" t="s">
        <v>3</v>
      </c>
      <c r="J146" s="22" t="s">
        <v>1491</v>
      </c>
      <c r="K146" s="20" t="s">
        <v>224</v>
      </c>
    </row>
    <row r="147" spans="1:11" ht="54" x14ac:dyDescent="0.25">
      <c r="A147" s="20" t="s">
        <v>1492</v>
      </c>
      <c r="B147" s="21">
        <v>46177</v>
      </c>
      <c r="C147" s="20" t="s">
        <v>42</v>
      </c>
      <c r="D147" s="20" t="s">
        <v>204</v>
      </c>
      <c r="E147" s="20"/>
      <c r="F147" s="20" t="s">
        <v>25</v>
      </c>
      <c r="G147" s="22" t="s">
        <v>223</v>
      </c>
      <c r="H147" s="22" t="s">
        <v>205</v>
      </c>
      <c r="I147" s="22" t="s">
        <v>3</v>
      </c>
      <c r="J147" s="22" t="s">
        <v>1495</v>
      </c>
      <c r="K147" s="20" t="s">
        <v>224</v>
      </c>
    </row>
    <row r="148" spans="1:11" ht="40.5" x14ac:dyDescent="0.25">
      <c r="A148" s="20" t="s">
        <v>1506</v>
      </c>
      <c r="B148" s="21">
        <v>46181</v>
      </c>
      <c r="C148" s="20" t="s">
        <v>35</v>
      </c>
      <c r="D148" s="20" t="s">
        <v>204</v>
      </c>
      <c r="E148" s="20"/>
      <c r="F148" s="20" t="s">
        <v>25</v>
      </c>
      <c r="G148" s="22" t="s">
        <v>223</v>
      </c>
      <c r="H148" s="22" t="s">
        <v>205</v>
      </c>
      <c r="I148" s="22" t="s">
        <v>3</v>
      </c>
      <c r="J148" s="22" t="s">
        <v>1508</v>
      </c>
      <c r="K148" s="20" t="s">
        <v>224</v>
      </c>
    </row>
    <row r="149" spans="1:11" ht="54" x14ac:dyDescent="0.25">
      <c r="A149" s="20" t="s">
        <v>1513</v>
      </c>
      <c r="B149" s="21">
        <v>46182</v>
      </c>
      <c r="C149" s="20" t="s">
        <v>42</v>
      </c>
      <c r="D149" s="20" t="s">
        <v>204</v>
      </c>
      <c r="E149" s="20"/>
      <c r="F149" s="20" t="s">
        <v>25</v>
      </c>
      <c r="G149" s="22" t="s">
        <v>223</v>
      </c>
      <c r="H149" s="22" t="s">
        <v>205</v>
      </c>
      <c r="I149" s="22" t="s">
        <v>3</v>
      </c>
      <c r="J149" s="22" t="s">
        <v>1516</v>
      </c>
      <c r="K149" s="20" t="s">
        <v>224</v>
      </c>
    </row>
    <row r="150" spans="1:11" ht="54" x14ac:dyDescent="0.25">
      <c r="A150" s="20" t="s">
        <v>1523</v>
      </c>
      <c r="B150" s="21">
        <v>46184</v>
      </c>
      <c r="C150" s="20" t="s">
        <v>42</v>
      </c>
      <c r="D150" s="20" t="s">
        <v>204</v>
      </c>
      <c r="E150" s="20"/>
      <c r="F150" s="20" t="s">
        <v>25</v>
      </c>
      <c r="G150" s="22" t="s">
        <v>223</v>
      </c>
      <c r="H150" s="22" t="s">
        <v>205</v>
      </c>
      <c r="I150" s="22" t="s">
        <v>3</v>
      </c>
      <c r="J150" s="22" t="s">
        <v>1525</v>
      </c>
      <c r="K150" s="20" t="s">
        <v>224</v>
      </c>
    </row>
    <row r="151" spans="1:11" x14ac:dyDescent="0.25">
      <c r="A151" s="20" t="s">
        <v>1526</v>
      </c>
      <c r="B151" s="21">
        <v>46185</v>
      </c>
      <c r="C151" s="20" t="s">
        <v>45</v>
      </c>
      <c r="D151" s="20" t="s">
        <v>263</v>
      </c>
      <c r="E151" s="23">
        <v>326</v>
      </c>
      <c r="F151" s="20" t="s">
        <v>26</v>
      </c>
      <c r="G151" s="22" t="s">
        <v>474</v>
      </c>
      <c r="H151" s="22" t="s">
        <v>1528</v>
      </c>
      <c r="I151" s="22" t="s">
        <v>3</v>
      </c>
      <c r="J151" s="22" t="s">
        <v>1529</v>
      </c>
      <c r="K151" s="20" t="s">
        <v>224</v>
      </c>
    </row>
    <row r="152" spans="1:11" ht="40.5" x14ac:dyDescent="0.25">
      <c r="A152" s="20" t="s">
        <v>1530</v>
      </c>
      <c r="B152" s="21">
        <v>46185</v>
      </c>
      <c r="C152" s="20" t="s">
        <v>143</v>
      </c>
      <c r="D152" s="20" t="s">
        <v>263</v>
      </c>
      <c r="E152" s="20"/>
      <c r="F152" s="20" t="s">
        <v>26</v>
      </c>
      <c r="G152" s="22" t="s">
        <v>1129</v>
      </c>
      <c r="H152" s="22" t="s">
        <v>205</v>
      </c>
      <c r="I152" s="22" t="s">
        <v>3</v>
      </c>
      <c r="J152" s="22" t="s">
        <v>1532</v>
      </c>
      <c r="K152" s="20" t="s">
        <v>224</v>
      </c>
    </row>
    <row r="153" spans="1:11" ht="67.5" x14ac:dyDescent="0.25">
      <c r="A153" s="20" t="s">
        <v>1538</v>
      </c>
      <c r="B153" s="21">
        <v>46187</v>
      </c>
      <c r="C153" s="20" t="s">
        <v>35</v>
      </c>
      <c r="D153" s="20" t="s">
        <v>236</v>
      </c>
      <c r="E153" s="23">
        <v>15</v>
      </c>
      <c r="F153" s="20" t="s">
        <v>25</v>
      </c>
      <c r="G153" s="22" t="s">
        <v>238</v>
      </c>
      <c r="H153" s="22" t="s">
        <v>313</v>
      </c>
      <c r="I153" s="22" t="s">
        <v>3</v>
      </c>
      <c r="J153" s="22" t="s">
        <v>1541</v>
      </c>
      <c r="K153" s="20" t="s">
        <v>224</v>
      </c>
    </row>
    <row r="154" spans="1:11" ht="54" x14ac:dyDescent="0.25">
      <c r="A154" s="20" t="s">
        <v>1542</v>
      </c>
      <c r="B154" s="21">
        <v>46188</v>
      </c>
      <c r="C154" s="20" t="s">
        <v>97</v>
      </c>
      <c r="D154" s="20" t="s">
        <v>263</v>
      </c>
      <c r="E154" s="23">
        <v>280</v>
      </c>
      <c r="F154" s="20" t="s">
        <v>25</v>
      </c>
      <c r="G154" s="22" t="s">
        <v>267</v>
      </c>
      <c r="H154" s="22" t="s">
        <v>205</v>
      </c>
      <c r="I154" s="22" t="s">
        <v>3</v>
      </c>
      <c r="J154" s="22" t="s">
        <v>1544</v>
      </c>
      <c r="K154" s="20" t="s">
        <v>224</v>
      </c>
    </row>
    <row r="155" spans="1:11" ht="54" x14ac:dyDescent="0.25">
      <c r="A155" s="20" t="s">
        <v>1562</v>
      </c>
      <c r="B155" s="21">
        <v>46193</v>
      </c>
      <c r="C155" s="20" t="s">
        <v>42</v>
      </c>
      <c r="D155" s="20" t="s">
        <v>204</v>
      </c>
      <c r="E155" s="20"/>
      <c r="F155" s="20" t="s">
        <v>25</v>
      </c>
      <c r="G155" s="22" t="s">
        <v>223</v>
      </c>
      <c r="H155" s="22" t="s">
        <v>205</v>
      </c>
      <c r="I155" s="22" t="s">
        <v>3</v>
      </c>
      <c r="J155" s="22" t="s">
        <v>1564</v>
      </c>
      <c r="K155" s="20" t="s">
        <v>224</v>
      </c>
    </row>
    <row r="156" spans="1:11" ht="54" x14ac:dyDescent="0.25">
      <c r="A156" s="20" t="s">
        <v>1565</v>
      </c>
      <c r="B156" s="21">
        <v>46194</v>
      </c>
      <c r="C156" s="20" t="s">
        <v>80</v>
      </c>
      <c r="D156" s="20" t="s">
        <v>236</v>
      </c>
      <c r="E156" s="23">
        <v>515</v>
      </c>
      <c r="F156" s="20" t="s">
        <v>25</v>
      </c>
      <c r="G156" s="22" t="s">
        <v>601</v>
      </c>
      <c r="H156" s="22" t="s">
        <v>313</v>
      </c>
      <c r="I156" s="22" t="s">
        <v>1567</v>
      </c>
      <c r="J156" s="22" t="s">
        <v>1568</v>
      </c>
      <c r="K156" s="20" t="s">
        <v>224</v>
      </c>
    </row>
    <row r="157" spans="1:11" ht="67.5" x14ac:dyDescent="0.25">
      <c r="A157" s="20" t="s">
        <v>1569</v>
      </c>
      <c r="B157" s="21">
        <v>46195</v>
      </c>
      <c r="C157" s="20" t="s">
        <v>164</v>
      </c>
      <c r="D157" s="20" t="s">
        <v>236</v>
      </c>
      <c r="E157" s="20"/>
      <c r="F157" s="20" t="s">
        <v>25</v>
      </c>
      <c r="G157" s="22" t="s">
        <v>223</v>
      </c>
      <c r="H157" s="22" t="s">
        <v>313</v>
      </c>
      <c r="I157" s="22" t="s">
        <v>3</v>
      </c>
      <c r="J157" s="22" t="s">
        <v>1571</v>
      </c>
      <c r="K157" s="20" t="s">
        <v>224</v>
      </c>
    </row>
    <row r="158" spans="1:11" ht="67.5" x14ac:dyDescent="0.25">
      <c r="A158" s="20" t="s">
        <v>1572</v>
      </c>
      <c r="B158" s="21">
        <v>46198</v>
      </c>
      <c r="C158" s="20" t="s">
        <v>42</v>
      </c>
      <c r="D158" s="20" t="s">
        <v>263</v>
      </c>
      <c r="E158" s="20"/>
      <c r="F158" s="20" t="s">
        <v>26</v>
      </c>
      <c r="G158" s="22" t="s">
        <v>1129</v>
      </c>
      <c r="H158" s="22" t="s">
        <v>205</v>
      </c>
      <c r="I158" s="22" t="s">
        <v>3</v>
      </c>
      <c r="J158" s="22" t="s">
        <v>1574</v>
      </c>
      <c r="K158" s="20" t="s">
        <v>224</v>
      </c>
    </row>
    <row r="159" spans="1:11" ht="54" x14ac:dyDescent="0.25">
      <c r="A159" s="20" t="s">
        <v>1585</v>
      </c>
      <c r="B159" s="21">
        <v>46202</v>
      </c>
      <c r="C159" s="20" t="s">
        <v>119</v>
      </c>
      <c r="D159" s="20" t="s">
        <v>204</v>
      </c>
      <c r="E159" s="20"/>
      <c r="F159" s="20" t="s">
        <v>25</v>
      </c>
      <c r="G159" s="22" t="s">
        <v>223</v>
      </c>
      <c r="H159" s="22" t="s">
        <v>205</v>
      </c>
      <c r="I159" s="22" t="s">
        <v>3</v>
      </c>
      <c r="J159" s="22" t="s">
        <v>1588</v>
      </c>
      <c r="K159" s="20" t="s">
        <v>224</v>
      </c>
    </row>
    <row r="160" spans="1:11" ht="54" x14ac:dyDescent="0.25">
      <c r="A160" s="20" t="s">
        <v>1589</v>
      </c>
      <c r="B160" s="21">
        <v>46203</v>
      </c>
      <c r="C160" s="20" t="s">
        <v>88</v>
      </c>
      <c r="D160" s="20" t="s">
        <v>204</v>
      </c>
      <c r="E160" s="20"/>
      <c r="F160" s="20" t="s">
        <v>25</v>
      </c>
      <c r="G160" s="22" t="s">
        <v>223</v>
      </c>
      <c r="H160" s="22" t="s">
        <v>205</v>
      </c>
      <c r="I160" s="22" t="s">
        <v>3</v>
      </c>
      <c r="J160" s="22" t="s">
        <v>1591</v>
      </c>
      <c r="K160" s="20" t="s">
        <v>224</v>
      </c>
    </row>
    <row r="161" spans="1:11" ht="40.5" x14ac:dyDescent="0.25">
      <c r="A161" s="20" t="s">
        <v>1599</v>
      </c>
      <c r="B161" s="21">
        <v>46205</v>
      </c>
      <c r="C161" s="20" t="s">
        <v>152</v>
      </c>
      <c r="D161" s="20" t="s">
        <v>204</v>
      </c>
      <c r="E161" s="20"/>
      <c r="F161" s="20" t="s">
        <v>25</v>
      </c>
      <c r="G161" s="22" t="s">
        <v>223</v>
      </c>
      <c r="H161" s="22" t="s">
        <v>205</v>
      </c>
      <c r="I161" s="22" t="s">
        <v>3</v>
      </c>
      <c r="J161" s="22" t="s">
        <v>1601</v>
      </c>
      <c r="K161" s="20" t="s">
        <v>224</v>
      </c>
    </row>
    <row r="162" spans="1:11" ht="54" x14ac:dyDescent="0.25">
      <c r="A162" s="20" t="s">
        <v>1606</v>
      </c>
      <c r="B162" s="21">
        <v>46206</v>
      </c>
      <c r="C162" s="20" t="s">
        <v>168</v>
      </c>
      <c r="D162" s="20" t="s">
        <v>204</v>
      </c>
      <c r="E162" s="20"/>
      <c r="F162" s="20" t="s">
        <v>25</v>
      </c>
      <c r="G162" s="22" t="s">
        <v>223</v>
      </c>
      <c r="H162" s="22" t="s">
        <v>205</v>
      </c>
      <c r="I162" s="22" t="s">
        <v>3</v>
      </c>
      <c r="J162" s="22" t="s">
        <v>1608</v>
      </c>
      <c r="K162" s="20" t="s">
        <v>224</v>
      </c>
    </row>
    <row r="163" spans="1:11" ht="108" x14ac:dyDescent="0.25">
      <c r="A163" s="20" t="s">
        <v>1609</v>
      </c>
      <c r="B163" s="21">
        <v>46209</v>
      </c>
      <c r="C163" s="20" t="s">
        <v>98</v>
      </c>
      <c r="D163" s="20" t="s">
        <v>236</v>
      </c>
      <c r="E163" s="23">
        <v>218</v>
      </c>
      <c r="F163" s="20" t="s">
        <v>25</v>
      </c>
      <c r="G163" s="22" t="s">
        <v>404</v>
      </c>
      <c r="H163" s="22" t="s">
        <v>313</v>
      </c>
      <c r="I163" s="22" t="s">
        <v>1611</v>
      </c>
      <c r="J163" s="22" t="s">
        <v>1612</v>
      </c>
      <c r="K163" s="20" t="s">
        <v>224</v>
      </c>
    </row>
    <row r="164" spans="1:11" ht="108" x14ac:dyDescent="0.25">
      <c r="A164" s="20" t="s">
        <v>1613</v>
      </c>
      <c r="B164" s="21">
        <v>46209</v>
      </c>
      <c r="C164" s="20" t="s">
        <v>98</v>
      </c>
      <c r="D164" s="20" t="s">
        <v>204</v>
      </c>
      <c r="E164" s="23">
        <v>80</v>
      </c>
      <c r="F164" s="20" t="s">
        <v>25</v>
      </c>
      <c r="G164" s="22" t="s">
        <v>404</v>
      </c>
      <c r="H164" s="22" t="s">
        <v>313</v>
      </c>
      <c r="I164" s="22" t="s">
        <v>1611</v>
      </c>
      <c r="J164" s="22" t="s">
        <v>1612</v>
      </c>
      <c r="K164" s="20" t="s">
        <v>224</v>
      </c>
    </row>
    <row r="165" spans="1:11" ht="40.5" x14ac:dyDescent="0.25">
      <c r="A165" s="20" t="s">
        <v>1614</v>
      </c>
      <c r="B165" s="21">
        <v>46209</v>
      </c>
      <c r="C165" s="20" t="s">
        <v>99</v>
      </c>
      <c r="D165" s="20" t="s">
        <v>204</v>
      </c>
      <c r="E165" s="20"/>
      <c r="F165" s="20" t="s">
        <v>25</v>
      </c>
      <c r="G165" s="22" t="s">
        <v>223</v>
      </c>
      <c r="H165" s="22" t="s">
        <v>205</v>
      </c>
      <c r="I165" s="22" t="s">
        <v>3</v>
      </c>
      <c r="J165" s="22" t="s">
        <v>1616</v>
      </c>
      <c r="K165" s="20" t="s">
        <v>224</v>
      </c>
    </row>
    <row r="166" spans="1:11" ht="121.5" x14ac:dyDescent="0.25">
      <c r="A166" s="20" t="s">
        <v>1617</v>
      </c>
      <c r="B166" s="21">
        <v>46210</v>
      </c>
      <c r="C166" s="20" t="s">
        <v>81</v>
      </c>
      <c r="D166" s="20" t="s">
        <v>236</v>
      </c>
      <c r="E166" s="23">
        <v>341</v>
      </c>
      <c r="F166" s="20" t="s">
        <v>25</v>
      </c>
      <c r="G166" s="22" t="s">
        <v>353</v>
      </c>
      <c r="H166" s="22" t="s">
        <v>313</v>
      </c>
      <c r="I166" s="22" t="s">
        <v>1619</v>
      </c>
      <c r="J166" s="22" t="s">
        <v>1620</v>
      </c>
      <c r="K166" s="20" t="s">
        <v>224</v>
      </c>
    </row>
    <row r="167" spans="1:11" ht="121.5" x14ac:dyDescent="0.25">
      <c r="A167" s="20" t="s">
        <v>1621</v>
      </c>
      <c r="B167" s="21">
        <v>46210</v>
      </c>
      <c r="C167" s="20" t="s">
        <v>81</v>
      </c>
      <c r="D167" s="20" t="s">
        <v>236</v>
      </c>
      <c r="E167" s="23">
        <v>54</v>
      </c>
      <c r="F167" s="20" t="s">
        <v>25</v>
      </c>
      <c r="G167" s="22" t="s">
        <v>353</v>
      </c>
      <c r="H167" s="22" t="s">
        <v>313</v>
      </c>
      <c r="I167" s="22" t="s">
        <v>1619</v>
      </c>
      <c r="J167" s="22" t="s">
        <v>1620</v>
      </c>
      <c r="K167" s="20" t="s">
        <v>224</v>
      </c>
    </row>
    <row r="168" spans="1:11" ht="121.5" x14ac:dyDescent="0.25">
      <c r="A168" s="20" t="s">
        <v>1622</v>
      </c>
      <c r="B168" s="21">
        <v>46210</v>
      </c>
      <c r="C168" s="20" t="s">
        <v>81</v>
      </c>
      <c r="D168" s="20" t="s">
        <v>236</v>
      </c>
      <c r="E168" s="23">
        <v>52</v>
      </c>
      <c r="F168" s="20" t="s">
        <v>25</v>
      </c>
      <c r="G168" s="22" t="s">
        <v>353</v>
      </c>
      <c r="H168" s="22" t="s">
        <v>313</v>
      </c>
      <c r="I168" s="22" t="s">
        <v>1619</v>
      </c>
      <c r="J168" s="22" t="s">
        <v>1620</v>
      </c>
      <c r="K168" s="20" t="s">
        <v>224</v>
      </c>
    </row>
    <row r="169" spans="1:11" ht="40.5" x14ac:dyDescent="0.25">
      <c r="A169" s="20" t="s">
        <v>1623</v>
      </c>
      <c r="B169" s="21">
        <v>46210</v>
      </c>
      <c r="C169" s="20" t="s">
        <v>99</v>
      </c>
      <c r="D169" s="20" t="s">
        <v>204</v>
      </c>
      <c r="E169" s="20"/>
      <c r="F169" s="20" t="s">
        <v>25</v>
      </c>
      <c r="G169" s="22" t="s">
        <v>223</v>
      </c>
      <c r="H169" s="22" t="s">
        <v>205</v>
      </c>
      <c r="I169" s="22" t="s">
        <v>3</v>
      </c>
      <c r="J169" s="22" t="s">
        <v>1625</v>
      </c>
      <c r="K169" s="20" t="s">
        <v>224</v>
      </c>
    </row>
    <row r="170" spans="1:11" ht="40.5" x14ac:dyDescent="0.25">
      <c r="A170" s="20" t="s">
        <v>1626</v>
      </c>
      <c r="B170" s="21">
        <v>46211</v>
      </c>
      <c r="C170" s="20" t="s">
        <v>123</v>
      </c>
      <c r="D170" s="20" t="s">
        <v>204</v>
      </c>
      <c r="E170" s="20"/>
      <c r="F170" s="20" t="s">
        <v>25</v>
      </c>
      <c r="G170" s="22" t="s">
        <v>223</v>
      </c>
      <c r="H170" s="22" t="s">
        <v>205</v>
      </c>
      <c r="I170" s="22" t="s">
        <v>3</v>
      </c>
      <c r="J170" s="22" t="s">
        <v>1628</v>
      </c>
      <c r="K170" s="20" t="s">
        <v>224</v>
      </c>
    </row>
    <row r="171" spans="1:11" ht="27" x14ac:dyDescent="0.25">
      <c r="A171" s="20" t="s">
        <v>1629</v>
      </c>
      <c r="B171" s="21">
        <v>46211</v>
      </c>
      <c r="C171" s="20" t="s">
        <v>169</v>
      </c>
      <c r="D171" s="20" t="s">
        <v>236</v>
      </c>
      <c r="E171" s="23">
        <v>40</v>
      </c>
      <c r="F171" s="20" t="s">
        <v>25</v>
      </c>
      <c r="G171" s="22" t="s">
        <v>238</v>
      </c>
      <c r="H171" s="22" t="s">
        <v>1631</v>
      </c>
      <c r="I171" s="22" t="s">
        <v>3</v>
      </c>
      <c r="J171" s="22" t="s">
        <v>1632</v>
      </c>
      <c r="K171" s="20" t="s">
        <v>224</v>
      </c>
    </row>
    <row r="172" spans="1:11" x14ac:dyDescent="0.25">
      <c r="A172" s="20" t="s">
        <v>1633</v>
      </c>
      <c r="B172" s="21">
        <v>46212</v>
      </c>
      <c r="C172" s="20" t="s">
        <v>45</v>
      </c>
      <c r="D172" s="20" t="s">
        <v>236</v>
      </c>
      <c r="E172" s="23">
        <v>110</v>
      </c>
      <c r="F172" s="20" t="s">
        <v>26</v>
      </c>
      <c r="G172" s="22" t="s">
        <v>543</v>
      </c>
      <c r="H172" s="22" t="s">
        <v>1631</v>
      </c>
      <c r="I172" s="22" t="s">
        <v>3</v>
      </c>
      <c r="J172" s="22" t="s">
        <v>1635</v>
      </c>
      <c r="K172" s="20" t="s">
        <v>224</v>
      </c>
    </row>
    <row r="173" spans="1:11" ht="67.5" x14ac:dyDescent="0.25">
      <c r="A173" s="20" t="s">
        <v>1640</v>
      </c>
      <c r="B173" s="21">
        <v>46213</v>
      </c>
      <c r="C173" s="20" t="s">
        <v>42</v>
      </c>
      <c r="D173" s="20" t="s">
        <v>204</v>
      </c>
      <c r="E173" s="20"/>
      <c r="F173" s="20" t="s">
        <v>25</v>
      </c>
      <c r="G173" s="22" t="s">
        <v>223</v>
      </c>
      <c r="H173" s="22" t="s">
        <v>205</v>
      </c>
      <c r="I173" s="22" t="s">
        <v>3</v>
      </c>
      <c r="J173" s="22" t="s">
        <v>1643</v>
      </c>
      <c r="K173" s="20" t="s">
        <v>224</v>
      </c>
    </row>
    <row r="174" spans="1:11" ht="40.5" x14ac:dyDescent="0.25">
      <c r="A174" s="20" t="s">
        <v>1644</v>
      </c>
      <c r="B174" s="21">
        <v>46216</v>
      </c>
      <c r="C174" s="20" t="s">
        <v>145</v>
      </c>
      <c r="D174" s="20" t="s">
        <v>263</v>
      </c>
      <c r="E174" s="20"/>
      <c r="F174" s="20" t="s">
        <v>26</v>
      </c>
      <c r="G174" s="22" t="s">
        <v>1129</v>
      </c>
      <c r="H174" s="22" t="s">
        <v>205</v>
      </c>
      <c r="I174" s="22" t="s">
        <v>3</v>
      </c>
      <c r="J174" s="22" t="s">
        <v>1646</v>
      </c>
      <c r="K174" s="20" t="s">
        <v>224</v>
      </c>
    </row>
    <row r="175" spans="1:11" ht="67.5" x14ac:dyDescent="0.25">
      <c r="A175" s="20" t="s">
        <v>1650</v>
      </c>
      <c r="B175" s="21">
        <v>46217</v>
      </c>
      <c r="C175" s="20" t="s">
        <v>42</v>
      </c>
      <c r="D175" s="20" t="s">
        <v>204</v>
      </c>
      <c r="E175" s="20"/>
      <c r="F175" s="20" t="s">
        <v>25</v>
      </c>
      <c r="G175" s="22" t="s">
        <v>223</v>
      </c>
      <c r="H175" s="22" t="s">
        <v>205</v>
      </c>
      <c r="I175" s="22" t="s">
        <v>3</v>
      </c>
      <c r="J175" s="22" t="s">
        <v>1653</v>
      </c>
      <c r="K175" s="20" t="s">
        <v>224</v>
      </c>
    </row>
    <row r="176" spans="1:11" ht="54" x14ac:dyDescent="0.25">
      <c r="A176" s="20" t="s">
        <v>1654</v>
      </c>
      <c r="B176" s="21">
        <v>46218</v>
      </c>
      <c r="C176" s="20" t="s">
        <v>42</v>
      </c>
      <c r="D176" s="20" t="s">
        <v>204</v>
      </c>
      <c r="E176" s="20"/>
      <c r="F176" s="20" t="s">
        <v>25</v>
      </c>
      <c r="G176" s="22" t="s">
        <v>223</v>
      </c>
      <c r="H176" s="22" t="s">
        <v>205</v>
      </c>
      <c r="I176" s="22" t="s">
        <v>3</v>
      </c>
      <c r="J176" s="22" t="s">
        <v>1656</v>
      </c>
      <c r="K176" s="20" t="s">
        <v>224</v>
      </c>
    </row>
    <row r="177" spans="1:11" ht="67.5" x14ac:dyDescent="0.25">
      <c r="A177" s="20" t="s">
        <v>1660</v>
      </c>
      <c r="B177" s="21">
        <v>46219</v>
      </c>
      <c r="C177" s="20" t="s">
        <v>51</v>
      </c>
      <c r="D177" s="20" t="s">
        <v>263</v>
      </c>
      <c r="E177" s="20"/>
      <c r="F177" s="20" t="s">
        <v>26</v>
      </c>
      <c r="G177" s="22" t="s">
        <v>1129</v>
      </c>
      <c r="H177" s="22" t="s">
        <v>205</v>
      </c>
      <c r="I177" s="22" t="s">
        <v>3</v>
      </c>
      <c r="J177" s="22" t="s">
        <v>1664</v>
      </c>
      <c r="K177" s="20" t="s">
        <v>224</v>
      </c>
    </row>
    <row r="178" spans="1:11" ht="54" x14ac:dyDescent="0.25">
      <c r="A178" s="20" t="s">
        <v>1665</v>
      </c>
      <c r="B178" s="21">
        <v>46220</v>
      </c>
      <c r="C178" s="20" t="s">
        <v>51</v>
      </c>
      <c r="D178" s="20" t="s">
        <v>204</v>
      </c>
      <c r="E178" s="20"/>
      <c r="F178" s="20" t="s">
        <v>25</v>
      </c>
      <c r="G178" s="22" t="s">
        <v>223</v>
      </c>
      <c r="H178" s="22" t="s">
        <v>205</v>
      </c>
      <c r="I178" s="22" t="s">
        <v>3</v>
      </c>
      <c r="J178" s="22" t="s">
        <v>1667</v>
      </c>
      <c r="K178" s="20" t="s">
        <v>224</v>
      </c>
    </row>
    <row r="179" spans="1:11" ht="54" x14ac:dyDescent="0.25">
      <c r="A179" s="20" t="s">
        <v>1675</v>
      </c>
      <c r="B179" s="21">
        <v>46225</v>
      </c>
      <c r="C179" s="20" t="s">
        <v>51</v>
      </c>
      <c r="D179" s="20" t="s">
        <v>204</v>
      </c>
      <c r="E179" s="20"/>
      <c r="F179" s="20" t="s">
        <v>25</v>
      </c>
      <c r="G179" s="22" t="s">
        <v>223</v>
      </c>
      <c r="H179" s="22" t="s">
        <v>205</v>
      </c>
      <c r="I179" s="22" t="s">
        <v>3</v>
      </c>
      <c r="J179" s="22" t="s">
        <v>1678</v>
      </c>
      <c r="K179" s="20" t="s">
        <v>224</v>
      </c>
    </row>
    <row r="180" spans="1:11" ht="67.5" x14ac:dyDescent="0.25">
      <c r="A180" s="20" t="s">
        <v>1682</v>
      </c>
      <c r="B180" s="21">
        <v>46226</v>
      </c>
      <c r="C180" s="20" t="s">
        <v>51</v>
      </c>
      <c r="D180" s="20" t="s">
        <v>204</v>
      </c>
      <c r="E180" s="20"/>
      <c r="F180" s="20" t="s">
        <v>25</v>
      </c>
      <c r="G180" s="22" t="s">
        <v>223</v>
      </c>
      <c r="H180" s="22" t="s">
        <v>205</v>
      </c>
      <c r="I180" s="22" t="s">
        <v>3</v>
      </c>
      <c r="J180" s="22" t="s">
        <v>1686</v>
      </c>
      <c r="K180" s="20" t="s">
        <v>224</v>
      </c>
    </row>
    <row r="181" spans="1:11" ht="54" x14ac:dyDescent="0.25">
      <c r="A181" s="20" t="s">
        <v>1690</v>
      </c>
      <c r="B181" s="21">
        <v>46227</v>
      </c>
      <c r="C181" s="20" t="s">
        <v>51</v>
      </c>
      <c r="D181" s="20" t="s">
        <v>204</v>
      </c>
      <c r="E181" s="20"/>
      <c r="F181" s="20" t="s">
        <v>25</v>
      </c>
      <c r="G181" s="22" t="s">
        <v>223</v>
      </c>
      <c r="H181" s="22" t="s">
        <v>205</v>
      </c>
      <c r="I181" s="22" t="s">
        <v>3</v>
      </c>
      <c r="J181" s="22" t="s">
        <v>1692</v>
      </c>
      <c r="K181" s="20" t="s">
        <v>224</v>
      </c>
    </row>
    <row r="182" spans="1:11" ht="81" x14ac:dyDescent="0.25">
      <c r="A182" s="20" t="s">
        <v>1693</v>
      </c>
      <c r="B182" s="21">
        <v>46228</v>
      </c>
      <c r="C182" s="20" t="s">
        <v>79</v>
      </c>
      <c r="D182" s="20" t="s">
        <v>236</v>
      </c>
      <c r="E182" s="20"/>
      <c r="F182" s="20" t="s">
        <v>25</v>
      </c>
      <c r="G182" s="22" t="s">
        <v>223</v>
      </c>
      <c r="H182" s="22" t="s">
        <v>313</v>
      </c>
      <c r="I182" s="22" t="s">
        <v>3</v>
      </c>
      <c r="J182" s="22" t="s">
        <v>1695</v>
      </c>
      <c r="K182" s="20" t="s">
        <v>224</v>
      </c>
    </row>
    <row r="183" spans="1:11" ht="67.5" x14ac:dyDescent="0.25">
      <c r="A183" s="20" t="s">
        <v>1696</v>
      </c>
      <c r="B183" s="21">
        <v>46230</v>
      </c>
      <c r="C183" s="20" t="s">
        <v>42</v>
      </c>
      <c r="D183" s="20" t="s">
        <v>263</v>
      </c>
      <c r="E183" s="23">
        <v>142</v>
      </c>
      <c r="F183" s="20" t="s">
        <v>25</v>
      </c>
      <c r="G183" s="22" t="s">
        <v>267</v>
      </c>
      <c r="H183" s="22" t="s">
        <v>205</v>
      </c>
      <c r="I183" s="22" t="s">
        <v>3</v>
      </c>
      <c r="J183" s="22" t="s">
        <v>1698</v>
      </c>
      <c r="K183" s="20" t="s">
        <v>224</v>
      </c>
    </row>
    <row r="184" spans="1:11" ht="67.5" x14ac:dyDescent="0.25">
      <c r="A184" s="20" t="s">
        <v>1704</v>
      </c>
      <c r="B184" s="21">
        <v>46231</v>
      </c>
      <c r="C184" s="20" t="s">
        <v>42</v>
      </c>
      <c r="D184" s="20" t="s">
        <v>204</v>
      </c>
      <c r="E184" s="20"/>
      <c r="F184" s="20" t="s">
        <v>25</v>
      </c>
      <c r="G184" s="22" t="s">
        <v>223</v>
      </c>
      <c r="H184" s="22" t="s">
        <v>205</v>
      </c>
      <c r="I184" s="22" t="s">
        <v>3</v>
      </c>
      <c r="J184" s="22" t="s">
        <v>1706</v>
      </c>
      <c r="K184" s="20" t="s">
        <v>224</v>
      </c>
    </row>
    <row r="185" spans="1:11" ht="54" x14ac:dyDescent="0.25">
      <c r="A185" s="20" t="s">
        <v>1717</v>
      </c>
      <c r="B185" s="21">
        <v>46234</v>
      </c>
      <c r="C185" s="20" t="s">
        <v>96</v>
      </c>
      <c r="D185" s="20" t="s">
        <v>204</v>
      </c>
      <c r="E185" s="20"/>
      <c r="F185" s="20" t="s">
        <v>25</v>
      </c>
      <c r="G185" s="22" t="s">
        <v>223</v>
      </c>
      <c r="H185" s="22" t="s">
        <v>205</v>
      </c>
      <c r="I185" s="22" t="s">
        <v>3</v>
      </c>
      <c r="J185" s="22" t="s">
        <v>1719</v>
      </c>
      <c r="K185" s="20" t="s">
        <v>224</v>
      </c>
    </row>
    <row r="186" spans="1:11" ht="40.5" x14ac:dyDescent="0.25">
      <c r="A186" s="20" t="s">
        <v>1725</v>
      </c>
      <c r="B186" s="21">
        <v>46237</v>
      </c>
      <c r="C186" s="20" t="s">
        <v>96</v>
      </c>
      <c r="D186" s="20" t="s">
        <v>204</v>
      </c>
      <c r="E186" s="20"/>
      <c r="F186" s="20" t="s">
        <v>25</v>
      </c>
      <c r="G186" s="22" t="s">
        <v>223</v>
      </c>
      <c r="H186" s="22" t="s">
        <v>205</v>
      </c>
      <c r="I186" s="22" t="s">
        <v>3</v>
      </c>
      <c r="J186" s="22" t="s">
        <v>1727</v>
      </c>
      <c r="K186" s="20" t="s">
        <v>224</v>
      </c>
    </row>
    <row r="187" spans="1:11" ht="54" x14ac:dyDescent="0.25">
      <c r="A187" s="20" t="s">
        <v>1731</v>
      </c>
      <c r="B187" s="21">
        <v>46238</v>
      </c>
      <c r="C187" s="20" t="s">
        <v>42</v>
      </c>
      <c r="D187" s="20" t="s">
        <v>204</v>
      </c>
      <c r="E187" s="20"/>
      <c r="F187" s="20" t="s">
        <v>25</v>
      </c>
      <c r="G187" s="22" t="s">
        <v>223</v>
      </c>
      <c r="H187" s="22" t="s">
        <v>205</v>
      </c>
      <c r="I187" s="22" t="s">
        <v>3</v>
      </c>
      <c r="J187" s="22" t="s">
        <v>1733</v>
      </c>
      <c r="K187" s="20" t="s">
        <v>224</v>
      </c>
    </row>
    <row r="188" spans="1:11" x14ac:dyDescent="0.25">
      <c r="A188" s="20" t="s">
        <v>1734</v>
      </c>
      <c r="B188" s="21">
        <v>46240</v>
      </c>
      <c r="C188" s="20" t="s">
        <v>45</v>
      </c>
      <c r="D188" s="20" t="s">
        <v>263</v>
      </c>
      <c r="E188" s="23">
        <v>235</v>
      </c>
      <c r="F188" s="20" t="s">
        <v>26</v>
      </c>
      <c r="G188" s="22" t="s">
        <v>474</v>
      </c>
      <c r="H188" s="22" t="s">
        <v>265</v>
      </c>
      <c r="I188" s="22" t="s">
        <v>1736</v>
      </c>
      <c r="J188" s="22" t="s">
        <v>1737</v>
      </c>
      <c r="K188" s="20" t="s">
        <v>224</v>
      </c>
    </row>
    <row r="189" spans="1:11" ht="175.5" x14ac:dyDescent="0.25">
      <c r="A189" s="20" t="s">
        <v>1738</v>
      </c>
      <c r="B189" s="21">
        <v>46240</v>
      </c>
      <c r="C189" s="20" t="s">
        <v>132</v>
      </c>
      <c r="D189" s="20" t="s">
        <v>506</v>
      </c>
      <c r="E189" s="23">
        <v>17</v>
      </c>
      <c r="F189" s="20" t="s">
        <v>25</v>
      </c>
      <c r="G189" s="22" t="s">
        <v>238</v>
      </c>
      <c r="H189" s="22" t="s">
        <v>313</v>
      </c>
      <c r="I189" s="22" t="s">
        <v>3</v>
      </c>
      <c r="J189" s="22" t="s">
        <v>1740</v>
      </c>
      <c r="K189" s="20" t="s">
        <v>224</v>
      </c>
    </row>
    <row r="190" spans="1:11" ht="175.5" x14ac:dyDescent="0.25">
      <c r="A190" s="20" t="s">
        <v>1741</v>
      </c>
      <c r="B190" s="21">
        <v>46240</v>
      </c>
      <c r="C190" s="20" t="s">
        <v>139</v>
      </c>
      <c r="D190" s="20" t="s">
        <v>218</v>
      </c>
      <c r="E190" s="20"/>
      <c r="F190" s="20" t="s">
        <v>25</v>
      </c>
      <c r="G190" s="22" t="s">
        <v>223</v>
      </c>
      <c r="H190" s="22" t="s">
        <v>812</v>
      </c>
      <c r="I190" s="22" t="s">
        <v>1744</v>
      </c>
      <c r="J190" s="22" t="s">
        <v>1745</v>
      </c>
      <c r="K190" s="20" t="s">
        <v>224</v>
      </c>
    </row>
    <row r="191" spans="1:11" ht="40.5" x14ac:dyDescent="0.25">
      <c r="A191" s="20" t="s">
        <v>1746</v>
      </c>
      <c r="B191" s="21">
        <v>46241</v>
      </c>
      <c r="C191" s="20" t="s">
        <v>125</v>
      </c>
      <c r="D191" s="20" t="s">
        <v>204</v>
      </c>
      <c r="E191" s="20"/>
      <c r="F191" s="20" t="s">
        <v>25</v>
      </c>
      <c r="G191" s="22" t="s">
        <v>223</v>
      </c>
      <c r="H191" s="22" t="s">
        <v>205</v>
      </c>
      <c r="I191" s="22" t="s">
        <v>3</v>
      </c>
      <c r="J191" s="22" t="s">
        <v>1748</v>
      </c>
      <c r="K191" s="20" t="s">
        <v>224</v>
      </c>
    </row>
    <row r="192" spans="1:11" ht="40.5" x14ac:dyDescent="0.25">
      <c r="A192" s="20" t="s">
        <v>1749</v>
      </c>
      <c r="B192" s="21">
        <v>46241</v>
      </c>
      <c r="C192" s="20" t="s">
        <v>149</v>
      </c>
      <c r="D192" s="20" t="s">
        <v>204</v>
      </c>
      <c r="E192" s="20"/>
      <c r="F192" s="20" t="s">
        <v>25</v>
      </c>
      <c r="G192" s="22" t="s">
        <v>223</v>
      </c>
      <c r="H192" s="22" t="s">
        <v>205</v>
      </c>
      <c r="I192" s="22" t="s">
        <v>3</v>
      </c>
      <c r="J192" s="22" t="s">
        <v>1751</v>
      </c>
      <c r="K192" s="20" t="s">
        <v>224</v>
      </c>
    </row>
    <row r="193" spans="1:11" ht="40.5" x14ac:dyDescent="0.25">
      <c r="A193" s="20" t="s">
        <v>1763</v>
      </c>
      <c r="B193" s="21">
        <v>46244</v>
      </c>
      <c r="C193" s="20" t="s">
        <v>144</v>
      </c>
      <c r="D193" s="20" t="s">
        <v>204</v>
      </c>
      <c r="E193" s="20"/>
      <c r="F193" s="20" t="s">
        <v>25</v>
      </c>
      <c r="G193" s="22" t="s">
        <v>223</v>
      </c>
      <c r="H193" s="22" t="s">
        <v>205</v>
      </c>
      <c r="I193" s="22" t="s">
        <v>3</v>
      </c>
      <c r="J193" s="22" t="s">
        <v>1765</v>
      </c>
      <c r="K193" s="20" t="s">
        <v>224</v>
      </c>
    </row>
    <row r="194" spans="1:11" ht="54" x14ac:dyDescent="0.25">
      <c r="A194" s="20" t="s">
        <v>1766</v>
      </c>
      <c r="B194" s="21">
        <v>46245</v>
      </c>
      <c r="C194" s="20" t="s">
        <v>42</v>
      </c>
      <c r="D194" s="20" t="s">
        <v>204</v>
      </c>
      <c r="E194" s="20"/>
      <c r="F194" s="20" t="s">
        <v>25</v>
      </c>
      <c r="G194" s="22" t="s">
        <v>223</v>
      </c>
      <c r="H194" s="22" t="s">
        <v>205</v>
      </c>
      <c r="I194" s="22" t="s">
        <v>3</v>
      </c>
      <c r="J194" s="22" t="s">
        <v>1768</v>
      </c>
      <c r="K194" s="20" t="s">
        <v>224</v>
      </c>
    </row>
    <row r="195" spans="1:11" ht="81" x14ac:dyDescent="0.25">
      <c r="A195" s="20" t="s">
        <v>1772</v>
      </c>
      <c r="B195" s="21">
        <v>46247</v>
      </c>
      <c r="C195" s="20" t="s">
        <v>42</v>
      </c>
      <c r="D195" s="20" t="s">
        <v>236</v>
      </c>
      <c r="E195" s="23">
        <v>481</v>
      </c>
      <c r="F195" s="20" t="s">
        <v>25</v>
      </c>
      <c r="G195" s="22" t="s">
        <v>785</v>
      </c>
      <c r="H195" s="22" t="s">
        <v>313</v>
      </c>
      <c r="I195" s="22" t="s">
        <v>3</v>
      </c>
      <c r="J195" s="22" t="s">
        <v>1775</v>
      </c>
      <c r="K195" s="20" t="s">
        <v>224</v>
      </c>
    </row>
    <row r="196" spans="1:11" ht="81" x14ac:dyDescent="0.25">
      <c r="A196" s="20" t="s">
        <v>1776</v>
      </c>
      <c r="B196" s="21">
        <v>46247</v>
      </c>
      <c r="C196" s="20" t="s">
        <v>42</v>
      </c>
      <c r="D196" s="20" t="s">
        <v>236</v>
      </c>
      <c r="E196" s="23">
        <v>45</v>
      </c>
      <c r="F196" s="20" t="s">
        <v>25</v>
      </c>
      <c r="G196" s="22" t="s">
        <v>785</v>
      </c>
      <c r="H196" s="22" t="s">
        <v>313</v>
      </c>
      <c r="I196" s="22" t="s">
        <v>3</v>
      </c>
      <c r="J196" s="22" t="s">
        <v>1775</v>
      </c>
      <c r="K196" s="20" t="s">
        <v>224</v>
      </c>
    </row>
    <row r="197" spans="1:11" ht="54" x14ac:dyDescent="0.25">
      <c r="A197" s="20" t="s">
        <v>1777</v>
      </c>
      <c r="B197" s="21">
        <v>46248</v>
      </c>
      <c r="C197" s="20" t="s">
        <v>51</v>
      </c>
      <c r="D197" s="20" t="s">
        <v>204</v>
      </c>
      <c r="E197" s="20"/>
      <c r="F197" s="20" t="s">
        <v>25</v>
      </c>
      <c r="G197" s="22" t="s">
        <v>223</v>
      </c>
      <c r="H197" s="22" t="s">
        <v>205</v>
      </c>
      <c r="I197" s="22" t="s">
        <v>3</v>
      </c>
      <c r="J197" s="22" t="s">
        <v>1780</v>
      </c>
      <c r="K197" s="20" t="s">
        <v>224</v>
      </c>
    </row>
    <row r="198" spans="1:11" ht="54" x14ac:dyDescent="0.25">
      <c r="A198" s="20" t="s">
        <v>1792</v>
      </c>
      <c r="B198" s="21">
        <v>46251</v>
      </c>
      <c r="C198" s="20" t="s">
        <v>51</v>
      </c>
      <c r="D198" s="20" t="s">
        <v>204</v>
      </c>
      <c r="E198" s="20"/>
      <c r="F198" s="20" t="s">
        <v>25</v>
      </c>
      <c r="G198" s="22" t="s">
        <v>223</v>
      </c>
      <c r="H198" s="22" t="s">
        <v>205</v>
      </c>
      <c r="I198" s="22" t="s">
        <v>3</v>
      </c>
      <c r="J198" s="22" t="s">
        <v>1795</v>
      </c>
      <c r="K198" s="20" t="s">
        <v>224</v>
      </c>
    </row>
    <row r="199" spans="1:11" ht="27" x14ac:dyDescent="0.25">
      <c r="A199" s="20" t="s">
        <v>1802</v>
      </c>
      <c r="B199" s="21">
        <v>46253</v>
      </c>
      <c r="C199" s="20" t="s">
        <v>45</v>
      </c>
      <c r="D199" s="20" t="s">
        <v>1474</v>
      </c>
      <c r="E199" s="23">
        <v>25</v>
      </c>
      <c r="F199" s="20" t="s">
        <v>26</v>
      </c>
      <c r="G199" s="22" t="s">
        <v>699</v>
      </c>
      <c r="H199" s="22" t="s">
        <v>265</v>
      </c>
      <c r="I199" s="22" t="s">
        <v>1804</v>
      </c>
      <c r="J199" s="22" t="s">
        <v>1805</v>
      </c>
      <c r="K199" s="20" t="s">
        <v>224</v>
      </c>
    </row>
    <row r="200" spans="1:11" ht="67.5" x14ac:dyDescent="0.25">
      <c r="A200" s="20" t="s">
        <v>1806</v>
      </c>
      <c r="B200" s="21">
        <v>46253</v>
      </c>
      <c r="C200" s="20" t="s">
        <v>42</v>
      </c>
      <c r="D200" s="20" t="s">
        <v>236</v>
      </c>
      <c r="E200" s="23">
        <v>205</v>
      </c>
      <c r="F200" s="20" t="s">
        <v>25</v>
      </c>
      <c r="G200" s="22" t="s">
        <v>238</v>
      </c>
      <c r="H200" s="22" t="s">
        <v>313</v>
      </c>
      <c r="I200" s="22" t="s">
        <v>3</v>
      </c>
      <c r="J200" s="22" t="s">
        <v>1808</v>
      </c>
      <c r="K200" s="20" t="s">
        <v>224</v>
      </c>
    </row>
    <row r="201" spans="1:11" ht="67.5" x14ac:dyDescent="0.25">
      <c r="A201" s="20" t="s">
        <v>1809</v>
      </c>
      <c r="B201" s="21">
        <v>46253</v>
      </c>
      <c r="C201" s="20" t="s">
        <v>42</v>
      </c>
      <c r="D201" s="20" t="s">
        <v>263</v>
      </c>
      <c r="E201" s="23">
        <v>300</v>
      </c>
      <c r="F201" s="20" t="s">
        <v>25</v>
      </c>
      <c r="G201" s="22" t="s">
        <v>267</v>
      </c>
      <c r="H201" s="22" t="s">
        <v>205</v>
      </c>
      <c r="I201" s="22" t="s">
        <v>3</v>
      </c>
      <c r="J201" s="22" t="s">
        <v>1811</v>
      </c>
      <c r="K201" s="20" t="s">
        <v>224</v>
      </c>
    </row>
    <row r="202" spans="1:11" ht="40.5" x14ac:dyDescent="0.25">
      <c r="A202" s="20" t="s">
        <v>1812</v>
      </c>
      <c r="B202" s="21">
        <v>46254</v>
      </c>
      <c r="C202" s="20" t="s">
        <v>128</v>
      </c>
      <c r="D202" s="20" t="s">
        <v>263</v>
      </c>
      <c r="E202" s="23">
        <v>135</v>
      </c>
      <c r="F202" s="20" t="s">
        <v>25</v>
      </c>
      <c r="G202" s="22" t="s">
        <v>657</v>
      </c>
      <c r="H202" s="22" t="s">
        <v>265</v>
      </c>
      <c r="I202" s="22" t="s">
        <v>1814</v>
      </c>
      <c r="J202" s="22" t="s">
        <v>1815</v>
      </c>
      <c r="K202" s="20" t="s">
        <v>224</v>
      </c>
    </row>
    <row r="203" spans="1:11" ht="40.5" x14ac:dyDescent="0.25">
      <c r="A203" s="20" t="s">
        <v>1819</v>
      </c>
      <c r="B203" s="21">
        <v>46255</v>
      </c>
      <c r="C203" s="20" t="s">
        <v>101</v>
      </c>
      <c r="D203" s="20" t="s">
        <v>204</v>
      </c>
      <c r="E203" s="20"/>
      <c r="F203" s="20" t="s">
        <v>25</v>
      </c>
      <c r="G203" s="22" t="s">
        <v>223</v>
      </c>
      <c r="H203" s="22" t="s">
        <v>205</v>
      </c>
      <c r="I203" s="22" t="s">
        <v>3</v>
      </c>
      <c r="J203" s="22" t="s">
        <v>1821</v>
      </c>
      <c r="K203" s="20" t="s">
        <v>224</v>
      </c>
    </row>
    <row r="204" spans="1:11" ht="54" x14ac:dyDescent="0.25">
      <c r="A204" s="20" t="s">
        <v>1828</v>
      </c>
      <c r="B204" s="21">
        <v>46258</v>
      </c>
      <c r="C204" s="20" t="s">
        <v>51</v>
      </c>
      <c r="D204" s="20" t="s">
        <v>204</v>
      </c>
      <c r="E204" s="20"/>
      <c r="F204" s="20" t="s">
        <v>25</v>
      </c>
      <c r="G204" s="22" t="s">
        <v>223</v>
      </c>
      <c r="H204" s="22" t="s">
        <v>205</v>
      </c>
      <c r="I204" s="22" t="s">
        <v>3</v>
      </c>
      <c r="J204" s="22" t="s">
        <v>1830</v>
      </c>
      <c r="K204" s="20" t="s">
        <v>224</v>
      </c>
    </row>
    <row r="205" spans="1:11" ht="54" x14ac:dyDescent="0.25">
      <c r="A205" s="20" t="s">
        <v>1835</v>
      </c>
      <c r="B205" s="21">
        <v>46259</v>
      </c>
      <c r="C205" s="20" t="s">
        <v>51</v>
      </c>
      <c r="D205" s="20" t="s">
        <v>204</v>
      </c>
      <c r="E205" s="20"/>
      <c r="F205" s="20" t="s">
        <v>25</v>
      </c>
      <c r="G205" s="22" t="s">
        <v>223</v>
      </c>
      <c r="H205" s="22" t="s">
        <v>205</v>
      </c>
      <c r="I205" s="22" t="s">
        <v>3</v>
      </c>
      <c r="J205" s="22" t="s">
        <v>1837</v>
      </c>
      <c r="K205" s="20" t="s">
        <v>224</v>
      </c>
    </row>
    <row r="206" spans="1:11" ht="54" x14ac:dyDescent="0.25">
      <c r="A206" s="20" t="s">
        <v>1842</v>
      </c>
      <c r="B206" s="21">
        <v>46260</v>
      </c>
      <c r="C206" s="20" t="s">
        <v>42</v>
      </c>
      <c r="D206" s="20" t="s">
        <v>204</v>
      </c>
      <c r="E206" s="20"/>
      <c r="F206" s="20" t="s">
        <v>25</v>
      </c>
      <c r="G206" s="22" t="s">
        <v>223</v>
      </c>
      <c r="H206" s="22" t="s">
        <v>205</v>
      </c>
      <c r="I206" s="22" t="s">
        <v>3</v>
      </c>
      <c r="J206" s="22" t="s">
        <v>1844</v>
      </c>
      <c r="K206" s="20" t="s">
        <v>224</v>
      </c>
    </row>
    <row r="207" spans="1:11" ht="40.5" x14ac:dyDescent="0.25">
      <c r="A207" s="20" t="s">
        <v>1845</v>
      </c>
      <c r="B207" s="21">
        <v>46260</v>
      </c>
      <c r="C207" s="20" t="s">
        <v>101</v>
      </c>
      <c r="D207" s="20" t="s">
        <v>263</v>
      </c>
      <c r="E207" s="20"/>
      <c r="F207" s="20" t="s">
        <v>26</v>
      </c>
      <c r="G207" s="22" t="s">
        <v>1129</v>
      </c>
      <c r="H207" s="22" t="s">
        <v>205</v>
      </c>
      <c r="I207" s="22" t="s">
        <v>3</v>
      </c>
      <c r="J207" s="22" t="s">
        <v>1847</v>
      </c>
      <c r="K207" s="20" t="s">
        <v>224</v>
      </c>
    </row>
    <row r="208" spans="1:11" ht="40.5" x14ac:dyDescent="0.25">
      <c r="A208" s="20" t="s">
        <v>1848</v>
      </c>
      <c r="B208" s="21">
        <v>46261</v>
      </c>
      <c r="C208" s="20" t="s">
        <v>154</v>
      </c>
      <c r="D208" s="20" t="s">
        <v>263</v>
      </c>
      <c r="E208" s="20"/>
      <c r="F208" s="20" t="s">
        <v>26</v>
      </c>
      <c r="G208" s="22" t="s">
        <v>1129</v>
      </c>
      <c r="H208" s="22" t="s">
        <v>205</v>
      </c>
      <c r="I208" s="22" t="s">
        <v>3</v>
      </c>
      <c r="J208" s="22" t="s">
        <v>1850</v>
      </c>
      <c r="K208" s="20" t="s">
        <v>224</v>
      </c>
    </row>
    <row r="209" spans="1:11" ht="67.5" x14ac:dyDescent="0.25">
      <c r="A209" s="20" t="s">
        <v>1854</v>
      </c>
      <c r="B209" s="21">
        <v>46263</v>
      </c>
      <c r="C209" s="20" t="s">
        <v>51</v>
      </c>
      <c r="D209" s="20" t="s">
        <v>204</v>
      </c>
      <c r="E209" s="20"/>
      <c r="F209" s="20" t="s">
        <v>25</v>
      </c>
      <c r="G209" s="22" t="s">
        <v>223</v>
      </c>
      <c r="H209" s="22" t="s">
        <v>205</v>
      </c>
      <c r="I209" s="22" t="s">
        <v>3</v>
      </c>
      <c r="J209" s="22" t="s">
        <v>1857</v>
      </c>
      <c r="K209" s="20" t="s">
        <v>224</v>
      </c>
    </row>
    <row r="210" spans="1:11" x14ac:dyDescent="0.25">
      <c r="A210" s="20" t="s">
        <v>1864</v>
      </c>
      <c r="B210" s="21">
        <v>46263</v>
      </c>
      <c r="C210" s="20" t="s">
        <v>42</v>
      </c>
      <c r="D210" s="20" t="s">
        <v>263</v>
      </c>
      <c r="E210" s="23">
        <v>50</v>
      </c>
      <c r="F210" s="20" t="s">
        <v>25</v>
      </c>
      <c r="G210" s="22" t="s">
        <v>267</v>
      </c>
      <c r="H210" s="22" t="s">
        <v>265</v>
      </c>
      <c r="I210" s="22" t="s">
        <v>3</v>
      </c>
      <c r="J210" s="22" t="s">
        <v>1867</v>
      </c>
      <c r="K210" s="20" t="s">
        <v>224</v>
      </c>
    </row>
    <row r="211" spans="1:11" ht="40.5" x14ac:dyDescent="0.25">
      <c r="A211" s="20" t="s">
        <v>1875</v>
      </c>
      <c r="B211" s="21">
        <v>46265</v>
      </c>
      <c r="C211" s="20" t="s">
        <v>90</v>
      </c>
      <c r="D211" s="20" t="s">
        <v>263</v>
      </c>
      <c r="E211" s="23">
        <v>205</v>
      </c>
      <c r="F211" s="20" t="s">
        <v>25</v>
      </c>
      <c r="G211" s="22" t="s">
        <v>267</v>
      </c>
      <c r="H211" s="22" t="s">
        <v>1877</v>
      </c>
      <c r="I211" s="22" t="s">
        <v>3</v>
      </c>
      <c r="J211" s="22" t="s">
        <v>1878</v>
      </c>
      <c r="K211" s="20" t="s">
        <v>224</v>
      </c>
    </row>
    <row r="212" spans="1:11" ht="243" x14ac:dyDescent="0.25">
      <c r="A212" s="20" t="s">
        <v>1879</v>
      </c>
      <c r="B212" s="21">
        <v>46265</v>
      </c>
      <c r="C212" s="20" t="s">
        <v>146</v>
      </c>
      <c r="D212" s="20" t="s">
        <v>236</v>
      </c>
      <c r="E212" s="23">
        <v>0</v>
      </c>
      <c r="F212" s="20" t="s">
        <v>25</v>
      </c>
      <c r="G212" s="22" t="s">
        <v>223</v>
      </c>
      <c r="H212" s="22" t="s">
        <v>265</v>
      </c>
      <c r="I212" s="22" t="s">
        <v>3</v>
      </c>
      <c r="J212" s="22" t="s">
        <v>1882</v>
      </c>
      <c r="K212" s="20" t="s">
        <v>224</v>
      </c>
    </row>
    <row r="213" spans="1:11" ht="67.5" x14ac:dyDescent="0.25">
      <c r="A213" s="24" t="s">
        <v>1893</v>
      </c>
      <c r="B213" s="25">
        <v>46266</v>
      </c>
      <c r="C213" s="24" t="s">
        <v>51</v>
      </c>
      <c r="D213" s="24" t="s">
        <v>236</v>
      </c>
      <c r="E213" s="26">
        <v>70</v>
      </c>
      <c r="F213" s="24" t="s">
        <v>25</v>
      </c>
      <c r="G213" s="27" t="s">
        <v>238</v>
      </c>
      <c r="H213" s="27" t="s">
        <v>1877</v>
      </c>
      <c r="I213" s="27" t="s">
        <v>3</v>
      </c>
      <c r="J213" s="27" t="s">
        <v>1896</v>
      </c>
      <c r="K213" s="24" t="s">
        <v>224</v>
      </c>
    </row>
  </sheetData>
  <mergeCells count="2">
    <mergeCell ref="A1:K1"/>
    <mergeCell ref="A2:K2"/>
  </mergeCells>
  <dataValidations count="1">
    <dataValidation type="list" allowBlank="1" showInputMessage="1" showErrorMessage="1" sqref="K5:K213" xr:uid="{6F2D0421-F8C6-4B75-8039-E7BFDCA7F3D3}">
      <mc:AlternateContent xmlns:x12ac="http://schemas.microsoft.com/office/spreadsheetml/2011/1/ac" xmlns:mc="http://schemas.openxmlformats.org/markup-compatibility/2006">
        <mc:Choice Requires="x12ac">
          <x12ac:list>"IekÄ¼aut,PÄrskatÄ«t,IzslÄ“gt"</x12ac:list>
        </mc:Choice>
        <mc:Fallback>
          <formula1>"IekÄ¼aut,PÄrskatÄ«t,IzslÄ“gt"</formula1>
        </mc:Fallback>
      </mc:AlternateContent>
    </dataValidation>
  </dataValidations>
  <pageMargins left="0.25" right="0.25" top="0.35" bottom="0.35" header="0.3" footer="0.3"/>
  <pageSetup scale="40" fitToHeight="0" orientation="landscape" r:id="rId1"/>
  <ignoredErrors>
    <ignoredError sqref="A1:K4 A5:J21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663"/>
  <sheetViews>
    <sheetView showGridLines="0" workbookViewId="0">
      <pane ySplit="4" topLeftCell="A5" activePane="bottomLeft" state="frozenSplit"/>
      <selection pane="bottomLeft" sqref="A1:I24"/>
    </sheetView>
  </sheetViews>
  <sheetFormatPr defaultRowHeight="13.5" x14ac:dyDescent="0.25"/>
  <cols>
    <col min="1" max="1" width="12.875" style="1" customWidth="1"/>
    <col min="2" max="2" width="13.875" style="1" customWidth="1"/>
    <col min="3" max="3" width="10.875" style="1" customWidth="1"/>
    <col min="4" max="6" width="27.625" style="1" customWidth="1"/>
    <col min="7" max="7" width="38.625" style="19" customWidth="1"/>
    <col min="8" max="8" width="12.875" style="19" customWidth="1"/>
    <col min="9" max="9" width="80.625" style="19" customWidth="1"/>
    <col min="10" max="16384" width="9" style="1"/>
  </cols>
  <sheetData>
    <row r="1" spans="1:9" ht="30" customHeight="1" x14ac:dyDescent="0.25">
      <c r="A1" s="4" t="s">
        <v>1907</v>
      </c>
      <c r="B1" s="4"/>
      <c r="C1" s="4"/>
      <c r="D1" s="4"/>
      <c r="E1" s="4"/>
      <c r="F1" s="4"/>
      <c r="G1" s="4"/>
      <c r="H1" s="4"/>
      <c r="I1" s="4"/>
    </row>
    <row r="2" spans="1:9" ht="24" customHeight="1" x14ac:dyDescent="0.25">
      <c r="A2" s="5" t="s">
        <v>1908</v>
      </c>
      <c r="B2" s="5"/>
      <c r="C2" s="5"/>
      <c r="D2" s="5"/>
      <c r="E2" s="5"/>
      <c r="F2" s="5"/>
      <c r="G2" s="5"/>
      <c r="H2" s="5"/>
      <c r="I2" s="5"/>
    </row>
    <row r="3" spans="1:9" x14ac:dyDescent="0.25">
      <c r="A3" s="6"/>
      <c r="B3" s="6"/>
      <c r="C3" s="6"/>
      <c r="D3" s="6"/>
      <c r="E3" s="6"/>
      <c r="F3" s="6"/>
      <c r="G3" s="17"/>
      <c r="H3" s="17"/>
      <c r="I3" s="17"/>
    </row>
    <row r="4" spans="1:9" ht="32.1" customHeight="1" x14ac:dyDescent="0.25">
      <c r="A4" s="13" t="s">
        <v>1909</v>
      </c>
      <c r="B4" s="13" t="s">
        <v>181</v>
      </c>
      <c r="C4" s="13" t="s">
        <v>182</v>
      </c>
      <c r="D4" s="13" t="s">
        <v>195</v>
      </c>
      <c r="E4" s="13" t="s">
        <v>1910</v>
      </c>
      <c r="F4" s="13" t="s">
        <v>1911</v>
      </c>
      <c r="G4" s="13" t="s">
        <v>196</v>
      </c>
      <c r="H4" s="13" t="s">
        <v>1912</v>
      </c>
      <c r="I4" s="13" t="s">
        <v>1913</v>
      </c>
    </row>
    <row r="5" spans="1:9" ht="30" customHeight="1" x14ac:dyDescent="0.25">
      <c r="A5" s="6">
        <v>273</v>
      </c>
      <c r="B5" s="14">
        <v>46023</v>
      </c>
      <c r="C5" s="6" t="s">
        <v>1914</v>
      </c>
      <c r="D5" s="6" t="s">
        <v>1528</v>
      </c>
      <c r="E5" s="6" t="s">
        <v>1915</v>
      </c>
      <c r="F5" s="6" t="s">
        <v>45</v>
      </c>
      <c r="G5" s="17" t="s">
        <v>3</v>
      </c>
      <c r="H5" s="17" t="s">
        <v>1916</v>
      </c>
      <c r="I5" s="17" t="s">
        <v>1917</v>
      </c>
    </row>
    <row r="6" spans="1:9" ht="30" customHeight="1" x14ac:dyDescent="0.25">
      <c r="A6" s="6">
        <v>274</v>
      </c>
      <c r="B6" s="14">
        <v>46027</v>
      </c>
      <c r="C6" s="6" t="s">
        <v>210</v>
      </c>
      <c r="D6" s="6" t="s">
        <v>211</v>
      </c>
      <c r="E6" s="6" t="s">
        <v>1918</v>
      </c>
      <c r="F6" s="6" t="s">
        <v>59</v>
      </c>
      <c r="G6" s="17" t="s">
        <v>3</v>
      </c>
      <c r="H6" s="17" t="s">
        <v>1916</v>
      </c>
      <c r="I6" s="17" t="s">
        <v>212</v>
      </c>
    </row>
    <row r="7" spans="1:9" ht="30" customHeight="1" x14ac:dyDescent="0.25">
      <c r="A7" s="6">
        <v>275</v>
      </c>
      <c r="B7" s="14">
        <v>46027</v>
      </c>
      <c r="C7" s="6" t="s">
        <v>203</v>
      </c>
      <c r="D7" s="6" t="s">
        <v>205</v>
      </c>
      <c r="E7" s="6" t="s">
        <v>1918</v>
      </c>
      <c r="F7" s="6" t="s">
        <v>38</v>
      </c>
      <c r="G7" s="17" t="s">
        <v>3</v>
      </c>
      <c r="H7" s="17" t="s">
        <v>1916</v>
      </c>
      <c r="I7" s="17" t="s">
        <v>206</v>
      </c>
    </row>
    <row r="8" spans="1:9" ht="30" customHeight="1" x14ac:dyDescent="0.25">
      <c r="A8" s="6">
        <v>276</v>
      </c>
      <c r="B8" s="14">
        <v>46028</v>
      </c>
      <c r="C8" s="6" t="s">
        <v>217</v>
      </c>
      <c r="D8" s="6" t="s">
        <v>220</v>
      </c>
      <c r="E8" s="6" t="s">
        <v>1918</v>
      </c>
      <c r="F8" s="6" t="s">
        <v>75</v>
      </c>
      <c r="G8" s="17" t="s">
        <v>3</v>
      </c>
      <c r="H8" s="17" t="s">
        <v>1916</v>
      </c>
      <c r="I8" s="17" t="s">
        <v>221</v>
      </c>
    </row>
    <row r="9" spans="1:9" ht="30" customHeight="1" x14ac:dyDescent="0.25">
      <c r="A9" s="6">
        <v>277</v>
      </c>
      <c r="B9" s="14">
        <v>46028</v>
      </c>
      <c r="C9" s="6" t="s">
        <v>226</v>
      </c>
      <c r="D9" s="6" t="s">
        <v>228</v>
      </c>
      <c r="E9" s="6" t="s">
        <v>1918</v>
      </c>
      <c r="F9" s="6" t="s">
        <v>175</v>
      </c>
      <c r="G9" s="17" t="s">
        <v>3</v>
      </c>
      <c r="H9" s="17" t="s">
        <v>1916</v>
      </c>
      <c r="I9" s="17" t="s">
        <v>229</v>
      </c>
    </row>
    <row r="10" spans="1:9" ht="30" customHeight="1" x14ac:dyDescent="0.25">
      <c r="A10" s="6">
        <v>278</v>
      </c>
      <c r="B10" s="14">
        <v>46028</v>
      </c>
      <c r="C10" s="6" t="s">
        <v>214</v>
      </c>
      <c r="D10" s="6" t="s">
        <v>205</v>
      </c>
      <c r="E10" s="6" t="s">
        <v>1918</v>
      </c>
      <c r="F10" s="6" t="s">
        <v>38</v>
      </c>
      <c r="G10" s="17" t="s">
        <v>3</v>
      </c>
      <c r="H10" s="17" t="s">
        <v>1916</v>
      </c>
      <c r="I10" s="17" t="s">
        <v>215</v>
      </c>
    </row>
    <row r="11" spans="1:9" ht="30" customHeight="1" x14ac:dyDescent="0.25">
      <c r="A11" s="6">
        <v>279</v>
      </c>
      <c r="B11" s="14">
        <v>46029</v>
      </c>
      <c r="C11" s="6" t="s">
        <v>235</v>
      </c>
      <c r="D11" s="6" t="s">
        <v>211</v>
      </c>
      <c r="E11" s="6" t="s">
        <v>1918</v>
      </c>
      <c r="F11" s="6" t="s">
        <v>59</v>
      </c>
      <c r="G11" s="17" t="s">
        <v>3</v>
      </c>
      <c r="H11" s="17" t="s">
        <v>1919</v>
      </c>
      <c r="I11" s="17" t="s">
        <v>237</v>
      </c>
    </row>
    <row r="12" spans="1:9" ht="30" customHeight="1" x14ac:dyDescent="0.25">
      <c r="A12" s="6">
        <v>280</v>
      </c>
      <c r="B12" s="14">
        <v>46030</v>
      </c>
      <c r="C12" s="6" t="s">
        <v>231</v>
      </c>
      <c r="D12" s="6" t="s">
        <v>205</v>
      </c>
      <c r="E12" s="6" t="s">
        <v>1918</v>
      </c>
      <c r="F12" s="6" t="s">
        <v>38</v>
      </c>
      <c r="G12" s="17" t="s">
        <v>3</v>
      </c>
      <c r="H12" s="17" t="s">
        <v>1916</v>
      </c>
      <c r="I12" s="17" t="s">
        <v>233</v>
      </c>
    </row>
    <row r="13" spans="1:9" ht="30" customHeight="1" x14ac:dyDescent="0.25">
      <c r="A13" s="6">
        <v>281</v>
      </c>
      <c r="B13" s="14">
        <v>46030</v>
      </c>
      <c r="C13" s="6" t="s">
        <v>240</v>
      </c>
      <c r="D13" s="6" t="s">
        <v>205</v>
      </c>
      <c r="E13" s="6" t="s">
        <v>1918</v>
      </c>
      <c r="F13" s="6" t="s">
        <v>55</v>
      </c>
      <c r="G13" s="17" t="s">
        <v>3</v>
      </c>
      <c r="H13" s="17" t="s">
        <v>1916</v>
      </c>
      <c r="I13" s="17" t="s">
        <v>241</v>
      </c>
    </row>
    <row r="14" spans="1:9" ht="30" customHeight="1" x14ac:dyDescent="0.25">
      <c r="A14" s="6">
        <v>282</v>
      </c>
      <c r="B14" s="14">
        <v>46031</v>
      </c>
      <c r="C14" s="6" t="s">
        <v>243</v>
      </c>
      <c r="D14" s="6" t="s">
        <v>205</v>
      </c>
      <c r="E14" s="6" t="s">
        <v>1918</v>
      </c>
      <c r="F14" s="6" t="s">
        <v>53</v>
      </c>
      <c r="G14" s="17" t="s">
        <v>3</v>
      </c>
      <c r="H14" s="17" t="s">
        <v>1916</v>
      </c>
      <c r="I14" s="17" t="s">
        <v>245</v>
      </c>
    </row>
    <row r="15" spans="1:9" ht="30" customHeight="1" x14ac:dyDescent="0.25">
      <c r="A15" s="6">
        <v>283</v>
      </c>
      <c r="B15" s="14">
        <v>46034</v>
      </c>
      <c r="C15" s="6" t="s">
        <v>247</v>
      </c>
      <c r="D15" s="6" t="s">
        <v>205</v>
      </c>
      <c r="E15" s="6" t="s">
        <v>1918</v>
      </c>
      <c r="F15" s="6" t="s">
        <v>38</v>
      </c>
      <c r="G15" s="17" t="s">
        <v>3</v>
      </c>
      <c r="H15" s="17" t="s">
        <v>1916</v>
      </c>
      <c r="I15" s="17" t="s">
        <v>249</v>
      </c>
    </row>
    <row r="16" spans="1:9" ht="30" customHeight="1" x14ac:dyDescent="0.25">
      <c r="A16" s="6">
        <v>284</v>
      </c>
      <c r="B16" s="14">
        <v>46034</v>
      </c>
      <c r="C16" s="6" t="s">
        <v>1920</v>
      </c>
      <c r="D16" s="6" t="s">
        <v>205</v>
      </c>
      <c r="E16" s="6" t="s">
        <v>1921</v>
      </c>
      <c r="F16" s="6" t="s">
        <v>45</v>
      </c>
      <c r="G16" s="17" t="s">
        <v>3</v>
      </c>
      <c r="H16" s="17" t="s">
        <v>1916</v>
      </c>
      <c r="I16" s="17" t="s">
        <v>1922</v>
      </c>
    </row>
    <row r="17" spans="1:9" ht="30" customHeight="1" x14ac:dyDescent="0.25">
      <c r="A17" s="6">
        <v>285</v>
      </c>
      <c r="B17" s="14">
        <v>46035</v>
      </c>
      <c r="C17" s="6" t="s">
        <v>254</v>
      </c>
      <c r="D17" s="6" t="s">
        <v>211</v>
      </c>
      <c r="E17" s="6" t="s">
        <v>1918</v>
      </c>
      <c r="F17" s="6" t="s">
        <v>53</v>
      </c>
      <c r="G17" s="17" t="s">
        <v>3</v>
      </c>
      <c r="H17" s="17" t="s">
        <v>1916</v>
      </c>
      <c r="I17" s="17" t="s">
        <v>255</v>
      </c>
    </row>
    <row r="18" spans="1:9" ht="30" customHeight="1" x14ac:dyDescent="0.25">
      <c r="A18" s="6">
        <v>286</v>
      </c>
      <c r="B18" s="14">
        <v>46035</v>
      </c>
      <c r="C18" s="6" t="s">
        <v>251</v>
      </c>
      <c r="D18" s="6" t="s">
        <v>205</v>
      </c>
      <c r="E18" s="6" t="s">
        <v>1918</v>
      </c>
      <c r="F18" s="6" t="s">
        <v>38</v>
      </c>
      <c r="G18" s="17" t="s">
        <v>3</v>
      </c>
      <c r="H18" s="17" t="s">
        <v>1916</v>
      </c>
      <c r="I18" s="17" t="s">
        <v>252</v>
      </c>
    </row>
    <row r="19" spans="1:9" ht="30" customHeight="1" x14ac:dyDescent="0.25">
      <c r="A19" s="6">
        <v>287</v>
      </c>
      <c r="B19" s="14">
        <v>46036</v>
      </c>
      <c r="C19" s="6" t="s">
        <v>1923</v>
      </c>
      <c r="D19" s="6" t="s">
        <v>220</v>
      </c>
      <c r="E19" s="6" t="s">
        <v>1924</v>
      </c>
      <c r="F19" s="6" t="s">
        <v>1925</v>
      </c>
      <c r="G19" s="17" t="s">
        <v>3</v>
      </c>
      <c r="H19" s="17" t="s">
        <v>1916</v>
      </c>
      <c r="I19" s="17" t="s">
        <v>1926</v>
      </c>
    </row>
    <row r="20" spans="1:9" ht="30" customHeight="1" x14ac:dyDescent="0.25">
      <c r="A20" s="6">
        <v>288</v>
      </c>
      <c r="B20" s="14">
        <v>46036</v>
      </c>
      <c r="C20" s="6" t="s">
        <v>1927</v>
      </c>
      <c r="D20" s="6" t="s">
        <v>220</v>
      </c>
      <c r="E20" s="6" t="s">
        <v>1924</v>
      </c>
      <c r="F20" s="6" t="s">
        <v>1925</v>
      </c>
      <c r="G20" s="17" t="s">
        <v>3</v>
      </c>
      <c r="H20" s="17" t="s">
        <v>1916</v>
      </c>
      <c r="I20" s="17" t="s">
        <v>1926</v>
      </c>
    </row>
    <row r="21" spans="1:9" ht="30" customHeight="1" x14ac:dyDescent="0.25">
      <c r="A21" s="6">
        <v>289</v>
      </c>
      <c r="B21" s="14">
        <v>46036</v>
      </c>
      <c r="C21" s="6" t="s">
        <v>1928</v>
      </c>
      <c r="D21" s="6" t="s">
        <v>1528</v>
      </c>
      <c r="E21" s="6" t="s">
        <v>1915</v>
      </c>
      <c r="F21" s="6" t="s">
        <v>45</v>
      </c>
      <c r="G21" s="17" t="s">
        <v>3</v>
      </c>
      <c r="H21" s="17" t="s">
        <v>1916</v>
      </c>
      <c r="I21" s="17" t="s">
        <v>1929</v>
      </c>
    </row>
    <row r="22" spans="1:9" ht="30" customHeight="1" x14ac:dyDescent="0.25">
      <c r="A22" s="6">
        <v>290</v>
      </c>
      <c r="B22" s="14">
        <v>46036</v>
      </c>
      <c r="C22" s="6" t="s">
        <v>257</v>
      </c>
      <c r="D22" s="6" t="s">
        <v>205</v>
      </c>
      <c r="E22" s="6" t="s">
        <v>1918</v>
      </c>
      <c r="F22" s="6" t="s">
        <v>49</v>
      </c>
      <c r="G22" s="17" t="s">
        <v>3</v>
      </c>
      <c r="H22" s="17" t="s">
        <v>1916</v>
      </c>
      <c r="I22" s="17" t="s">
        <v>259</v>
      </c>
    </row>
    <row r="23" spans="1:9" ht="30" customHeight="1" x14ac:dyDescent="0.25">
      <c r="A23" s="6">
        <v>291</v>
      </c>
      <c r="B23" s="14">
        <v>46036</v>
      </c>
      <c r="C23" s="6" t="s">
        <v>261</v>
      </c>
      <c r="D23" s="6" t="s">
        <v>265</v>
      </c>
      <c r="E23" s="6" t="s">
        <v>1918</v>
      </c>
      <c r="F23" s="6" t="s">
        <v>56</v>
      </c>
      <c r="G23" s="17" t="s">
        <v>3</v>
      </c>
      <c r="H23" s="17" t="s">
        <v>1916</v>
      </c>
      <c r="I23" s="17" t="s">
        <v>266</v>
      </c>
    </row>
    <row r="24" spans="1:9" ht="30" customHeight="1" x14ac:dyDescent="0.25">
      <c r="A24" s="6">
        <v>292</v>
      </c>
      <c r="B24" s="14">
        <v>46037</v>
      </c>
      <c r="C24" s="6" t="s">
        <v>275</v>
      </c>
      <c r="D24" s="6" t="s">
        <v>220</v>
      </c>
      <c r="E24" s="6" t="s">
        <v>1918</v>
      </c>
      <c r="F24" s="6" t="s">
        <v>56</v>
      </c>
      <c r="G24" s="17" t="s">
        <v>3</v>
      </c>
      <c r="H24" s="17" t="s">
        <v>1916</v>
      </c>
      <c r="I24" s="17" t="s">
        <v>278</v>
      </c>
    </row>
    <row r="25" spans="1:9" ht="30" customHeight="1" x14ac:dyDescent="0.25">
      <c r="A25" s="6">
        <v>293</v>
      </c>
      <c r="B25" s="14">
        <v>46037</v>
      </c>
      <c r="C25" s="6" t="s">
        <v>272</v>
      </c>
      <c r="D25" s="6" t="s">
        <v>205</v>
      </c>
      <c r="E25" s="6" t="s">
        <v>1918</v>
      </c>
      <c r="F25" s="6" t="s">
        <v>49</v>
      </c>
      <c r="G25" s="17" t="s">
        <v>3</v>
      </c>
      <c r="H25" s="17" t="s">
        <v>1916</v>
      </c>
      <c r="I25" s="17" t="s">
        <v>273</v>
      </c>
    </row>
    <row r="26" spans="1:9" ht="30" customHeight="1" x14ac:dyDescent="0.25">
      <c r="A26" s="6">
        <v>294</v>
      </c>
      <c r="B26" s="14">
        <v>46037</v>
      </c>
      <c r="C26" s="6" t="s">
        <v>269</v>
      </c>
      <c r="D26" s="6" t="s">
        <v>211</v>
      </c>
      <c r="E26" s="6" t="s">
        <v>1918</v>
      </c>
      <c r="F26" s="6" t="s">
        <v>38</v>
      </c>
      <c r="G26" s="17" t="s">
        <v>3</v>
      </c>
      <c r="H26" s="17" t="s">
        <v>1916</v>
      </c>
      <c r="I26" s="17" t="s">
        <v>270</v>
      </c>
    </row>
    <row r="27" spans="1:9" ht="30" customHeight="1" x14ac:dyDescent="0.25">
      <c r="A27" s="6">
        <v>295</v>
      </c>
      <c r="B27" s="14">
        <v>46038</v>
      </c>
      <c r="C27" s="6" t="s">
        <v>280</v>
      </c>
      <c r="D27" s="6" t="s">
        <v>205</v>
      </c>
      <c r="E27" s="6" t="s">
        <v>1918</v>
      </c>
      <c r="F27" s="6" t="s">
        <v>55</v>
      </c>
      <c r="G27" s="17" t="s">
        <v>3</v>
      </c>
      <c r="H27" s="17" t="s">
        <v>1916</v>
      </c>
      <c r="I27" s="17" t="s">
        <v>281</v>
      </c>
    </row>
    <row r="28" spans="1:9" ht="30" customHeight="1" x14ac:dyDescent="0.25">
      <c r="A28" s="6">
        <v>296</v>
      </c>
      <c r="B28" s="14">
        <v>46042</v>
      </c>
      <c r="C28" s="6" t="s">
        <v>283</v>
      </c>
      <c r="D28" s="6" t="s">
        <v>205</v>
      </c>
      <c r="E28" s="6" t="s">
        <v>1918</v>
      </c>
      <c r="F28" s="6" t="s">
        <v>55</v>
      </c>
      <c r="G28" s="17" t="s">
        <v>3</v>
      </c>
      <c r="H28" s="17" t="s">
        <v>1916</v>
      </c>
      <c r="I28" s="17" t="s">
        <v>284</v>
      </c>
    </row>
    <row r="29" spans="1:9" ht="30" customHeight="1" x14ac:dyDescent="0.25">
      <c r="A29" s="6">
        <v>297</v>
      </c>
      <c r="B29" s="14">
        <v>46042</v>
      </c>
      <c r="C29" s="6" t="s">
        <v>1930</v>
      </c>
      <c r="D29" s="6" t="s">
        <v>265</v>
      </c>
      <c r="E29" s="6" t="s">
        <v>1931</v>
      </c>
      <c r="F29" s="6" t="s">
        <v>45</v>
      </c>
      <c r="G29" s="17" t="s">
        <v>1932</v>
      </c>
      <c r="H29" s="17" t="s">
        <v>1916</v>
      </c>
      <c r="I29" s="17" t="s">
        <v>1933</v>
      </c>
    </row>
    <row r="30" spans="1:9" ht="30" customHeight="1" x14ac:dyDescent="0.25">
      <c r="A30" s="6">
        <v>298</v>
      </c>
      <c r="B30" s="14">
        <v>46043</v>
      </c>
      <c r="C30" s="6" t="s">
        <v>286</v>
      </c>
      <c r="D30" s="6" t="s">
        <v>205</v>
      </c>
      <c r="E30" s="6" t="s">
        <v>1918</v>
      </c>
      <c r="F30" s="6" t="s">
        <v>55</v>
      </c>
      <c r="G30" s="17" t="s">
        <v>3</v>
      </c>
      <c r="H30" s="17" t="s">
        <v>1916</v>
      </c>
      <c r="I30" s="17" t="s">
        <v>287</v>
      </c>
    </row>
    <row r="31" spans="1:9" ht="30" customHeight="1" x14ac:dyDescent="0.25">
      <c r="A31" s="6">
        <v>299</v>
      </c>
      <c r="B31" s="14">
        <v>46043</v>
      </c>
      <c r="C31" s="6" t="s">
        <v>1934</v>
      </c>
      <c r="D31" s="6" t="s">
        <v>1528</v>
      </c>
      <c r="E31" s="6" t="s">
        <v>1931</v>
      </c>
      <c r="F31" s="6" t="s">
        <v>45</v>
      </c>
      <c r="G31" s="17" t="s">
        <v>1935</v>
      </c>
      <c r="H31" s="17" t="s">
        <v>1916</v>
      </c>
      <c r="I31" s="17" t="s">
        <v>1936</v>
      </c>
    </row>
    <row r="32" spans="1:9" ht="30" customHeight="1" x14ac:dyDescent="0.25">
      <c r="A32" s="6">
        <v>300</v>
      </c>
      <c r="B32" s="14">
        <v>46043</v>
      </c>
      <c r="C32" s="6" t="s">
        <v>1937</v>
      </c>
      <c r="D32" s="6" t="s">
        <v>1528</v>
      </c>
      <c r="E32" s="6" t="s">
        <v>1931</v>
      </c>
      <c r="F32" s="6" t="s">
        <v>38</v>
      </c>
      <c r="G32" s="17" t="s">
        <v>1938</v>
      </c>
      <c r="H32" s="17" t="s">
        <v>1916</v>
      </c>
      <c r="I32" s="17" t="s">
        <v>1939</v>
      </c>
    </row>
    <row r="33" spans="1:9" ht="30" customHeight="1" x14ac:dyDescent="0.25">
      <c r="A33" s="6">
        <v>301</v>
      </c>
      <c r="B33" s="14">
        <v>46043</v>
      </c>
      <c r="C33" s="6" t="s">
        <v>1940</v>
      </c>
      <c r="D33" s="6" t="s">
        <v>1528</v>
      </c>
      <c r="E33" s="6" t="s">
        <v>1915</v>
      </c>
      <c r="F33" s="6" t="s">
        <v>1941</v>
      </c>
      <c r="G33" s="17" t="s">
        <v>3</v>
      </c>
      <c r="H33" s="17" t="s">
        <v>1916</v>
      </c>
      <c r="I33" s="17" t="s">
        <v>1941</v>
      </c>
    </row>
    <row r="34" spans="1:9" ht="30" customHeight="1" x14ac:dyDescent="0.25">
      <c r="A34" s="6">
        <v>302</v>
      </c>
      <c r="B34" s="14">
        <v>46043</v>
      </c>
      <c r="C34" s="6" t="s">
        <v>1942</v>
      </c>
      <c r="D34" s="6" t="s">
        <v>1528</v>
      </c>
      <c r="E34" s="6" t="s">
        <v>1931</v>
      </c>
      <c r="F34" s="6" t="s">
        <v>45</v>
      </c>
      <c r="G34" s="17" t="s">
        <v>1943</v>
      </c>
      <c r="H34" s="17" t="s">
        <v>1916</v>
      </c>
      <c r="I34" s="17" t="s">
        <v>1944</v>
      </c>
    </row>
    <row r="35" spans="1:9" ht="30" customHeight="1" x14ac:dyDescent="0.25">
      <c r="A35" s="6">
        <v>303</v>
      </c>
      <c r="B35" s="14">
        <v>46043</v>
      </c>
      <c r="C35" s="6" t="s">
        <v>1945</v>
      </c>
      <c r="D35" s="6" t="s">
        <v>1528</v>
      </c>
      <c r="E35" s="6" t="s">
        <v>1915</v>
      </c>
      <c r="F35" s="6" t="s">
        <v>45</v>
      </c>
      <c r="G35" s="17" t="s">
        <v>3</v>
      </c>
      <c r="H35" s="17" t="s">
        <v>1916</v>
      </c>
      <c r="I35" s="17" t="s">
        <v>1946</v>
      </c>
    </row>
    <row r="36" spans="1:9" ht="30" customHeight="1" x14ac:dyDescent="0.25">
      <c r="A36" s="6">
        <v>304</v>
      </c>
      <c r="B36" s="14">
        <v>46044</v>
      </c>
      <c r="C36" s="6" t="s">
        <v>1947</v>
      </c>
      <c r="D36" s="6" t="s">
        <v>1948</v>
      </c>
      <c r="E36" s="6" t="s">
        <v>1949</v>
      </c>
      <c r="F36" s="6" t="s">
        <v>45</v>
      </c>
      <c r="G36" s="17" t="s">
        <v>3</v>
      </c>
      <c r="H36" s="17" t="s">
        <v>1916</v>
      </c>
      <c r="I36" s="17" t="s">
        <v>1950</v>
      </c>
    </row>
    <row r="37" spans="1:9" ht="30" customHeight="1" x14ac:dyDescent="0.25">
      <c r="A37" s="6">
        <v>305</v>
      </c>
      <c r="B37" s="14">
        <v>46044</v>
      </c>
      <c r="C37" s="6" t="s">
        <v>599</v>
      </c>
      <c r="D37" s="6" t="s">
        <v>205</v>
      </c>
      <c r="E37" s="6" t="s">
        <v>1918</v>
      </c>
      <c r="F37" s="6" t="s">
        <v>55</v>
      </c>
      <c r="G37" s="17" t="s">
        <v>3</v>
      </c>
      <c r="H37" s="17" t="s">
        <v>1916</v>
      </c>
      <c r="I37" s="17" t="s">
        <v>600</v>
      </c>
    </row>
    <row r="38" spans="1:9" ht="30" customHeight="1" x14ac:dyDescent="0.25">
      <c r="A38" s="6">
        <v>306</v>
      </c>
      <c r="B38" s="14">
        <v>46044</v>
      </c>
      <c r="C38" s="6" t="s">
        <v>293</v>
      </c>
      <c r="D38" s="6" t="s">
        <v>228</v>
      </c>
      <c r="E38" s="6" t="s">
        <v>1918</v>
      </c>
      <c r="F38" s="6" t="s">
        <v>49</v>
      </c>
      <c r="G38" s="17" t="s">
        <v>3</v>
      </c>
      <c r="H38" s="17" t="s">
        <v>1916</v>
      </c>
      <c r="I38" s="17" t="s">
        <v>295</v>
      </c>
    </row>
    <row r="39" spans="1:9" ht="30" customHeight="1" x14ac:dyDescent="0.25">
      <c r="A39" s="6">
        <v>307</v>
      </c>
      <c r="B39" s="14">
        <v>46044</v>
      </c>
      <c r="C39" s="6" t="s">
        <v>289</v>
      </c>
      <c r="D39" s="6" t="s">
        <v>211</v>
      </c>
      <c r="E39" s="6" t="s">
        <v>1918</v>
      </c>
      <c r="F39" s="6" t="s">
        <v>38</v>
      </c>
      <c r="G39" s="17" t="s">
        <v>290</v>
      </c>
      <c r="H39" s="17" t="s">
        <v>1916</v>
      </c>
      <c r="I39" s="17" t="s">
        <v>291</v>
      </c>
    </row>
    <row r="40" spans="1:9" ht="30" customHeight="1" x14ac:dyDescent="0.25">
      <c r="A40" s="6">
        <v>308</v>
      </c>
      <c r="B40" s="14">
        <v>46045</v>
      </c>
      <c r="C40" s="6" t="s">
        <v>306</v>
      </c>
      <c r="D40" s="6" t="s">
        <v>228</v>
      </c>
      <c r="E40" s="6" t="s">
        <v>1918</v>
      </c>
      <c r="F40" s="6" t="s">
        <v>49</v>
      </c>
      <c r="G40" s="17" t="s">
        <v>3</v>
      </c>
      <c r="H40" s="17" t="s">
        <v>1916</v>
      </c>
      <c r="I40" s="17" t="s">
        <v>307</v>
      </c>
    </row>
    <row r="41" spans="1:9" ht="30" customHeight="1" x14ac:dyDescent="0.25">
      <c r="A41" s="6">
        <v>309</v>
      </c>
      <c r="B41" s="14">
        <v>46045</v>
      </c>
      <c r="C41" s="6" t="s">
        <v>309</v>
      </c>
      <c r="D41" s="6" t="s">
        <v>205</v>
      </c>
      <c r="E41" s="6" t="s">
        <v>1918</v>
      </c>
      <c r="F41" s="6" t="s">
        <v>53</v>
      </c>
      <c r="G41" s="17" t="s">
        <v>3</v>
      </c>
      <c r="H41" s="17" t="s">
        <v>1916</v>
      </c>
      <c r="I41" s="17" t="s">
        <v>310</v>
      </c>
    </row>
    <row r="42" spans="1:9" ht="30" customHeight="1" x14ac:dyDescent="0.25">
      <c r="A42" s="6">
        <v>310</v>
      </c>
      <c r="B42" s="14">
        <v>46045</v>
      </c>
      <c r="C42" s="6" t="s">
        <v>297</v>
      </c>
      <c r="D42" s="6" t="s">
        <v>211</v>
      </c>
      <c r="E42" s="6" t="s">
        <v>1918</v>
      </c>
      <c r="F42" s="6" t="s">
        <v>38</v>
      </c>
      <c r="G42" s="17" t="s">
        <v>298</v>
      </c>
      <c r="H42" s="17" t="s">
        <v>1916</v>
      </c>
      <c r="I42" s="17" t="s">
        <v>299</v>
      </c>
    </row>
    <row r="43" spans="1:9" ht="30" customHeight="1" x14ac:dyDescent="0.25">
      <c r="A43" s="6">
        <v>311</v>
      </c>
      <c r="B43" s="14">
        <v>46045</v>
      </c>
      <c r="C43" s="6" t="s">
        <v>301</v>
      </c>
      <c r="D43" s="6" t="s">
        <v>211</v>
      </c>
      <c r="E43" s="6" t="s">
        <v>1918</v>
      </c>
      <c r="F43" s="6" t="s">
        <v>38</v>
      </c>
      <c r="G43" s="17" t="s">
        <v>302</v>
      </c>
      <c r="H43" s="17" t="s">
        <v>1916</v>
      </c>
      <c r="I43" s="17" t="s">
        <v>303</v>
      </c>
    </row>
    <row r="44" spans="1:9" ht="30" customHeight="1" x14ac:dyDescent="0.25">
      <c r="A44" s="6">
        <v>312</v>
      </c>
      <c r="B44" s="14">
        <v>46046</v>
      </c>
      <c r="C44" s="6" t="s">
        <v>312</v>
      </c>
      <c r="D44" s="6" t="s">
        <v>313</v>
      </c>
      <c r="E44" s="6" t="s">
        <v>1918</v>
      </c>
      <c r="F44" s="6" t="s">
        <v>38</v>
      </c>
      <c r="G44" s="17" t="s">
        <v>314</v>
      </c>
      <c r="H44" s="17" t="s">
        <v>1916</v>
      </c>
      <c r="I44" s="17" t="s">
        <v>315</v>
      </c>
    </row>
    <row r="45" spans="1:9" ht="30" customHeight="1" x14ac:dyDescent="0.25">
      <c r="A45" s="6">
        <v>313</v>
      </c>
      <c r="B45" s="14">
        <v>46048</v>
      </c>
      <c r="C45" s="6" t="s">
        <v>317</v>
      </c>
      <c r="D45" s="6" t="s">
        <v>228</v>
      </c>
      <c r="E45" s="6" t="s">
        <v>1918</v>
      </c>
      <c r="F45" s="6" t="s">
        <v>49</v>
      </c>
      <c r="G45" s="17" t="s">
        <v>3</v>
      </c>
      <c r="H45" s="17" t="s">
        <v>1916</v>
      </c>
      <c r="I45" s="17" t="s">
        <v>318</v>
      </c>
    </row>
    <row r="46" spans="1:9" ht="30" customHeight="1" x14ac:dyDescent="0.25">
      <c r="A46" s="6">
        <v>314</v>
      </c>
      <c r="B46" s="14">
        <v>46048</v>
      </c>
      <c r="C46" s="6" t="s">
        <v>320</v>
      </c>
      <c r="D46" s="6" t="s">
        <v>205</v>
      </c>
      <c r="E46" s="6" t="s">
        <v>1918</v>
      </c>
      <c r="F46" s="6" t="s">
        <v>55</v>
      </c>
      <c r="G46" s="17" t="s">
        <v>3</v>
      </c>
      <c r="H46" s="17" t="s">
        <v>1916</v>
      </c>
      <c r="I46" s="17" t="s">
        <v>321</v>
      </c>
    </row>
    <row r="47" spans="1:9" ht="30" customHeight="1" x14ac:dyDescent="0.25">
      <c r="A47" s="6">
        <v>315</v>
      </c>
      <c r="B47" s="14">
        <v>46050</v>
      </c>
      <c r="C47" s="6" t="s">
        <v>331</v>
      </c>
      <c r="D47" s="6" t="s">
        <v>211</v>
      </c>
      <c r="E47" s="6" t="s">
        <v>1918</v>
      </c>
      <c r="F47" s="6" t="s">
        <v>53</v>
      </c>
      <c r="G47" s="17" t="s">
        <v>3</v>
      </c>
      <c r="H47" s="17" t="s">
        <v>1916</v>
      </c>
      <c r="I47" s="17" t="s">
        <v>333</v>
      </c>
    </row>
    <row r="48" spans="1:9" ht="30" customHeight="1" x14ac:dyDescent="0.25">
      <c r="A48" s="6">
        <v>316</v>
      </c>
      <c r="B48" s="14">
        <v>46050</v>
      </c>
      <c r="C48" s="6" t="s">
        <v>328</v>
      </c>
      <c r="D48" s="6" t="s">
        <v>205</v>
      </c>
      <c r="E48" s="6" t="s">
        <v>1918</v>
      </c>
      <c r="F48" s="6" t="s">
        <v>91</v>
      </c>
      <c r="G48" s="17" t="s">
        <v>3</v>
      </c>
      <c r="H48" s="17" t="s">
        <v>1916</v>
      </c>
      <c r="I48" s="17" t="s">
        <v>329</v>
      </c>
    </row>
    <row r="49" spans="1:9" ht="30" customHeight="1" x14ac:dyDescent="0.25">
      <c r="A49" s="6">
        <v>317</v>
      </c>
      <c r="B49" s="14">
        <v>46050</v>
      </c>
      <c r="C49" s="6" t="s">
        <v>323</v>
      </c>
      <c r="D49" s="6" t="s">
        <v>228</v>
      </c>
      <c r="E49" s="6" t="s">
        <v>1918</v>
      </c>
      <c r="F49" s="6" t="s">
        <v>49</v>
      </c>
      <c r="G49" s="17" t="s">
        <v>3</v>
      </c>
      <c r="H49" s="17" t="s">
        <v>1916</v>
      </c>
      <c r="I49" s="17" t="s">
        <v>325</v>
      </c>
    </row>
    <row r="50" spans="1:9" ht="30" customHeight="1" x14ac:dyDescent="0.25">
      <c r="A50" s="6">
        <v>318</v>
      </c>
      <c r="B50" s="14">
        <v>46051</v>
      </c>
      <c r="C50" s="6" t="s">
        <v>338</v>
      </c>
      <c r="D50" s="6" t="s">
        <v>211</v>
      </c>
      <c r="E50" s="6" t="s">
        <v>1918</v>
      </c>
      <c r="F50" s="6" t="s">
        <v>53</v>
      </c>
      <c r="G50" s="17" t="s">
        <v>3</v>
      </c>
      <c r="H50" s="17" t="s">
        <v>1916</v>
      </c>
      <c r="I50" s="17" t="s">
        <v>339</v>
      </c>
    </row>
    <row r="51" spans="1:9" ht="30" customHeight="1" x14ac:dyDescent="0.25">
      <c r="A51" s="6">
        <v>319</v>
      </c>
      <c r="B51" s="14">
        <v>46051</v>
      </c>
      <c r="C51" s="6" t="s">
        <v>335</v>
      </c>
      <c r="D51" s="6" t="s">
        <v>205</v>
      </c>
      <c r="E51" s="6" t="s">
        <v>1918</v>
      </c>
      <c r="F51" s="6" t="s">
        <v>55</v>
      </c>
      <c r="G51" s="17" t="s">
        <v>3</v>
      </c>
      <c r="H51" s="17" t="s">
        <v>1916</v>
      </c>
      <c r="I51" s="17" t="s">
        <v>336</v>
      </c>
    </row>
    <row r="52" spans="1:9" ht="30" customHeight="1" x14ac:dyDescent="0.25">
      <c r="A52" s="6">
        <v>320</v>
      </c>
      <c r="B52" s="14">
        <v>46052</v>
      </c>
      <c r="C52" s="6" t="s">
        <v>341</v>
      </c>
      <c r="D52" s="6" t="s">
        <v>205</v>
      </c>
      <c r="E52" s="6" t="s">
        <v>1918</v>
      </c>
      <c r="F52" s="6" t="s">
        <v>55</v>
      </c>
      <c r="G52" s="17" t="s">
        <v>3</v>
      </c>
      <c r="H52" s="17" t="s">
        <v>1916</v>
      </c>
      <c r="I52" s="17" t="s">
        <v>342</v>
      </c>
    </row>
    <row r="53" spans="1:9" ht="30" customHeight="1" x14ac:dyDescent="0.25">
      <c r="A53" s="6">
        <v>321</v>
      </c>
      <c r="B53" s="14">
        <v>46053</v>
      </c>
      <c r="C53" s="6" t="s">
        <v>344</v>
      </c>
      <c r="D53" s="6" t="s">
        <v>205</v>
      </c>
      <c r="E53" s="6" t="s">
        <v>1918</v>
      </c>
      <c r="F53" s="6" t="s">
        <v>38</v>
      </c>
      <c r="G53" s="17" t="s">
        <v>3</v>
      </c>
      <c r="H53" s="17" t="s">
        <v>1916</v>
      </c>
      <c r="I53" s="17" t="s">
        <v>345</v>
      </c>
    </row>
    <row r="54" spans="1:9" ht="30" customHeight="1" x14ac:dyDescent="0.25">
      <c r="A54" s="6">
        <v>322</v>
      </c>
      <c r="B54" s="14">
        <v>46055</v>
      </c>
      <c r="C54" s="6" t="s">
        <v>1951</v>
      </c>
      <c r="D54" s="6" t="s">
        <v>812</v>
      </c>
      <c r="E54" s="6" t="s">
        <v>1949</v>
      </c>
      <c r="F54" s="6" t="s">
        <v>45</v>
      </c>
      <c r="G54" s="17" t="s">
        <v>3</v>
      </c>
      <c r="H54" s="17" t="s">
        <v>1916</v>
      </c>
      <c r="I54" s="17" t="s">
        <v>1952</v>
      </c>
    </row>
    <row r="55" spans="1:9" ht="30" customHeight="1" x14ac:dyDescent="0.25">
      <c r="A55" s="6">
        <v>323</v>
      </c>
      <c r="B55" s="14">
        <v>46056</v>
      </c>
      <c r="C55" s="6" t="s">
        <v>347</v>
      </c>
      <c r="D55" s="6" t="s">
        <v>205</v>
      </c>
      <c r="E55" s="6" t="s">
        <v>1918</v>
      </c>
      <c r="F55" s="6" t="s">
        <v>38</v>
      </c>
      <c r="G55" s="17" t="s">
        <v>3</v>
      </c>
      <c r="H55" s="17" t="s">
        <v>1916</v>
      </c>
      <c r="I55" s="17" t="s">
        <v>348</v>
      </c>
    </row>
    <row r="56" spans="1:9" ht="30" customHeight="1" x14ac:dyDescent="0.25">
      <c r="A56" s="6">
        <v>324</v>
      </c>
      <c r="B56" s="14">
        <v>46056</v>
      </c>
      <c r="C56" s="6" t="s">
        <v>350</v>
      </c>
      <c r="D56" s="6" t="s">
        <v>205</v>
      </c>
      <c r="E56" s="6" t="s">
        <v>1918</v>
      </c>
      <c r="F56" s="6" t="s">
        <v>38</v>
      </c>
      <c r="G56" s="17" t="s">
        <v>3</v>
      </c>
      <c r="H56" s="17" t="s">
        <v>1916</v>
      </c>
      <c r="I56" s="17" t="s">
        <v>352</v>
      </c>
    </row>
    <row r="57" spans="1:9" ht="30" customHeight="1" x14ac:dyDescent="0.25">
      <c r="A57" s="6">
        <v>325</v>
      </c>
      <c r="B57" s="14">
        <v>46056</v>
      </c>
      <c r="C57" s="6" t="s">
        <v>466</v>
      </c>
      <c r="D57" s="6" t="s">
        <v>211</v>
      </c>
      <c r="E57" s="6" t="s">
        <v>1953</v>
      </c>
      <c r="F57" s="6" t="s">
        <v>45</v>
      </c>
      <c r="G57" s="17" t="s">
        <v>1954</v>
      </c>
      <c r="H57" s="17" t="s">
        <v>1916</v>
      </c>
      <c r="I57" s="17" t="s">
        <v>1955</v>
      </c>
    </row>
    <row r="58" spans="1:9" ht="30" customHeight="1" x14ac:dyDescent="0.25">
      <c r="A58" s="6">
        <v>326</v>
      </c>
      <c r="B58" s="14">
        <v>46056</v>
      </c>
      <c r="C58" s="6" t="s">
        <v>1956</v>
      </c>
      <c r="D58" s="6" t="s">
        <v>211</v>
      </c>
      <c r="E58" s="6" t="s">
        <v>1953</v>
      </c>
      <c r="F58" s="6" t="s">
        <v>45</v>
      </c>
      <c r="G58" s="17" t="s">
        <v>1957</v>
      </c>
      <c r="H58" s="17" t="s">
        <v>1916</v>
      </c>
      <c r="I58" s="17" t="s">
        <v>1958</v>
      </c>
    </row>
    <row r="59" spans="1:9" ht="30" customHeight="1" x14ac:dyDescent="0.25">
      <c r="A59" s="6">
        <v>327</v>
      </c>
      <c r="B59" s="14">
        <v>46056</v>
      </c>
      <c r="C59" s="6" t="s">
        <v>359</v>
      </c>
      <c r="D59" s="6" t="s">
        <v>211</v>
      </c>
      <c r="E59" s="6" t="s">
        <v>1918</v>
      </c>
      <c r="F59" s="6" t="s">
        <v>121</v>
      </c>
      <c r="G59" s="17" t="s">
        <v>3</v>
      </c>
      <c r="H59" s="17" t="s">
        <v>1916</v>
      </c>
      <c r="I59" s="17" t="s">
        <v>360</v>
      </c>
    </row>
    <row r="60" spans="1:9" ht="30" customHeight="1" x14ac:dyDescent="0.25">
      <c r="A60" s="6">
        <v>328</v>
      </c>
      <c r="B60" s="14">
        <v>46057</v>
      </c>
      <c r="C60" s="6" t="s">
        <v>362</v>
      </c>
      <c r="D60" s="6" t="s">
        <v>211</v>
      </c>
      <c r="E60" s="6" t="s">
        <v>1949</v>
      </c>
      <c r="F60" s="6" t="s">
        <v>45</v>
      </c>
      <c r="G60" s="17" t="s">
        <v>3</v>
      </c>
      <c r="H60" s="17" t="s">
        <v>1916</v>
      </c>
      <c r="I60" s="17" t="s">
        <v>3</v>
      </c>
    </row>
    <row r="61" spans="1:9" ht="30" customHeight="1" x14ac:dyDescent="0.25">
      <c r="A61" s="6">
        <v>329</v>
      </c>
      <c r="B61" s="14">
        <v>46057</v>
      </c>
      <c r="C61" s="6" t="s">
        <v>362</v>
      </c>
      <c r="D61" s="6" t="s">
        <v>211</v>
      </c>
      <c r="E61" s="6" t="s">
        <v>1918</v>
      </c>
      <c r="F61" s="6" t="s">
        <v>40</v>
      </c>
      <c r="G61" s="17" t="s">
        <v>1959</v>
      </c>
      <c r="H61" s="17" t="s">
        <v>1916</v>
      </c>
      <c r="I61" s="17" t="s">
        <v>364</v>
      </c>
    </row>
    <row r="62" spans="1:9" ht="30" customHeight="1" x14ac:dyDescent="0.25">
      <c r="A62" s="6">
        <v>330</v>
      </c>
      <c r="B62" s="14">
        <v>46057</v>
      </c>
      <c r="C62" s="6" t="s">
        <v>362</v>
      </c>
      <c r="D62" s="6" t="s">
        <v>211</v>
      </c>
      <c r="E62" s="6" t="s">
        <v>1953</v>
      </c>
      <c r="F62" s="6" t="s">
        <v>45</v>
      </c>
      <c r="G62" s="17" t="s">
        <v>1960</v>
      </c>
      <c r="H62" s="17" t="s">
        <v>1916</v>
      </c>
      <c r="I62" s="17" t="s">
        <v>1961</v>
      </c>
    </row>
    <row r="63" spans="1:9" ht="30" customHeight="1" x14ac:dyDescent="0.25">
      <c r="A63" s="6">
        <v>331</v>
      </c>
      <c r="B63" s="14">
        <v>46057</v>
      </c>
      <c r="C63" s="6" t="s">
        <v>366</v>
      </c>
      <c r="D63" s="6" t="s">
        <v>211</v>
      </c>
      <c r="E63" s="6" t="s">
        <v>1953</v>
      </c>
      <c r="F63" s="6" t="s">
        <v>45</v>
      </c>
      <c r="G63" s="17" t="s">
        <v>1962</v>
      </c>
      <c r="H63" s="17" t="s">
        <v>1916</v>
      </c>
      <c r="I63" s="17" t="s">
        <v>1963</v>
      </c>
    </row>
    <row r="64" spans="1:9" ht="30" customHeight="1" x14ac:dyDescent="0.25">
      <c r="A64" s="6">
        <v>332</v>
      </c>
      <c r="B64" s="14">
        <v>46057</v>
      </c>
      <c r="C64" s="6" t="s">
        <v>366</v>
      </c>
      <c r="D64" s="6" t="s">
        <v>211</v>
      </c>
      <c r="E64" s="6" t="s">
        <v>1918</v>
      </c>
      <c r="F64" s="6" t="s">
        <v>40</v>
      </c>
      <c r="G64" s="17" t="s">
        <v>367</v>
      </c>
      <c r="H64" s="17" t="s">
        <v>1916</v>
      </c>
      <c r="I64" s="17" t="s">
        <v>368</v>
      </c>
    </row>
    <row r="65" spans="1:9" ht="30" customHeight="1" x14ac:dyDescent="0.25">
      <c r="A65" s="6">
        <v>333</v>
      </c>
      <c r="B65" s="14">
        <v>46057</v>
      </c>
      <c r="C65" s="6" t="s">
        <v>371</v>
      </c>
      <c r="D65" s="6" t="s">
        <v>205</v>
      </c>
      <c r="E65" s="6" t="s">
        <v>1918</v>
      </c>
      <c r="F65" s="6" t="s">
        <v>53</v>
      </c>
      <c r="G65" s="17" t="s">
        <v>3</v>
      </c>
      <c r="H65" s="17" t="s">
        <v>1916</v>
      </c>
      <c r="I65" s="17" t="s">
        <v>372</v>
      </c>
    </row>
    <row r="66" spans="1:9" ht="30" customHeight="1" x14ac:dyDescent="0.25">
      <c r="A66" s="6">
        <v>334</v>
      </c>
      <c r="B66" s="14">
        <v>46058</v>
      </c>
      <c r="C66" s="6" t="s">
        <v>378</v>
      </c>
      <c r="D66" s="6" t="s">
        <v>205</v>
      </c>
      <c r="E66" s="6" t="s">
        <v>1918</v>
      </c>
      <c r="F66" s="6" t="s">
        <v>122</v>
      </c>
      <c r="G66" s="17" t="s">
        <v>3</v>
      </c>
      <c r="H66" s="17" t="s">
        <v>1916</v>
      </c>
      <c r="I66" s="17" t="s">
        <v>379</v>
      </c>
    </row>
    <row r="67" spans="1:9" ht="30" customHeight="1" x14ac:dyDescent="0.25">
      <c r="A67" s="6">
        <v>335</v>
      </c>
      <c r="B67" s="14">
        <v>46059</v>
      </c>
      <c r="C67" s="6" t="s">
        <v>374</v>
      </c>
      <c r="D67" s="6" t="s">
        <v>313</v>
      </c>
      <c r="E67" s="6" t="s">
        <v>1918</v>
      </c>
      <c r="F67" s="6" t="s">
        <v>38</v>
      </c>
      <c r="G67" s="17" t="s">
        <v>375</v>
      </c>
      <c r="H67" s="17" t="s">
        <v>1916</v>
      </c>
      <c r="I67" s="17" t="s">
        <v>376</v>
      </c>
    </row>
    <row r="68" spans="1:9" ht="30" customHeight="1" x14ac:dyDescent="0.25">
      <c r="A68" s="6">
        <v>336</v>
      </c>
      <c r="B68" s="14">
        <v>46059</v>
      </c>
      <c r="C68" s="6" t="s">
        <v>392</v>
      </c>
      <c r="D68" s="6" t="s">
        <v>228</v>
      </c>
      <c r="E68" s="6" t="s">
        <v>1918</v>
      </c>
      <c r="F68" s="6" t="s">
        <v>47</v>
      </c>
      <c r="G68" s="17" t="s">
        <v>3</v>
      </c>
      <c r="H68" s="17" t="s">
        <v>1916</v>
      </c>
      <c r="I68" s="17" t="s">
        <v>394</v>
      </c>
    </row>
    <row r="69" spans="1:9" ht="30" customHeight="1" x14ac:dyDescent="0.25">
      <c r="A69" s="6">
        <v>337</v>
      </c>
      <c r="B69" s="14">
        <v>46059</v>
      </c>
      <c r="C69" s="6" t="s">
        <v>381</v>
      </c>
      <c r="D69" s="6" t="s">
        <v>313</v>
      </c>
      <c r="E69" s="6" t="s">
        <v>1918</v>
      </c>
      <c r="F69" s="6" t="s">
        <v>38</v>
      </c>
      <c r="G69" s="17" t="s">
        <v>383</v>
      </c>
      <c r="H69" s="17" t="s">
        <v>1916</v>
      </c>
      <c r="I69" s="17" t="s">
        <v>384</v>
      </c>
    </row>
    <row r="70" spans="1:9" ht="30" customHeight="1" x14ac:dyDescent="0.25">
      <c r="A70" s="6">
        <v>338</v>
      </c>
      <c r="B70" s="14">
        <v>46059</v>
      </c>
      <c r="C70" s="6" t="s">
        <v>386</v>
      </c>
      <c r="D70" s="6" t="s">
        <v>211</v>
      </c>
      <c r="E70" s="6" t="s">
        <v>1918</v>
      </c>
      <c r="F70" s="6" t="s">
        <v>38</v>
      </c>
      <c r="G70" s="17" t="s">
        <v>3</v>
      </c>
      <c r="H70" s="17" t="s">
        <v>1916</v>
      </c>
      <c r="I70" s="17" t="s">
        <v>387</v>
      </c>
    </row>
    <row r="71" spans="1:9" ht="30" customHeight="1" x14ac:dyDescent="0.25">
      <c r="A71" s="6">
        <v>339</v>
      </c>
      <c r="B71" s="14">
        <v>46059</v>
      </c>
      <c r="C71" s="6" t="s">
        <v>389</v>
      </c>
      <c r="D71" s="6" t="s">
        <v>205</v>
      </c>
      <c r="E71" s="6" t="s">
        <v>1918</v>
      </c>
      <c r="F71" s="6" t="s">
        <v>72</v>
      </c>
      <c r="G71" s="17" t="s">
        <v>3</v>
      </c>
      <c r="H71" s="17" t="s">
        <v>1916</v>
      </c>
      <c r="I71" s="17" t="s">
        <v>390</v>
      </c>
    </row>
    <row r="72" spans="1:9" ht="30" customHeight="1" x14ac:dyDescent="0.25">
      <c r="A72" s="6">
        <v>340</v>
      </c>
      <c r="B72" s="14">
        <v>46060</v>
      </c>
      <c r="C72" s="6" t="s">
        <v>397</v>
      </c>
      <c r="D72" s="6" t="s">
        <v>211</v>
      </c>
      <c r="E72" s="6" t="s">
        <v>1918</v>
      </c>
      <c r="F72" s="6" t="s">
        <v>38</v>
      </c>
      <c r="G72" s="17" t="s">
        <v>398</v>
      </c>
      <c r="H72" s="17" t="s">
        <v>1916</v>
      </c>
      <c r="I72" s="17" t="s">
        <v>399</v>
      </c>
    </row>
    <row r="73" spans="1:9" ht="30" customHeight="1" x14ac:dyDescent="0.25">
      <c r="A73" s="6">
        <v>341</v>
      </c>
      <c r="B73" s="14">
        <v>46060</v>
      </c>
      <c r="C73" s="6" t="s">
        <v>401</v>
      </c>
      <c r="D73" s="6" t="s">
        <v>313</v>
      </c>
      <c r="E73" s="6" t="s">
        <v>1949</v>
      </c>
      <c r="F73" s="6" t="s">
        <v>45</v>
      </c>
      <c r="G73" s="17" t="s">
        <v>3</v>
      </c>
      <c r="H73" s="17" t="s">
        <v>1916</v>
      </c>
      <c r="I73" s="17" t="s">
        <v>3</v>
      </c>
    </row>
    <row r="74" spans="1:9" ht="30" customHeight="1" x14ac:dyDescent="0.25">
      <c r="A74" s="6">
        <v>342</v>
      </c>
      <c r="B74" s="14">
        <v>46060</v>
      </c>
      <c r="C74" s="6" t="s">
        <v>401</v>
      </c>
      <c r="D74" s="6" t="s">
        <v>313</v>
      </c>
      <c r="E74" s="6" t="s">
        <v>1918</v>
      </c>
      <c r="F74" s="6" t="s">
        <v>38</v>
      </c>
      <c r="G74" s="17" t="s">
        <v>1964</v>
      </c>
      <c r="H74" s="17" t="s">
        <v>1916</v>
      </c>
      <c r="I74" s="17" t="s">
        <v>403</v>
      </c>
    </row>
    <row r="75" spans="1:9" ht="30" customHeight="1" x14ac:dyDescent="0.25">
      <c r="A75" s="6">
        <v>343</v>
      </c>
      <c r="B75" s="14">
        <v>46060</v>
      </c>
      <c r="C75" s="6" t="s">
        <v>401</v>
      </c>
      <c r="D75" s="6" t="s">
        <v>313</v>
      </c>
      <c r="E75" s="6" t="s">
        <v>1953</v>
      </c>
      <c r="F75" s="6" t="s">
        <v>45</v>
      </c>
      <c r="G75" s="17" t="s">
        <v>1965</v>
      </c>
      <c r="H75" s="17" t="s">
        <v>1916</v>
      </c>
      <c r="I75" s="17" t="s">
        <v>1966</v>
      </c>
    </row>
    <row r="76" spans="1:9" ht="30" customHeight="1" x14ac:dyDescent="0.25">
      <c r="A76" s="6">
        <v>344</v>
      </c>
      <c r="B76" s="14">
        <v>46061</v>
      </c>
      <c r="C76" s="6" t="s">
        <v>406</v>
      </c>
      <c r="D76" s="6" t="s">
        <v>313</v>
      </c>
      <c r="E76" s="6" t="s">
        <v>1918</v>
      </c>
      <c r="F76" s="6" t="s">
        <v>38</v>
      </c>
      <c r="G76" s="17" t="s">
        <v>409</v>
      </c>
      <c r="H76" s="17" t="s">
        <v>1916</v>
      </c>
      <c r="I76" s="17" t="s">
        <v>410</v>
      </c>
    </row>
    <row r="77" spans="1:9" ht="30" customHeight="1" x14ac:dyDescent="0.25">
      <c r="A77" s="6">
        <v>345</v>
      </c>
      <c r="B77" s="14">
        <v>46062</v>
      </c>
      <c r="C77" s="6" t="s">
        <v>413</v>
      </c>
      <c r="D77" s="6" t="s">
        <v>205</v>
      </c>
      <c r="E77" s="6" t="s">
        <v>1918</v>
      </c>
      <c r="F77" s="6" t="s">
        <v>40</v>
      </c>
      <c r="G77" s="17" t="s">
        <v>3</v>
      </c>
      <c r="H77" s="17" t="s">
        <v>1916</v>
      </c>
      <c r="I77" s="17" t="s">
        <v>415</v>
      </c>
    </row>
    <row r="78" spans="1:9" ht="30" customHeight="1" x14ac:dyDescent="0.25">
      <c r="A78" s="6">
        <v>346</v>
      </c>
      <c r="B78" s="14">
        <v>46063</v>
      </c>
      <c r="C78" s="6" t="s">
        <v>420</v>
      </c>
      <c r="D78" s="6" t="s">
        <v>211</v>
      </c>
      <c r="E78" s="6" t="s">
        <v>1918</v>
      </c>
      <c r="F78" s="6" t="s">
        <v>40</v>
      </c>
      <c r="G78" s="17" t="s">
        <v>421</v>
      </c>
      <c r="H78" s="17" t="s">
        <v>1916</v>
      </c>
      <c r="I78" s="17" t="s">
        <v>422</v>
      </c>
    </row>
    <row r="79" spans="1:9" ht="30" customHeight="1" x14ac:dyDescent="0.25">
      <c r="A79" s="6">
        <v>347</v>
      </c>
      <c r="B79" s="14">
        <v>46063</v>
      </c>
      <c r="C79" s="6" t="s">
        <v>424</v>
      </c>
      <c r="D79" s="6" t="s">
        <v>211</v>
      </c>
      <c r="E79" s="6" t="s">
        <v>1918</v>
      </c>
      <c r="F79" s="6" t="s">
        <v>40</v>
      </c>
      <c r="G79" s="17" t="s">
        <v>425</v>
      </c>
      <c r="H79" s="17" t="s">
        <v>1916</v>
      </c>
      <c r="I79" s="17" t="s">
        <v>426</v>
      </c>
    </row>
    <row r="80" spans="1:9" ht="30" customHeight="1" x14ac:dyDescent="0.25">
      <c r="A80" s="6">
        <v>348</v>
      </c>
      <c r="B80" s="14">
        <v>46063</v>
      </c>
      <c r="C80" s="6" t="s">
        <v>417</v>
      </c>
      <c r="D80" s="6" t="s">
        <v>205</v>
      </c>
      <c r="E80" s="6" t="s">
        <v>1918</v>
      </c>
      <c r="F80" s="6" t="s">
        <v>73</v>
      </c>
      <c r="G80" s="17" t="s">
        <v>3</v>
      </c>
      <c r="H80" s="17" t="s">
        <v>1916</v>
      </c>
      <c r="I80" s="17" t="s">
        <v>418</v>
      </c>
    </row>
    <row r="81" spans="1:9" ht="30" customHeight="1" x14ac:dyDescent="0.25">
      <c r="A81" s="6">
        <v>349</v>
      </c>
      <c r="B81" s="14">
        <v>46063</v>
      </c>
      <c r="C81" s="6" t="s">
        <v>429</v>
      </c>
      <c r="D81" s="6" t="s">
        <v>313</v>
      </c>
      <c r="E81" s="6" t="s">
        <v>1918</v>
      </c>
      <c r="F81" s="6" t="s">
        <v>159</v>
      </c>
      <c r="G81" s="17" t="s">
        <v>3</v>
      </c>
      <c r="H81" s="17" t="s">
        <v>1916</v>
      </c>
      <c r="I81" s="17" t="s">
        <v>430</v>
      </c>
    </row>
    <row r="82" spans="1:9" ht="30" customHeight="1" x14ac:dyDescent="0.25">
      <c r="A82" s="6">
        <v>350</v>
      </c>
      <c r="B82" s="14">
        <v>46064</v>
      </c>
      <c r="C82" s="6" t="s">
        <v>439</v>
      </c>
      <c r="D82" s="6" t="s">
        <v>211</v>
      </c>
      <c r="E82" s="6" t="s">
        <v>1918</v>
      </c>
      <c r="F82" s="6" t="s">
        <v>40</v>
      </c>
      <c r="G82" s="17" t="s">
        <v>440</v>
      </c>
      <c r="H82" s="17" t="s">
        <v>1916</v>
      </c>
      <c r="I82" s="17" t="s">
        <v>441</v>
      </c>
    </row>
    <row r="83" spans="1:9" ht="30" customHeight="1" x14ac:dyDescent="0.25">
      <c r="A83" s="6">
        <v>351</v>
      </c>
      <c r="B83" s="14">
        <v>46064</v>
      </c>
      <c r="C83" s="6" t="s">
        <v>443</v>
      </c>
      <c r="D83" s="6" t="s">
        <v>211</v>
      </c>
      <c r="E83" s="6" t="s">
        <v>1918</v>
      </c>
      <c r="F83" s="6" t="s">
        <v>40</v>
      </c>
      <c r="G83" s="17" t="s">
        <v>444</v>
      </c>
      <c r="H83" s="17" t="s">
        <v>1916</v>
      </c>
      <c r="I83" s="17" t="s">
        <v>445</v>
      </c>
    </row>
    <row r="84" spans="1:9" ht="30" customHeight="1" x14ac:dyDescent="0.25">
      <c r="A84" s="6">
        <v>352</v>
      </c>
      <c r="B84" s="14">
        <v>46064</v>
      </c>
      <c r="C84" s="6" t="s">
        <v>432</v>
      </c>
      <c r="D84" s="6" t="s">
        <v>313</v>
      </c>
      <c r="E84" s="6" t="s">
        <v>1918</v>
      </c>
      <c r="F84" s="6" t="s">
        <v>38</v>
      </c>
      <c r="G84" s="17" t="s">
        <v>433</v>
      </c>
      <c r="H84" s="17" t="s">
        <v>1916</v>
      </c>
      <c r="I84" s="17" t="s">
        <v>434</v>
      </c>
    </row>
    <row r="85" spans="1:9" ht="30" customHeight="1" x14ac:dyDescent="0.25">
      <c r="A85" s="6">
        <v>353</v>
      </c>
      <c r="B85" s="14">
        <v>46064</v>
      </c>
      <c r="C85" s="6" t="s">
        <v>436</v>
      </c>
      <c r="D85" s="6" t="s">
        <v>205</v>
      </c>
      <c r="E85" s="6" t="s">
        <v>1918</v>
      </c>
      <c r="F85" s="6" t="s">
        <v>73</v>
      </c>
      <c r="G85" s="17" t="s">
        <v>3</v>
      </c>
      <c r="H85" s="17" t="s">
        <v>1916</v>
      </c>
      <c r="I85" s="17" t="s">
        <v>437</v>
      </c>
    </row>
    <row r="86" spans="1:9" ht="30" customHeight="1" x14ac:dyDescent="0.25">
      <c r="A86" s="6">
        <v>354</v>
      </c>
      <c r="B86" s="14">
        <v>46064</v>
      </c>
      <c r="C86" s="6" t="s">
        <v>1967</v>
      </c>
      <c r="D86" s="6" t="s">
        <v>265</v>
      </c>
      <c r="E86" s="6" t="s">
        <v>1949</v>
      </c>
      <c r="F86" s="6" t="s">
        <v>1968</v>
      </c>
      <c r="G86" s="17" t="s">
        <v>3</v>
      </c>
      <c r="H86" s="17" t="s">
        <v>1916</v>
      </c>
      <c r="I86" s="17" t="s">
        <v>1968</v>
      </c>
    </row>
    <row r="87" spans="1:9" ht="30" customHeight="1" x14ac:dyDescent="0.25">
      <c r="A87" s="6">
        <v>355</v>
      </c>
      <c r="B87" s="14">
        <v>46065</v>
      </c>
      <c r="C87" s="6" t="s">
        <v>1969</v>
      </c>
      <c r="D87" s="6" t="s">
        <v>468</v>
      </c>
      <c r="E87" s="6" t="s">
        <v>1949</v>
      </c>
      <c r="F87" s="6" t="s">
        <v>45</v>
      </c>
      <c r="G87" s="17" t="s">
        <v>3</v>
      </c>
      <c r="H87" s="17" t="s">
        <v>1916</v>
      </c>
      <c r="I87" s="17" t="s">
        <v>1970</v>
      </c>
    </row>
    <row r="88" spans="1:9" ht="30" customHeight="1" x14ac:dyDescent="0.25">
      <c r="A88" s="6">
        <v>356</v>
      </c>
      <c r="B88" s="14">
        <v>46065</v>
      </c>
      <c r="C88" s="6" t="s">
        <v>1971</v>
      </c>
      <c r="D88" s="6" t="s">
        <v>468</v>
      </c>
      <c r="E88" s="6" t="s">
        <v>1931</v>
      </c>
      <c r="F88" s="6" t="s">
        <v>40</v>
      </c>
      <c r="G88" s="17" t="s">
        <v>1972</v>
      </c>
      <c r="H88" s="17" t="s">
        <v>1916</v>
      </c>
      <c r="I88" s="17" t="s">
        <v>1973</v>
      </c>
    </row>
    <row r="89" spans="1:9" ht="30" customHeight="1" x14ac:dyDescent="0.25">
      <c r="A89" s="6">
        <v>357</v>
      </c>
      <c r="B89" s="14">
        <v>46065</v>
      </c>
      <c r="C89" s="6" t="s">
        <v>1974</v>
      </c>
      <c r="D89" s="6" t="s">
        <v>468</v>
      </c>
      <c r="E89" s="6" t="s">
        <v>1931</v>
      </c>
      <c r="F89" s="6" t="s">
        <v>40</v>
      </c>
      <c r="G89" s="17" t="s">
        <v>1975</v>
      </c>
      <c r="H89" s="17" t="s">
        <v>1916</v>
      </c>
      <c r="I89" s="17" t="s">
        <v>1976</v>
      </c>
    </row>
    <row r="90" spans="1:9" ht="30" customHeight="1" x14ac:dyDescent="0.25">
      <c r="A90" s="6">
        <v>358</v>
      </c>
      <c r="B90" s="14">
        <v>46065</v>
      </c>
      <c r="C90" s="6" t="s">
        <v>448</v>
      </c>
      <c r="D90" s="6" t="s">
        <v>313</v>
      </c>
      <c r="E90" s="6" t="s">
        <v>1918</v>
      </c>
      <c r="F90" s="6" t="s">
        <v>38</v>
      </c>
      <c r="G90" s="17" t="s">
        <v>449</v>
      </c>
      <c r="H90" s="17" t="s">
        <v>1916</v>
      </c>
      <c r="I90" s="17" t="s">
        <v>450</v>
      </c>
    </row>
    <row r="91" spans="1:9" ht="30" customHeight="1" x14ac:dyDescent="0.25">
      <c r="A91" s="6">
        <v>359</v>
      </c>
      <c r="B91" s="14">
        <v>46065</v>
      </c>
      <c r="C91" s="6" t="s">
        <v>466</v>
      </c>
      <c r="D91" s="6" t="s">
        <v>468</v>
      </c>
      <c r="E91" s="6" t="s">
        <v>1918</v>
      </c>
      <c r="F91" s="6" t="s">
        <v>124</v>
      </c>
      <c r="G91" s="17" t="s">
        <v>469</v>
      </c>
      <c r="H91" s="17" t="s">
        <v>1916</v>
      </c>
      <c r="I91" s="17" t="s">
        <v>470</v>
      </c>
    </row>
    <row r="92" spans="1:9" ht="30" customHeight="1" x14ac:dyDescent="0.25">
      <c r="A92" s="6">
        <v>360</v>
      </c>
      <c r="B92" s="14">
        <v>46065</v>
      </c>
      <c r="C92" s="6" t="s">
        <v>1977</v>
      </c>
      <c r="D92" s="6" t="s">
        <v>265</v>
      </c>
      <c r="E92" s="6" t="s">
        <v>1949</v>
      </c>
      <c r="F92" s="6" t="s">
        <v>1978</v>
      </c>
      <c r="G92" s="17" t="s">
        <v>3</v>
      </c>
      <c r="H92" s="17" t="s">
        <v>1916</v>
      </c>
      <c r="I92" s="17" t="s">
        <v>1978</v>
      </c>
    </row>
    <row r="93" spans="1:9" ht="30" customHeight="1" x14ac:dyDescent="0.25">
      <c r="A93" s="6">
        <v>361</v>
      </c>
      <c r="B93" s="14">
        <v>46065</v>
      </c>
      <c r="C93" s="6" t="s">
        <v>472</v>
      </c>
      <c r="D93" s="6" t="s">
        <v>468</v>
      </c>
      <c r="E93" s="6" t="s">
        <v>1918</v>
      </c>
      <c r="F93" s="6" t="s">
        <v>45</v>
      </c>
      <c r="G93" s="17" t="s">
        <v>3</v>
      </c>
      <c r="H93" s="17" t="s">
        <v>1916</v>
      </c>
      <c r="I93" s="17" t="s">
        <v>473</v>
      </c>
    </row>
    <row r="94" spans="1:9" ht="30" customHeight="1" x14ac:dyDescent="0.25">
      <c r="A94" s="6">
        <v>362</v>
      </c>
      <c r="B94" s="14">
        <v>46065</v>
      </c>
      <c r="C94" s="6" t="s">
        <v>452</v>
      </c>
      <c r="D94" s="6" t="s">
        <v>205</v>
      </c>
      <c r="E94" s="6" t="s">
        <v>1918</v>
      </c>
      <c r="F94" s="6" t="s">
        <v>38</v>
      </c>
      <c r="G94" s="17" t="s">
        <v>3</v>
      </c>
      <c r="H94" s="17" t="s">
        <v>1916</v>
      </c>
      <c r="I94" s="17" t="s">
        <v>455</v>
      </c>
    </row>
    <row r="95" spans="1:9" ht="30" customHeight="1" x14ac:dyDescent="0.25">
      <c r="A95" s="6">
        <v>363</v>
      </c>
      <c r="B95" s="14">
        <v>46065</v>
      </c>
      <c r="C95" s="6" t="s">
        <v>1979</v>
      </c>
      <c r="D95" s="6" t="s">
        <v>205</v>
      </c>
      <c r="E95" s="6" t="s">
        <v>1953</v>
      </c>
      <c r="F95" s="6" t="s">
        <v>45</v>
      </c>
      <c r="G95" s="17" t="s">
        <v>454</v>
      </c>
      <c r="H95" s="17" t="s">
        <v>1916</v>
      </c>
      <c r="I95" s="17" t="s">
        <v>1980</v>
      </c>
    </row>
    <row r="96" spans="1:9" ht="30" customHeight="1" x14ac:dyDescent="0.25">
      <c r="A96" s="6">
        <v>364</v>
      </c>
      <c r="B96" s="14">
        <v>46065</v>
      </c>
      <c r="C96" s="6" t="s">
        <v>1981</v>
      </c>
      <c r="D96" s="6" t="s">
        <v>205</v>
      </c>
      <c r="E96" s="6" t="s">
        <v>1921</v>
      </c>
      <c r="F96" s="6" t="s">
        <v>45</v>
      </c>
      <c r="G96" s="17" t="s">
        <v>3</v>
      </c>
      <c r="H96" s="17" t="s">
        <v>1916</v>
      </c>
      <c r="I96" s="17" t="s">
        <v>1982</v>
      </c>
    </row>
    <row r="97" spans="1:9" ht="30" customHeight="1" x14ac:dyDescent="0.25">
      <c r="A97" s="6">
        <v>365</v>
      </c>
      <c r="B97" s="14">
        <v>46065</v>
      </c>
      <c r="C97" s="6" t="s">
        <v>457</v>
      </c>
      <c r="D97" s="6" t="s">
        <v>211</v>
      </c>
      <c r="E97" s="6" t="s">
        <v>1918</v>
      </c>
      <c r="F97" s="6" t="s">
        <v>40</v>
      </c>
      <c r="G97" s="17" t="s">
        <v>458</v>
      </c>
      <c r="H97" s="17" t="s">
        <v>1916</v>
      </c>
      <c r="I97" s="17" t="s">
        <v>459</v>
      </c>
    </row>
    <row r="98" spans="1:9" ht="30" customHeight="1" x14ac:dyDescent="0.25">
      <c r="A98" s="6">
        <v>366</v>
      </c>
      <c r="B98" s="14">
        <v>46065</v>
      </c>
      <c r="C98" s="6" t="s">
        <v>461</v>
      </c>
      <c r="D98" s="6" t="s">
        <v>211</v>
      </c>
      <c r="E98" s="6" t="s">
        <v>1918</v>
      </c>
      <c r="F98" s="6" t="s">
        <v>40</v>
      </c>
      <c r="G98" s="17" t="s">
        <v>462</v>
      </c>
      <c r="H98" s="17" t="s">
        <v>1916</v>
      </c>
      <c r="I98" s="17" t="s">
        <v>463</v>
      </c>
    </row>
    <row r="99" spans="1:9" ht="30" customHeight="1" x14ac:dyDescent="0.25">
      <c r="A99" s="6">
        <v>367</v>
      </c>
      <c r="B99" s="14">
        <v>46066</v>
      </c>
      <c r="C99" s="6" t="s">
        <v>488</v>
      </c>
      <c r="D99" s="6" t="s">
        <v>228</v>
      </c>
      <c r="E99" s="6" t="s">
        <v>1918</v>
      </c>
      <c r="F99" s="6" t="s">
        <v>47</v>
      </c>
      <c r="G99" s="17" t="s">
        <v>490</v>
      </c>
      <c r="H99" s="17" t="s">
        <v>1916</v>
      </c>
      <c r="I99" s="17" t="s">
        <v>491</v>
      </c>
    </row>
    <row r="100" spans="1:9" ht="30" customHeight="1" x14ac:dyDescent="0.25">
      <c r="A100" s="6">
        <v>368</v>
      </c>
      <c r="B100" s="14">
        <v>46066</v>
      </c>
      <c r="C100" s="6" t="s">
        <v>481</v>
      </c>
      <c r="D100" s="6" t="s">
        <v>211</v>
      </c>
      <c r="E100" s="6" t="s">
        <v>1918</v>
      </c>
      <c r="F100" s="6" t="s">
        <v>40</v>
      </c>
      <c r="G100" s="17" t="s">
        <v>482</v>
      </c>
      <c r="H100" s="17" t="s">
        <v>1916</v>
      </c>
      <c r="I100" s="17" t="s">
        <v>483</v>
      </c>
    </row>
    <row r="101" spans="1:9" ht="30" customHeight="1" x14ac:dyDescent="0.25">
      <c r="A101" s="6">
        <v>369</v>
      </c>
      <c r="B101" s="14">
        <v>46066</v>
      </c>
      <c r="C101" s="6" t="s">
        <v>493</v>
      </c>
      <c r="D101" s="6" t="s">
        <v>228</v>
      </c>
      <c r="E101" s="6" t="s">
        <v>1918</v>
      </c>
      <c r="F101" s="6" t="s">
        <v>47</v>
      </c>
      <c r="G101" s="17" t="s">
        <v>494</v>
      </c>
      <c r="H101" s="17" t="s">
        <v>1916</v>
      </c>
      <c r="I101" s="17" t="s">
        <v>495</v>
      </c>
    </row>
    <row r="102" spans="1:9" ht="30" customHeight="1" x14ac:dyDescent="0.25">
      <c r="A102" s="6">
        <v>370</v>
      </c>
      <c r="B102" s="14">
        <v>46066</v>
      </c>
      <c r="C102" s="6" t="s">
        <v>497</v>
      </c>
      <c r="D102" s="6" t="s">
        <v>313</v>
      </c>
      <c r="E102" s="6" t="s">
        <v>1918</v>
      </c>
      <c r="F102" s="6" t="s">
        <v>53</v>
      </c>
      <c r="G102" s="17" t="s">
        <v>499</v>
      </c>
      <c r="H102" s="17" t="s">
        <v>1916</v>
      </c>
      <c r="I102" s="17" t="s">
        <v>500</v>
      </c>
    </row>
    <row r="103" spans="1:9" ht="30" customHeight="1" x14ac:dyDescent="0.25">
      <c r="A103" s="6">
        <v>371</v>
      </c>
      <c r="B103" s="14">
        <v>46066</v>
      </c>
      <c r="C103" s="6" t="s">
        <v>476</v>
      </c>
      <c r="D103" s="6" t="s">
        <v>205</v>
      </c>
      <c r="E103" s="6" t="s">
        <v>1918</v>
      </c>
      <c r="F103" s="6" t="s">
        <v>38</v>
      </c>
      <c r="G103" s="17" t="s">
        <v>3</v>
      </c>
      <c r="H103" s="17" t="s">
        <v>1916</v>
      </c>
      <c r="I103" s="17" t="s">
        <v>478</v>
      </c>
    </row>
    <row r="104" spans="1:9" ht="30" customHeight="1" x14ac:dyDescent="0.25">
      <c r="A104" s="6">
        <v>372</v>
      </c>
      <c r="B104" s="14">
        <v>46066</v>
      </c>
      <c r="C104" s="6" t="s">
        <v>1983</v>
      </c>
      <c r="D104" s="6" t="s">
        <v>205</v>
      </c>
      <c r="E104" s="6" t="s">
        <v>1953</v>
      </c>
      <c r="F104" s="6" t="s">
        <v>45</v>
      </c>
      <c r="G104" s="17" t="s">
        <v>477</v>
      </c>
      <c r="H104" s="17" t="s">
        <v>1916</v>
      </c>
      <c r="I104" s="17" t="s">
        <v>1984</v>
      </c>
    </row>
    <row r="105" spans="1:9" ht="30" customHeight="1" x14ac:dyDescent="0.25">
      <c r="A105" s="6">
        <v>373</v>
      </c>
      <c r="B105" s="14">
        <v>46067</v>
      </c>
      <c r="C105" s="6" t="s">
        <v>505</v>
      </c>
      <c r="D105" s="6" t="s">
        <v>313</v>
      </c>
      <c r="E105" s="6" t="s">
        <v>1918</v>
      </c>
      <c r="F105" s="6" t="s">
        <v>53</v>
      </c>
      <c r="G105" s="17" t="s">
        <v>507</v>
      </c>
      <c r="H105" s="17" t="s">
        <v>1916</v>
      </c>
      <c r="I105" s="17" t="s">
        <v>508</v>
      </c>
    </row>
    <row r="106" spans="1:9" ht="30" customHeight="1" x14ac:dyDescent="0.25">
      <c r="A106" s="6">
        <v>374</v>
      </c>
      <c r="B106" s="14">
        <v>46068</v>
      </c>
      <c r="C106" s="6" t="s">
        <v>511</v>
      </c>
      <c r="D106" s="6" t="s">
        <v>313</v>
      </c>
      <c r="E106" s="6" t="s">
        <v>1918</v>
      </c>
      <c r="F106" s="6" t="s">
        <v>53</v>
      </c>
      <c r="G106" s="17" t="s">
        <v>512</v>
      </c>
      <c r="H106" s="17" t="s">
        <v>1916</v>
      </c>
      <c r="I106" s="17" t="s">
        <v>513</v>
      </c>
    </row>
    <row r="107" spans="1:9" ht="30" customHeight="1" x14ac:dyDescent="0.25">
      <c r="A107" s="6">
        <v>375</v>
      </c>
      <c r="B107" s="14">
        <v>46068</v>
      </c>
      <c r="C107" s="6" t="s">
        <v>502</v>
      </c>
      <c r="D107" s="6" t="s">
        <v>205</v>
      </c>
      <c r="E107" s="6" t="s">
        <v>1918</v>
      </c>
      <c r="F107" s="6" t="s">
        <v>142</v>
      </c>
      <c r="G107" s="17" t="s">
        <v>3</v>
      </c>
      <c r="H107" s="17" t="s">
        <v>1916</v>
      </c>
      <c r="I107" s="17" t="s">
        <v>503</v>
      </c>
    </row>
    <row r="108" spans="1:9" ht="30" customHeight="1" x14ac:dyDescent="0.25">
      <c r="A108" s="6">
        <v>376</v>
      </c>
      <c r="B108" s="14">
        <v>46069</v>
      </c>
      <c r="C108" s="6" t="s">
        <v>515</v>
      </c>
      <c r="D108" s="6" t="s">
        <v>211</v>
      </c>
      <c r="E108" s="6" t="s">
        <v>1918</v>
      </c>
      <c r="F108" s="6" t="s">
        <v>40</v>
      </c>
      <c r="G108" s="17" t="s">
        <v>516</v>
      </c>
      <c r="H108" s="17" t="s">
        <v>1916</v>
      </c>
      <c r="I108" s="17" t="s">
        <v>517</v>
      </c>
    </row>
    <row r="109" spans="1:9" ht="30" customHeight="1" x14ac:dyDescent="0.25">
      <c r="A109" s="6">
        <v>377</v>
      </c>
      <c r="B109" s="14">
        <v>46069</v>
      </c>
      <c r="C109" s="6" t="s">
        <v>519</v>
      </c>
      <c r="D109" s="6" t="s">
        <v>211</v>
      </c>
      <c r="E109" s="6" t="s">
        <v>1918</v>
      </c>
      <c r="F109" s="6" t="s">
        <v>40</v>
      </c>
      <c r="G109" s="17" t="s">
        <v>520</v>
      </c>
      <c r="H109" s="17" t="s">
        <v>1916</v>
      </c>
      <c r="I109" s="17" t="s">
        <v>521</v>
      </c>
    </row>
    <row r="110" spans="1:9" ht="30" customHeight="1" x14ac:dyDescent="0.25">
      <c r="A110" s="6">
        <v>378</v>
      </c>
      <c r="B110" s="14">
        <v>46070</v>
      </c>
      <c r="C110" s="6" t="s">
        <v>524</v>
      </c>
      <c r="D110" s="6" t="s">
        <v>313</v>
      </c>
      <c r="E110" s="6" t="s">
        <v>1918</v>
      </c>
      <c r="F110" s="6" t="s">
        <v>67</v>
      </c>
      <c r="G110" s="17" t="s">
        <v>3</v>
      </c>
      <c r="H110" s="17" t="s">
        <v>1916</v>
      </c>
      <c r="I110" s="17" t="s">
        <v>525</v>
      </c>
    </row>
    <row r="111" spans="1:9" ht="30" customHeight="1" x14ac:dyDescent="0.25">
      <c r="A111" s="6">
        <v>379</v>
      </c>
      <c r="B111" s="14">
        <v>46071</v>
      </c>
      <c r="C111" s="6" t="s">
        <v>541</v>
      </c>
      <c r="D111" s="6" t="s">
        <v>205</v>
      </c>
      <c r="E111" s="6" t="s">
        <v>1918</v>
      </c>
      <c r="F111" s="6" t="s">
        <v>45</v>
      </c>
      <c r="G111" s="17" t="s">
        <v>3</v>
      </c>
      <c r="H111" s="17" t="s">
        <v>1916</v>
      </c>
      <c r="I111" s="17" t="s">
        <v>542</v>
      </c>
    </row>
    <row r="112" spans="1:9" ht="30" customHeight="1" x14ac:dyDescent="0.25">
      <c r="A112" s="6">
        <v>380</v>
      </c>
      <c r="B112" s="14">
        <v>46071</v>
      </c>
      <c r="C112" s="6" t="s">
        <v>1985</v>
      </c>
      <c r="D112" s="6" t="s">
        <v>205</v>
      </c>
      <c r="E112" s="6" t="s">
        <v>1949</v>
      </c>
      <c r="F112" s="6" t="s">
        <v>1986</v>
      </c>
      <c r="G112" s="17" t="s">
        <v>3</v>
      </c>
      <c r="H112" s="17" t="s">
        <v>1916</v>
      </c>
      <c r="I112" s="17" t="s">
        <v>1986</v>
      </c>
    </row>
    <row r="113" spans="1:9" ht="30" customHeight="1" x14ac:dyDescent="0.25">
      <c r="A113" s="6">
        <v>381</v>
      </c>
      <c r="B113" s="14">
        <v>46071</v>
      </c>
      <c r="C113" s="6" t="s">
        <v>1987</v>
      </c>
      <c r="D113" s="6" t="s">
        <v>205</v>
      </c>
      <c r="E113" s="6" t="s">
        <v>1949</v>
      </c>
      <c r="F113" s="6" t="s">
        <v>63</v>
      </c>
      <c r="G113" s="17" t="s">
        <v>3</v>
      </c>
      <c r="H113" s="17" t="s">
        <v>1916</v>
      </c>
      <c r="I113" s="17" t="s">
        <v>1988</v>
      </c>
    </row>
    <row r="114" spans="1:9" ht="30" customHeight="1" x14ac:dyDescent="0.25">
      <c r="A114" s="6">
        <v>382</v>
      </c>
      <c r="B114" s="14">
        <v>46071</v>
      </c>
      <c r="C114" s="6" t="s">
        <v>527</v>
      </c>
      <c r="D114" s="6" t="s">
        <v>313</v>
      </c>
      <c r="E114" s="6" t="s">
        <v>1918</v>
      </c>
      <c r="F114" s="6" t="s">
        <v>67</v>
      </c>
      <c r="G114" s="17" t="s">
        <v>3</v>
      </c>
      <c r="H114" s="17" t="s">
        <v>1916</v>
      </c>
      <c r="I114" s="17" t="s">
        <v>528</v>
      </c>
    </row>
    <row r="115" spans="1:9" ht="30" customHeight="1" x14ac:dyDescent="0.25">
      <c r="A115" s="6">
        <v>383</v>
      </c>
      <c r="B115" s="14">
        <v>46071</v>
      </c>
      <c r="C115" s="6" t="s">
        <v>530</v>
      </c>
      <c r="D115" s="6" t="s">
        <v>211</v>
      </c>
      <c r="E115" s="6" t="s">
        <v>1918</v>
      </c>
      <c r="F115" s="6" t="s">
        <v>40</v>
      </c>
      <c r="G115" s="17" t="s">
        <v>531</v>
      </c>
      <c r="H115" s="17" t="s">
        <v>1916</v>
      </c>
      <c r="I115" s="17" t="s">
        <v>532</v>
      </c>
    </row>
    <row r="116" spans="1:9" ht="30" customHeight="1" x14ac:dyDescent="0.25">
      <c r="A116" s="6">
        <v>384</v>
      </c>
      <c r="B116" s="14">
        <v>46071</v>
      </c>
      <c r="C116" s="6" t="s">
        <v>535</v>
      </c>
      <c r="D116" s="6" t="s">
        <v>211</v>
      </c>
      <c r="E116" s="6" t="s">
        <v>1918</v>
      </c>
      <c r="F116" s="6" t="s">
        <v>40</v>
      </c>
      <c r="G116" s="17" t="s">
        <v>536</v>
      </c>
      <c r="H116" s="17" t="s">
        <v>1916</v>
      </c>
      <c r="I116" s="17" t="s">
        <v>537</v>
      </c>
    </row>
    <row r="117" spans="1:9" ht="30" customHeight="1" x14ac:dyDescent="0.25">
      <c r="A117" s="6">
        <v>385</v>
      </c>
      <c r="B117" s="14">
        <v>46071</v>
      </c>
      <c r="C117" s="6" t="s">
        <v>551</v>
      </c>
      <c r="D117" s="6" t="s">
        <v>313</v>
      </c>
      <c r="E117" s="6" t="s">
        <v>1918</v>
      </c>
      <c r="F117" s="6" t="s">
        <v>100</v>
      </c>
      <c r="G117" s="17" t="s">
        <v>3</v>
      </c>
      <c r="H117" s="17" t="s">
        <v>1916</v>
      </c>
      <c r="I117" s="17" t="s">
        <v>552</v>
      </c>
    </row>
    <row r="118" spans="1:9" ht="30" customHeight="1" x14ac:dyDescent="0.25">
      <c r="A118" s="6">
        <v>386</v>
      </c>
      <c r="B118" s="14">
        <v>46072</v>
      </c>
      <c r="C118" s="6" t="s">
        <v>547</v>
      </c>
      <c r="D118" s="6" t="s">
        <v>228</v>
      </c>
      <c r="E118" s="6" t="s">
        <v>1918</v>
      </c>
      <c r="F118" s="6" t="s">
        <v>47</v>
      </c>
      <c r="G118" s="17" t="s">
        <v>548</v>
      </c>
      <c r="H118" s="17" t="s">
        <v>1916</v>
      </c>
      <c r="I118" s="17" t="s">
        <v>549</v>
      </c>
    </row>
    <row r="119" spans="1:9" ht="30" customHeight="1" x14ac:dyDescent="0.25">
      <c r="A119" s="6">
        <v>387</v>
      </c>
      <c r="B119" s="14">
        <v>46072</v>
      </c>
      <c r="C119" s="6" t="s">
        <v>485</v>
      </c>
      <c r="D119" s="6" t="s">
        <v>313</v>
      </c>
      <c r="E119" s="6" t="s">
        <v>1918</v>
      </c>
      <c r="F119" s="6" t="s">
        <v>91</v>
      </c>
      <c r="G119" s="17" t="s">
        <v>3</v>
      </c>
      <c r="H119" s="17" t="s">
        <v>1916</v>
      </c>
      <c r="I119" s="17" t="s">
        <v>486</v>
      </c>
    </row>
    <row r="120" spans="1:9" ht="30" customHeight="1" x14ac:dyDescent="0.25">
      <c r="A120" s="6">
        <v>388</v>
      </c>
      <c r="B120" s="14">
        <v>46072</v>
      </c>
      <c r="C120" s="6" t="s">
        <v>568</v>
      </c>
      <c r="D120" s="6" t="s">
        <v>313</v>
      </c>
      <c r="E120" s="6" t="s">
        <v>1918</v>
      </c>
      <c r="F120" s="6" t="s">
        <v>68</v>
      </c>
      <c r="G120" s="17" t="s">
        <v>569</v>
      </c>
      <c r="H120" s="17" t="s">
        <v>1916</v>
      </c>
      <c r="I120" s="17" t="s">
        <v>570</v>
      </c>
    </row>
    <row r="121" spans="1:9" ht="30" customHeight="1" x14ac:dyDescent="0.25">
      <c r="A121" s="6">
        <v>389</v>
      </c>
      <c r="B121" s="14">
        <v>46073</v>
      </c>
      <c r="C121" s="6" t="s">
        <v>554</v>
      </c>
      <c r="D121" s="6" t="s">
        <v>211</v>
      </c>
      <c r="E121" s="6" t="s">
        <v>1918</v>
      </c>
      <c r="F121" s="6" t="s">
        <v>40</v>
      </c>
      <c r="G121" s="17" t="s">
        <v>555</v>
      </c>
      <c r="H121" s="17" t="s">
        <v>1916</v>
      </c>
      <c r="I121" s="17" t="s">
        <v>556</v>
      </c>
    </row>
    <row r="122" spans="1:9" ht="30" customHeight="1" x14ac:dyDescent="0.25">
      <c r="A122" s="6">
        <v>390</v>
      </c>
      <c r="B122" s="14">
        <v>46073</v>
      </c>
      <c r="C122" s="6" t="s">
        <v>558</v>
      </c>
      <c r="D122" s="6" t="s">
        <v>211</v>
      </c>
      <c r="E122" s="6" t="s">
        <v>1918</v>
      </c>
      <c r="F122" s="6" t="s">
        <v>40</v>
      </c>
      <c r="G122" s="17" t="s">
        <v>559</v>
      </c>
      <c r="H122" s="17" t="s">
        <v>1916</v>
      </c>
      <c r="I122" s="17" t="s">
        <v>560</v>
      </c>
    </row>
    <row r="123" spans="1:9" ht="30" customHeight="1" x14ac:dyDescent="0.25">
      <c r="A123" s="6">
        <v>391</v>
      </c>
      <c r="B123" s="14">
        <v>46073</v>
      </c>
      <c r="C123" s="6" t="s">
        <v>563</v>
      </c>
      <c r="D123" s="6" t="s">
        <v>228</v>
      </c>
      <c r="E123" s="6" t="s">
        <v>1918</v>
      </c>
      <c r="F123" s="6" t="s">
        <v>45</v>
      </c>
      <c r="G123" s="17" t="s">
        <v>564</v>
      </c>
      <c r="H123" s="17" t="s">
        <v>1916</v>
      </c>
      <c r="I123" s="17" t="s">
        <v>565</v>
      </c>
    </row>
    <row r="124" spans="1:9" ht="30" customHeight="1" x14ac:dyDescent="0.25">
      <c r="A124" s="6">
        <v>392</v>
      </c>
      <c r="B124" s="14">
        <v>46073</v>
      </c>
      <c r="C124" s="6" t="s">
        <v>581</v>
      </c>
      <c r="D124" s="6" t="s">
        <v>228</v>
      </c>
      <c r="E124" s="6" t="s">
        <v>1918</v>
      </c>
      <c r="F124" s="6" t="s">
        <v>45</v>
      </c>
      <c r="G124" s="17" t="s">
        <v>582</v>
      </c>
      <c r="H124" s="17" t="s">
        <v>1916</v>
      </c>
      <c r="I124" s="17" t="s">
        <v>583</v>
      </c>
    </row>
    <row r="125" spans="1:9" ht="30" customHeight="1" x14ac:dyDescent="0.25">
      <c r="A125" s="6">
        <v>393</v>
      </c>
      <c r="B125" s="14">
        <v>46073</v>
      </c>
      <c r="C125" s="6" t="s">
        <v>572</v>
      </c>
      <c r="D125" s="6" t="s">
        <v>211</v>
      </c>
      <c r="E125" s="6" t="s">
        <v>1918</v>
      </c>
      <c r="F125" s="6" t="s">
        <v>40</v>
      </c>
      <c r="G125" s="17" t="s">
        <v>573</v>
      </c>
      <c r="H125" s="17" t="s">
        <v>1916</v>
      </c>
      <c r="I125" s="17" t="s">
        <v>574</v>
      </c>
    </row>
    <row r="126" spans="1:9" ht="30" customHeight="1" x14ac:dyDescent="0.25">
      <c r="A126" s="6">
        <v>394</v>
      </c>
      <c r="B126" s="14">
        <v>46073</v>
      </c>
      <c r="C126" s="6" t="s">
        <v>576</v>
      </c>
      <c r="D126" s="6" t="s">
        <v>211</v>
      </c>
      <c r="E126" s="6" t="s">
        <v>1918</v>
      </c>
      <c r="F126" s="6" t="s">
        <v>40</v>
      </c>
      <c r="G126" s="17" t="s">
        <v>577</v>
      </c>
      <c r="H126" s="17" t="s">
        <v>1916</v>
      </c>
      <c r="I126" s="17" t="s">
        <v>578</v>
      </c>
    </row>
    <row r="127" spans="1:9" ht="30" customHeight="1" x14ac:dyDescent="0.25">
      <c r="A127" s="6">
        <v>395</v>
      </c>
      <c r="B127" s="14">
        <v>46073</v>
      </c>
      <c r="C127" s="6" t="s">
        <v>591</v>
      </c>
      <c r="D127" s="6" t="s">
        <v>205</v>
      </c>
      <c r="E127" s="6" t="s">
        <v>1918</v>
      </c>
      <c r="F127" s="6" t="s">
        <v>93</v>
      </c>
      <c r="G127" s="17" t="s">
        <v>3</v>
      </c>
      <c r="H127" s="17" t="s">
        <v>1916</v>
      </c>
      <c r="I127" s="17" t="s">
        <v>592</v>
      </c>
    </row>
    <row r="128" spans="1:9" ht="30" customHeight="1" x14ac:dyDescent="0.25">
      <c r="A128" s="6">
        <v>396</v>
      </c>
      <c r="B128" s="14">
        <v>46073</v>
      </c>
      <c r="C128" s="6" t="s">
        <v>587</v>
      </c>
      <c r="D128" s="6" t="s">
        <v>313</v>
      </c>
      <c r="E128" s="6" t="s">
        <v>1918</v>
      </c>
      <c r="F128" s="6" t="s">
        <v>68</v>
      </c>
      <c r="G128" s="17" t="s">
        <v>588</v>
      </c>
      <c r="H128" s="17" t="s">
        <v>1916</v>
      </c>
      <c r="I128" s="17" t="s">
        <v>589</v>
      </c>
    </row>
    <row r="129" spans="1:9" ht="30" customHeight="1" x14ac:dyDescent="0.25">
      <c r="A129" s="6">
        <v>397</v>
      </c>
      <c r="B129" s="14">
        <v>46074</v>
      </c>
      <c r="C129" s="6" t="s">
        <v>595</v>
      </c>
      <c r="D129" s="6" t="s">
        <v>228</v>
      </c>
      <c r="E129" s="6" t="s">
        <v>1918</v>
      </c>
      <c r="F129" s="6" t="s">
        <v>45</v>
      </c>
      <c r="G129" s="17" t="s">
        <v>596</v>
      </c>
      <c r="H129" s="17" t="s">
        <v>1916</v>
      </c>
      <c r="I129" s="17" t="s">
        <v>597</v>
      </c>
    </row>
    <row r="130" spans="1:9" ht="30" customHeight="1" x14ac:dyDescent="0.25">
      <c r="A130" s="6">
        <v>398</v>
      </c>
      <c r="B130" s="14">
        <v>46074</v>
      </c>
      <c r="C130" s="6" t="s">
        <v>603</v>
      </c>
      <c r="D130" s="6" t="s">
        <v>313</v>
      </c>
      <c r="E130" s="6" t="s">
        <v>1918</v>
      </c>
      <c r="F130" s="6" t="s">
        <v>68</v>
      </c>
      <c r="G130" s="17" t="s">
        <v>604</v>
      </c>
      <c r="H130" s="17" t="s">
        <v>1916</v>
      </c>
      <c r="I130" s="17" t="s">
        <v>605</v>
      </c>
    </row>
    <row r="131" spans="1:9" ht="30" customHeight="1" x14ac:dyDescent="0.25">
      <c r="A131" s="6">
        <v>399</v>
      </c>
      <c r="B131" s="14">
        <v>46076</v>
      </c>
      <c r="C131" s="6" t="s">
        <v>624</v>
      </c>
      <c r="D131" s="6" t="s">
        <v>313</v>
      </c>
      <c r="E131" s="6" t="s">
        <v>1918</v>
      </c>
      <c r="F131" s="6" t="s">
        <v>68</v>
      </c>
      <c r="G131" s="17" t="s">
        <v>627</v>
      </c>
      <c r="H131" s="17" t="s">
        <v>1916</v>
      </c>
      <c r="I131" s="17" t="s">
        <v>628</v>
      </c>
    </row>
    <row r="132" spans="1:9" ht="30" customHeight="1" x14ac:dyDescent="0.25">
      <c r="A132" s="6">
        <v>400</v>
      </c>
      <c r="B132" s="14">
        <v>46076</v>
      </c>
      <c r="C132" s="6" t="s">
        <v>620</v>
      </c>
      <c r="D132" s="6" t="s">
        <v>228</v>
      </c>
      <c r="E132" s="6" t="s">
        <v>1918</v>
      </c>
      <c r="F132" s="6" t="s">
        <v>45</v>
      </c>
      <c r="G132" s="17" t="s">
        <v>621</v>
      </c>
      <c r="H132" s="17" t="s">
        <v>1916</v>
      </c>
      <c r="I132" s="17" t="s">
        <v>622</v>
      </c>
    </row>
    <row r="133" spans="1:9" ht="30" customHeight="1" x14ac:dyDescent="0.25">
      <c r="A133" s="6">
        <v>401</v>
      </c>
      <c r="B133" s="14">
        <v>46076</v>
      </c>
      <c r="C133" s="6" t="s">
        <v>607</v>
      </c>
      <c r="D133" s="6" t="s">
        <v>211</v>
      </c>
      <c r="E133" s="6" t="s">
        <v>1918</v>
      </c>
      <c r="F133" s="6" t="s">
        <v>40</v>
      </c>
      <c r="G133" s="17" t="s">
        <v>608</v>
      </c>
      <c r="H133" s="17" t="s">
        <v>1916</v>
      </c>
      <c r="I133" s="17" t="s">
        <v>609</v>
      </c>
    </row>
    <row r="134" spans="1:9" ht="30" customHeight="1" x14ac:dyDescent="0.25">
      <c r="A134" s="6">
        <v>402</v>
      </c>
      <c r="B134" s="14">
        <v>46076</v>
      </c>
      <c r="C134" s="6" t="s">
        <v>611</v>
      </c>
      <c r="D134" s="6" t="s">
        <v>211</v>
      </c>
      <c r="E134" s="6" t="s">
        <v>1918</v>
      </c>
      <c r="F134" s="6" t="s">
        <v>40</v>
      </c>
      <c r="G134" s="17" t="s">
        <v>612</v>
      </c>
      <c r="H134" s="17" t="s">
        <v>1916</v>
      </c>
      <c r="I134" s="17" t="s">
        <v>613</v>
      </c>
    </row>
    <row r="135" spans="1:9" ht="30" customHeight="1" x14ac:dyDescent="0.25">
      <c r="A135" s="6">
        <v>403</v>
      </c>
      <c r="B135" s="14">
        <v>46077</v>
      </c>
      <c r="C135" s="6" t="s">
        <v>630</v>
      </c>
      <c r="D135" s="6" t="s">
        <v>313</v>
      </c>
      <c r="E135" s="6" t="s">
        <v>1918</v>
      </c>
      <c r="F135" s="6" t="s">
        <v>100</v>
      </c>
      <c r="G135" s="17" t="s">
        <v>631</v>
      </c>
      <c r="H135" s="17" t="s">
        <v>1916</v>
      </c>
      <c r="I135" s="17" t="s">
        <v>632</v>
      </c>
    </row>
    <row r="136" spans="1:9" ht="30" customHeight="1" x14ac:dyDescent="0.25">
      <c r="A136" s="6">
        <v>404</v>
      </c>
      <c r="B136" s="14">
        <v>46077</v>
      </c>
      <c r="C136" s="6" t="s">
        <v>616</v>
      </c>
      <c r="D136" s="6" t="s">
        <v>205</v>
      </c>
      <c r="E136" s="6" t="s">
        <v>1918</v>
      </c>
      <c r="F136" s="6" t="s">
        <v>40</v>
      </c>
      <c r="G136" s="17" t="s">
        <v>3</v>
      </c>
      <c r="H136" s="17" t="s">
        <v>1916</v>
      </c>
      <c r="I136" s="17" t="s">
        <v>618</v>
      </c>
    </row>
    <row r="137" spans="1:9" ht="30" customHeight="1" x14ac:dyDescent="0.25">
      <c r="A137" s="6">
        <v>405</v>
      </c>
      <c r="B137" s="14">
        <v>46077</v>
      </c>
      <c r="C137" s="6" t="s">
        <v>1989</v>
      </c>
      <c r="D137" s="6" t="s">
        <v>468</v>
      </c>
      <c r="E137" s="6" t="s">
        <v>1953</v>
      </c>
      <c r="F137" s="6" t="s">
        <v>45</v>
      </c>
      <c r="G137" s="17" t="s">
        <v>617</v>
      </c>
      <c r="H137" s="17" t="s">
        <v>1916</v>
      </c>
      <c r="I137" s="17" t="s">
        <v>1990</v>
      </c>
    </row>
    <row r="138" spans="1:9" ht="30" customHeight="1" x14ac:dyDescent="0.25">
      <c r="A138" s="6">
        <v>406</v>
      </c>
      <c r="B138" s="14">
        <v>46077</v>
      </c>
      <c r="C138" s="6" t="s">
        <v>1991</v>
      </c>
      <c r="D138" s="6" t="s">
        <v>468</v>
      </c>
      <c r="E138" s="6" t="s">
        <v>1949</v>
      </c>
      <c r="F138" s="6" t="s">
        <v>45</v>
      </c>
      <c r="G138" s="17" t="s">
        <v>3</v>
      </c>
      <c r="H138" s="17" t="s">
        <v>1916</v>
      </c>
      <c r="I138" s="17" t="s">
        <v>1992</v>
      </c>
    </row>
    <row r="139" spans="1:9" ht="30" customHeight="1" x14ac:dyDescent="0.25">
      <c r="A139" s="6">
        <v>407</v>
      </c>
      <c r="B139" s="14">
        <v>46077</v>
      </c>
      <c r="C139" s="6" t="s">
        <v>649</v>
      </c>
      <c r="D139" s="6" t="s">
        <v>228</v>
      </c>
      <c r="E139" s="6" t="s">
        <v>1918</v>
      </c>
      <c r="F139" s="6" t="s">
        <v>47</v>
      </c>
      <c r="G139" s="17" t="s">
        <v>651</v>
      </c>
      <c r="H139" s="17" t="s">
        <v>1916</v>
      </c>
      <c r="I139" s="17" t="s">
        <v>652</v>
      </c>
    </row>
    <row r="140" spans="1:9" ht="30" customHeight="1" x14ac:dyDescent="0.25">
      <c r="A140" s="6">
        <v>408</v>
      </c>
      <c r="B140" s="14">
        <v>46077</v>
      </c>
      <c r="C140" s="6" t="s">
        <v>640</v>
      </c>
      <c r="D140" s="6" t="s">
        <v>211</v>
      </c>
      <c r="E140" s="6" t="s">
        <v>1918</v>
      </c>
      <c r="F140" s="6" t="s">
        <v>40</v>
      </c>
      <c r="G140" s="17" t="s">
        <v>641</v>
      </c>
      <c r="H140" s="17" t="s">
        <v>1916</v>
      </c>
      <c r="I140" s="17" t="s">
        <v>642</v>
      </c>
    </row>
    <row r="141" spans="1:9" ht="30" customHeight="1" x14ac:dyDescent="0.25">
      <c r="A141" s="6">
        <v>409</v>
      </c>
      <c r="B141" s="14">
        <v>46077</v>
      </c>
      <c r="C141" s="6" t="s">
        <v>644</v>
      </c>
      <c r="D141" s="6" t="s">
        <v>211</v>
      </c>
      <c r="E141" s="6" t="s">
        <v>1918</v>
      </c>
      <c r="F141" s="6" t="s">
        <v>40</v>
      </c>
      <c r="G141" s="17" t="s">
        <v>645</v>
      </c>
      <c r="H141" s="17" t="s">
        <v>1916</v>
      </c>
      <c r="I141" s="17" t="s">
        <v>646</v>
      </c>
    </row>
    <row r="142" spans="1:9" ht="30" customHeight="1" x14ac:dyDescent="0.25">
      <c r="A142" s="6">
        <v>410</v>
      </c>
      <c r="B142" s="14">
        <v>46077</v>
      </c>
      <c r="C142" s="6" t="s">
        <v>634</v>
      </c>
      <c r="D142" s="6" t="s">
        <v>205</v>
      </c>
      <c r="E142" s="6" t="s">
        <v>1918</v>
      </c>
      <c r="F142" s="6" t="s">
        <v>110</v>
      </c>
      <c r="G142" s="17" t="s">
        <v>3</v>
      </c>
      <c r="H142" s="17" t="s">
        <v>1916</v>
      </c>
      <c r="I142" s="17" t="s">
        <v>635</v>
      </c>
    </row>
    <row r="143" spans="1:9" ht="30" customHeight="1" x14ac:dyDescent="0.25">
      <c r="A143" s="6">
        <v>411</v>
      </c>
      <c r="B143" s="14">
        <v>46078</v>
      </c>
      <c r="C143" s="6" t="s">
        <v>1993</v>
      </c>
      <c r="D143" s="6" t="s">
        <v>673</v>
      </c>
      <c r="E143" s="6" t="s">
        <v>1949</v>
      </c>
      <c r="F143" s="6" t="s">
        <v>45</v>
      </c>
      <c r="G143" s="17" t="s">
        <v>3</v>
      </c>
      <c r="H143" s="17" t="s">
        <v>1916</v>
      </c>
      <c r="I143" s="17" t="s">
        <v>1994</v>
      </c>
    </row>
    <row r="144" spans="1:9" ht="30" customHeight="1" x14ac:dyDescent="0.25">
      <c r="A144" s="6">
        <v>412</v>
      </c>
      <c r="B144" s="14">
        <v>46078</v>
      </c>
      <c r="C144" s="6" t="s">
        <v>677</v>
      </c>
      <c r="D144" s="6" t="s">
        <v>228</v>
      </c>
      <c r="E144" s="6" t="s">
        <v>1918</v>
      </c>
      <c r="F144" s="6" t="s">
        <v>47</v>
      </c>
      <c r="G144" s="17" t="s">
        <v>678</v>
      </c>
      <c r="H144" s="17" t="s">
        <v>1916</v>
      </c>
      <c r="I144" s="17" t="s">
        <v>679</v>
      </c>
    </row>
    <row r="145" spans="1:9" ht="30" customHeight="1" x14ac:dyDescent="0.25">
      <c r="A145" s="6">
        <v>413</v>
      </c>
      <c r="B145" s="14">
        <v>46078</v>
      </c>
      <c r="C145" s="6" t="s">
        <v>663</v>
      </c>
      <c r="D145" s="6" t="s">
        <v>211</v>
      </c>
      <c r="E145" s="6" t="s">
        <v>1918</v>
      </c>
      <c r="F145" s="6" t="s">
        <v>40</v>
      </c>
      <c r="G145" s="17" t="s">
        <v>664</v>
      </c>
      <c r="H145" s="17" t="s">
        <v>1916</v>
      </c>
      <c r="I145" s="17" t="s">
        <v>665</v>
      </c>
    </row>
    <row r="146" spans="1:9" ht="30" customHeight="1" x14ac:dyDescent="0.25">
      <c r="A146" s="6">
        <v>414</v>
      </c>
      <c r="B146" s="14">
        <v>46078</v>
      </c>
      <c r="C146" s="6" t="s">
        <v>667</v>
      </c>
      <c r="D146" s="6" t="s">
        <v>211</v>
      </c>
      <c r="E146" s="6" t="s">
        <v>1918</v>
      </c>
      <c r="F146" s="6" t="s">
        <v>40</v>
      </c>
      <c r="G146" s="17" t="s">
        <v>668</v>
      </c>
      <c r="H146" s="17" t="s">
        <v>1916</v>
      </c>
      <c r="I146" s="17" t="s">
        <v>669</v>
      </c>
    </row>
    <row r="147" spans="1:9" ht="30" customHeight="1" x14ac:dyDescent="0.25">
      <c r="A147" s="6">
        <v>415</v>
      </c>
      <c r="B147" s="14">
        <v>46078</v>
      </c>
      <c r="C147" s="6" t="s">
        <v>637</v>
      </c>
      <c r="D147" s="6" t="s">
        <v>313</v>
      </c>
      <c r="E147" s="6" t="s">
        <v>1918</v>
      </c>
      <c r="F147" s="6" t="s">
        <v>38</v>
      </c>
      <c r="G147" s="17" t="s">
        <v>3</v>
      </c>
      <c r="H147" s="17" t="s">
        <v>1916</v>
      </c>
      <c r="I147" s="17" t="s">
        <v>638</v>
      </c>
    </row>
    <row r="148" spans="1:9" ht="30" customHeight="1" x14ac:dyDescent="0.25">
      <c r="A148" s="6">
        <v>416</v>
      </c>
      <c r="B148" s="14">
        <v>46078</v>
      </c>
      <c r="C148" s="6" t="s">
        <v>672</v>
      </c>
      <c r="D148" s="6" t="s">
        <v>673</v>
      </c>
      <c r="E148" s="6" t="s">
        <v>1918</v>
      </c>
      <c r="F148" s="6" t="s">
        <v>45</v>
      </c>
      <c r="G148" s="17" t="s">
        <v>674</v>
      </c>
      <c r="H148" s="17" t="s">
        <v>1916</v>
      </c>
      <c r="I148" s="17" t="s">
        <v>675</v>
      </c>
    </row>
    <row r="149" spans="1:9" ht="30" customHeight="1" x14ac:dyDescent="0.25">
      <c r="A149" s="6">
        <v>417</v>
      </c>
      <c r="B149" s="14">
        <v>46078</v>
      </c>
      <c r="C149" s="6" t="s">
        <v>1995</v>
      </c>
      <c r="D149" s="6" t="s">
        <v>673</v>
      </c>
      <c r="E149" s="6" t="s">
        <v>1949</v>
      </c>
      <c r="F149" s="6" t="s">
        <v>49</v>
      </c>
      <c r="G149" s="17" t="s">
        <v>3</v>
      </c>
      <c r="H149" s="17" t="s">
        <v>1916</v>
      </c>
      <c r="I149" s="17" t="s">
        <v>1996</v>
      </c>
    </row>
    <row r="150" spans="1:9" ht="30" customHeight="1" x14ac:dyDescent="0.25">
      <c r="A150" s="6">
        <v>418</v>
      </c>
      <c r="B150" s="14">
        <v>46078</v>
      </c>
      <c r="C150" s="6" t="s">
        <v>654</v>
      </c>
      <c r="D150" s="6" t="s">
        <v>205</v>
      </c>
      <c r="E150" s="6" t="s">
        <v>1918</v>
      </c>
      <c r="F150" s="6" t="s">
        <v>38</v>
      </c>
      <c r="G150" s="17" t="s">
        <v>3</v>
      </c>
      <c r="H150" s="17" t="s">
        <v>1916</v>
      </c>
      <c r="I150" s="17" t="s">
        <v>656</v>
      </c>
    </row>
    <row r="151" spans="1:9" ht="30" customHeight="1" x14ac:dyDescent="0.25">
      <c r="A151" s="6">
        <v>419</v>
      </c>
      <c r="B151" s="14">
        <v>46078</v>
      </c>
      <c r="C151" s="6" t="s">
        <v>1997</v>
      </c>
      <c r="D151" s="6" t="s">
        <v>205</v>
      </c>
      <c r="E151" s="6" t="s">
        <v>1949</v>
      </c>
      <c r="F151" s="6" t="s">
        <v>45</v>
      </c>
      <c r="G151" s="17" t="s">
        <v>3</v>
      </c>
      <c r="H151" s="17" t="s">
        <v>1916</v>
      </c>
      <c r="I151" s="17" t="s">
        <v>3</v>
      </c>
    </row>
    <row r="152" spans="1:9" ht="30" customHeight="1" x14ac:dyDescent="0.25">
      <c r="A152" s="6">
        <v>420</v>
      </c>
      <c r="B152" s="14">
        <v>46078</v>
      </c>
      <c r="C152" s="6" t="s">
        <v>1997</v>
      </c>
      <c r="D152" s="6" t="s">
        <v>205</v>
      </c>
      <c r="E152" s="6" t="s">
        <v>1953</v>
      </c>
      <c r="F152" s="6" t="s">
        <v>45</v>
      </c>
      <c r="G152" s="17" t="s">
        <v>1998</v>
      </c>
      <c r="H152" s="17" t="s">
        <v>1916</v>
      </c>
      <c r="I152" s="17" t="s">
        <v>1999</v>
      </c>
    </row>
    <row r="153" spans="1:9" ht="30" customHeight="1" x14ac:dyDescent="0.25">
      <c r="A153" s="6">
        <v>421</v>
      </c>
      <c r="B153" s="14">
        <v>46078</v>
      </c>
      <c r="C153" s="6" t="s">
        <v>2000</v>
      </c>
      <c r="D153" s="6" t="s">
        <v>205</v>
      </c>
      <c r="E153" s="6" t="s">
        <v>1953</v>
      </c>
      <c r="F153" s="6" t="s">
        <v>45</v>
      </c>
      <c r="G153" s="17" t="s">
        <v>2001</v>
      </c>
      <c r="H153" s="17" t="s">
        <v>1916</v>
      </c>
      <c r="I153" s="17" t="s">
        <v>2002</v>
      </c>
    </row>
    <row r="154" spans="1:9" ht="30" customHeight="1" x14ac:dyDescent="0.25">
      <c r="A154" s="6">
        <v>422</v>
      </c>
      <c r="B154" s="14">
        <v>46078</v>
      </c>
      <c r="C154" s="6" t="s">
        <v>2003</v>
      </c>
      <c r="D154" s="6" t="s">
        <v>205</v>
      </c>
      <c r="E154" s="6" t="s">
        <v>1949</v>
      </c>
      <c r="F154" s="6" t="s">
        <v>45</v>
      </c>
      <c r="G154" s="17" t="s">
        <v>3</v>
      </c>
      <c r="H154" s="17" t="s">
        <v>1916</v>
      </c>
      <c r="I154" s="17" t="s">
        <v>2004</v>
      </c>
    </row>
    <row r="155" spans="1:9" ht="30" customHeight="1" x14ac:dyDescent="0.25">
      <c r="A155" s="6">
        <v>423</v>
      </c>
      <c r="B155" s="14">
        <v>46078</v>
      </c>
      <c r="C155" s="6" t="s">
        <v>2005</v>
      </c>
      <c r="D155" s="6" t="s">
        <v>313</v>
      </c>
      <c r="E155" s="6" t="s">
        <v>1949</v>
      </c>
      <c r="F155" s="6" t="s">
        <v>45</v>
      </c>
      <c r="G155" s="17" t="s">
        <v>3</v>
      </c>
      <c r="H155" s="17" t="s">
        <v>1916</v>
      </c>
      <c r="I155" s="17" t="s">
        <v>3</v>
      </c>
    </row>
    <row r="156" spans="1:9" ht="30" customHeight="1" x14ac:dyDescent="0.25">
      <c r="A156" s="6">
        <v>424</v>
      </c>
      <c r="B156" s="14">
        <v>46078</v>
      </c>
      <c r="C156" s="6" t="s">
        <v>659</v>
      </c>
      <c r="D156" s="6" t="s">
        <v>313</v>
      </c>
      <c r="E156" s="6" t="s">
        <v>1918</v>
      </c>
      <c r="F156" s="6" t="s">
        <v>38</v>
      </c>
      <c r="G156" s="17" t="s">
        <v>2006</v>
      </c>
      <c r="H156" s="17" t="s">
        <v>1916</v>
      </c>
      <c r="I156" s="17" t="s">
        <v>661</v>
      </c>
    </row>
    <row r="157" spans="1:9" ht="30" customHeight="1" x14ac:dyDescent="0.25">
      <c r="A157" s="6">
        <v>425</v>
      </c>
      <c r="B157" s="14">
        <v>46078</v>
      </c>
      <c r="C157" s="6" t="s">
        <v>659</v>
      </c>
      <c r="D157" s="6" t="s">
        <v>313</v>
      </c>
      <c r="E157" s="6" t="s">
        <v>1953</v>
      </c>
      <c r="F157" s="6" t="s">
        <v>45</v>
      </c>
      <c r="G157" s="17" t="s">
        <v>2007</v>
      </c>
      <c r="H157" s="17" t="s">
        <v>1916</v>
      </c>
      <c r="I157" s="17" t="s">
        <v>2008</v>
      </c>
    </row>
    <row r="158" spans="1:9" ht="30" customHeight="1" x14ac:dyDescent="0.25">
      <c r="A158" s="6">
        <v>426</v>
      </c>
      <c r="B158" s="14">
        <v>46079</v>
      </c>
      <c r="C158" s="6" t="s">
        <v>2009</v>
      </c>
      <c r="D158" s="6" t="s">
        <v>313</v>
      </c>
      <c r="E158" s="6" t="s">
        <v>1931</v>
      </c>
      <c r="F158" s="6" t="s">
        <v>38</v>
      </c>
      <c r="G158" s="17" t="s">
        <v>2010</v>
      </c>
      <c r="H158" s="17" t="s">
        <v>1916</v>
      </c>
      <c r="I158" s="17" t="s">
        <v>2011</v>
      </c>
    </row>
    <row r="159" spans="1:9" ht="30" customHeight="1" x14ac:dyDescent="0.25">
      <c r="A159" s="6">
        <v>427</v>
      </c>
      <c r="B159" s="14">
        <v>46079</v>
      </c>
      <c r="C159" s="6" t="s">
        <v>685</v>
      </c>
      <c r="D159" s="6" t="s">
        <v>313</v>
      </c>
      <c r="E159" s="6" t="s">
        <v>1918</v>
      </c>
      <c r="F159" s="6" t="s">
        <v>67</v>
      </c>
      <c r="G159" s="17" t="s">
        <v>3</v>
      </c>
      <c r="H159" s="17" t="s">
        <v>1916</v>
      </c>
      <c r="I159" s="17" t="s">
        <v>686</v>
      </c>
    </row>
    <row r="160" spans="1:9" ht="30" customHeight="1" x14ac:dyDescent="0.25">
      <c r="A160" s="6">
        <v>428</v>
      </c>
      <c r="B160" s="14">
        <v>46080</v>
      </c>
      <c r="C160" s="6" t="s">
        <v>2012</v>
      </c>
      <c r="D160" s="6" t="s">
        <v>205</v>
      </c>
      <c r="E160" s="6" t="s">
        <v>1931</v>
      </c>
      <c r="F160" s="6" t="s">
        <v>45</v>
      </c>
      <c r="G160" s="17" t="s">
        <v>2013</v>
      </c>
      <c r="H160" s="17" t="s">
        <v>1916</v>
      </c>
      <c r="I160" s="17" t="s">
        <v>2014</v>
      </c>
    </row>
    <row r="161" spans="1:9" ht="30" customHeight="1" x14ac:dyDescent="0.25">
      <c r="A161" s="6">
        <v>429</v>
      </c>
      <c r="B161" s="14">
        <v>46080</v>
      </c>
      <c r="C161" s="6" t="s">
        <v>2015</v>
      </c>
      <c r="D161" s="6" t="s">
        <v>205</v>
      </c>
      <c r="E161" s="6" t="s">
        <v>1931</v>
      </c>
      <c r="F161" s="6" t="s">
        <v>45</v>
      </c>
      <c r="G161" s="17" t="s">
        <v>2016</v>
      </c>
      <c r="H161" s="17" t="s">
        <v>1916</v>
      </c>
      <c r="I161" s="17" t="s">
        <v>2017</v>
      </c>
    </row>
    <row r="162" spans="1:9" ht="30" customHeight="1" x14ac:dyDescent="0.25">
      <c r="A162" s="6">
        <v>430</v>
      </c>
      <c r="B162" s="14">
        <v>46080</v>
      </c>
      <c r="C162" s="6" t="s">
        <v>682</v>
      </c>
      <c r="D162" s="6" t="s">
        <v>205</v>
      </c>
      <c r="E162" s="6" t="s">
        <v>1918</v>
      </c>
      <c r="F162" s="6" t="s">
        <v>40</v>
      </c>
      <c r="G162" s="17" t="s">
        <v>3</v>
      </c>
      <c r="H162" s="17" t="s">
        <v>1916</v>
      </c>
      <c r="I162" s="17" t="s">
        <v>683</v>
      </c>
    </row>
    <row r="163" spans="1:9" ht="30" customHeight="1" x14ac:dyDescent="0.25">
      <c r="A163" s="6">
        <v>431</v>
      </c>
      <c r="B163" s="14">
        <v>46080</v>
      </c>
      <c r="C163" s="6" t="s">
        <v>2018</v>
      </c>
      <c r="D163" s="6" t="s">
        <v>205</v>
      </c>
      <c r="E163" s="6" t="s">
        <v>1949</v>
      </c>
      <c r="F163" s="6" t="s">
        <v>45</v>
      </c>
      <c r="G163" s="17" t="s">
        <v>3</v>
      </c>
      <c r="H163" s="17" t="s">
        <v>1916</v>
      </c>
      <c r="I163" s="17" t="s">
        <v>2019</v>
      </c>
    </row>
    <row r="164" spans="1:9" ht="30" customHeight="1" x14ac:dyDescent="0.25">
      <c r="A164" s="6">
        <v>432</v>
      </c>
      <c r="B164" s="14">
        <v>46080</v>
      </c>
      <c r="C164" s="6" t="s">
        <v>705</v>
      </c>
      <c r="D164" s="6" t="s">
        <v>228</v>
      </c>
      <c r="E164" s="6" t="s">
        <v>1918</v>
      </c>
      <c r="F164" s="6" t="s">
        <v>47</v>
      </c>
      <c r="G164" s="17" t="s">
        <v>706</v>
      </c>
      <c r="H164" s="17" t="s">
        <v>1916</v>
      </c>
      <c r="I164" s="17" t="s">
        <v>707</v>
      </c>
    </row>
    <row r="165" spans="1:9" ht="30" customHeight="1" x14ac:dyDescent="0.25">
      <c r="A165" s="6">
        <v>433</v>
      </c>
      <c r="B165" s="14">
        <v>46080</v>
      </c>
      <c r="C165" s="6" t="s">
        <v>696</v>
      </c>
      <c r="D165" s="6" t="s">
        <v>205</v>
      </c>
      <c r="E165" s="6" t="s">
        <v>1931</v>
      </c>
      <c r="F165" s="6" t="s">
        <v>45</v>
      </c>
      <c r="G165" s="17" t="s">
        <v>2020</v>
      </c>
      <c r="H165" s="17" t="s">
        <v>1916</v>
      </c>
      <c r="I165" s="17" t="s">
        <v>2021</v>
      </c>
    </row>
    <row r="166" spans="1:9" ht="30" customHeight="1" x14ac:dyDescent="0.25">
      <c r="A166" s="6">
        <v>434</v>
      </c>
      <c r="B166" s="14">
        <v>46080</v>
      </c>
      <c r="C166" s="6" t="s">
        <v>696</v>
      </c>
      <c r="D166" s="6" t="s">
        <v>205</v>
      </c>
      <c r="E166" s="6" t="s">
        <v>1918</v>
      </c>
      <c r="F166" s="6" t="s">
        <v>45</v>
      </c>
      <c r="G166" s="17" t="s">
        <v>3</v>
      </c>
      <c r="H166" s="17" t="s">
        <v>1916</v>
      </c>
      <c r="I166" s="17" t="s">
        <v>698</v>
      </c>
    </row>
    <row r="167" spans="1:9" ht="30" customHeight="1" x14ac:dyDescent="0.25">
      <c r="A167" s="6">
        <v>435</v>
      </c>
      <c r="B167" s="14">
        <v>46080</v>
      </c>
      <c r="C167" s="6" t="s">
        <v>2022</v>
      </c>
      <c r="D167" s="6" t="s">
        <v>205</v>
      </c>
      <c r="E167" s="6" t="s">
        <v>1953</v>
      </c>
      <c r="F167" s="6" t="s">
        <v>45</v>
      </c>
      <c r="G167" s="17" t="s">
        <v>697</v>
      </c>
      <c r="H167" s="17" t="s">
        <v>1916</v>
      </c>
      <c r="I167" s="17" t="s">
        <v>2023</v>
      </c>
    </row>
    <row r="168" spans="1:9" ht="30" customHeight="1" x14ac:dyDescent="0.25">
      <c r="A168" s="6">
        <v>436</v>
      </c>
      <c r="B168" s="14">
        <v>46080</v>
      </c>
      <c r="C168" s="6" t="s">
        <v>2024</v>
      </c>
      <c r="D168" s="6" t="s">
        <v>205</v>
      </c>
      <c r="E168" s="6" t="s">
        <v>1949</v>
      </c>
      <c r="F168" s="6" t="s">
        <v>40</v>
      </c>
      <c r="G168" s="17" t="s">
        <v>3</v>
      </c>
      <c r="H168" s="17" t="s">
        <v>1916</v>
      </c>
      <c r="I168" s="17" t="s">
        <v>40</v>
      </c>
    </row>
    <row r="169" spans="1:9" ht="30" customHeight="1" x14ac:dyDescent="0.25">
      <c r="A169" s="6">
        <v>437</v>
      </c>
      <c r="B169" s="14">
        <v>46080</v>
      </c>
      <c r="C169" s="6" t="s">
        <v>2025</v>
      </c>
      <c r="D169" s="6" t="s">
        <v>205</v>
      </c>
      <c r="E169" s="6" t="s">
        <v>1949</v>
      </c>
      <c r="F169" s="6" t="s">
        <v>45</v>
      </c>
      <c r="G169" s="17" t="s">
        <v>3</v>
      </c>
      <c r="H169" s="17" t="s">
        <v>1916</v>
      </c>
      <c r="I169" s="17" t="s">
        <v>2026</v>
      </c>
    </row>
    <row r="170" spans="1:9" ht="30" customHeight="1" x14ac:dyDescent="0.25">
      <c r="A170" s="6">
        <v>438</v>
      </c>
      <c r="B170" s="14">
        <v>46080</v>
      </c>
      <c r="C170" s="6" t="s">
        <v>692</v>
      </c>
      <c r="D170" s="6" t="s">
        <v>211</v>
      </c>
      <c r="E170" s="6" t="s">
        <v>1918</v>
      </c>
      <c r="F170" s="6" t="s">
        <v>40</v>
      </c>
      <c r="G170" s="17" t="s">
        <v>693</v>
      </c>
      <c r="H170" s="17" t="s">
        <v>1916</v>
      </c>
      <c r="I170" s="17" t="s">
        <v>694</v>
      </c>
    </row>
    <row r="171" spans="1:9" ht="30" customHeight="1" x14ac:dyDescent="0.25">
      <c r="A171" s="6">
        <v>439</v>
      </c>
      <c r="B171" s="14">
        <v>46080</v>
      </c>
      <c r="C171" s="6" t="s">
        <v>2027</v>
      </c>
      <c r="D171" s="6" t="s">
        <v>265</v>
      </c>
      <c r="E171" s="6" t="s">
        <v>1949</v>
      </c>
      <c r="F171" s="6" t="s">
        <v>2028</v>
      </c>
      <c r="G171" s="17" t="s">
        <v>3</v>
      </c>
      <c r="H171" s="17" t="s">
        <v>1916</v>
      </c>
      <c r="I171" s="17" t="s">
        <v>2028</v>
      </c>
    </row>
    <row r="172" spans="1:9" ht="30" customHeight="1" x14ac:dyDescent="0.25">
      <c r="A172" s="6">
        <v>440</v>
      </c>
      <c r="B172" s="14">
        <v>46080</v>
      </c>
      <c r="C172" s="6" t="s">
        <v>2029</v>
      </c>
      <c r="D172" s="6" t="s">
        <v>211</v>
      </c>
      <c r="E172" s="6" t="s">
        <v>1949</v>
      </c>
      <c r="F172" s="6" t="s">
        <v>45</v>
      </c>
      <c r="G172" s="17" t="s">
        <v>3</v>
      </c>
      <c r="H172" s="17" t="s">
        <v>1916</v>
      </c>
      <c r="I172" s="17" t="s">
        <v>2030</v>
      </c>
    </row>
    <row r="173" spans="1:9" ht="30" customHeight="1" x14ac:dyDescent="0.25">
      <c r="A173" s="6">
        <v>441</v>
      </c>
      <c r="B173" s="14">
        <v>46080</v>
      </c>
      <c r="C173" s="6" t="s">
        <v>688</v>
      </c>
      <c r="D173" s="6" t="s">
        <v>313</v>
      </c>
      <c r="E173" s="6" t="s">
        <v>1918</v>
      </c>
      <c r="F173" s="6" t="s">
        <v>38</v>
      </c>
      <c r="G173" s="17" t="s">
        <v>689</v>
      </c>
      <c r="H173" s="17" t="s">
        <v>1916</v>
      </c>
      <c r="I173" s="17" t="s">
        <v>690</v>
      </c>
    </row>
    <row r="174" spans="1:9" ht="30" customHeight="1" x14ac:dyDescent="0.25">
      <c r="A174" s="6">
        <v>442</v>
      </c>
      <c r="B174" s="14">
        <v>46081</v>
      </c>
      <c r="C174" s="6" t="s">
        <v>710</v>
      </c>
      <c r="D174" s="6" t="s">
        <v>205</v>
      </c>
      <c r="E174" s="6" t="s">
        <v>1931</v>
      </c>
      <c r="F174" s="6" t="s">
        <v>45</v>
      </c>
      <c r="G174" s="17" t="s">
        <v>2031</v>
      </c>
      <c r="H174" s="17" t="s">
        <v>1916</v>
      </c>
      <c r="I174" s="17" t="s">
        <v>2032</v>
      </c>
    </row>
    <row r="175" spans="1:9" ht="30" customHeight="1" x14ac:dyDescent="0.25">
      <c r="A175" s="6">
        <v>443</v>
      </c>
      <c r="B175" s="14">
        <v>46081</v>
      </c>
      <c r="C175" s="6" t="s">
        <v>710</v>
      </c>
      <c r="D175" s="6" t="s">
        <v>205</v>
      </c>
      <c r="E175" s="6" t="s">
        <v>1918</v>
      </c>
      <c r="F175" s="6" t="s">
        <v>38</v>
      </c>
      <c r="G175" s="17" t="s">
        <v>3</v>
      </c>
      <c r="H175" s="17" t="s">
        <v>1916</v>
      </c>
      <c r="I175" s="17" t="s">
        <v>712</v>
      </c>
    </row>
    <row r="176" spans="1:9" ht="30" customHeight="1" x14ac:dyDescent="0.25">
      <c r="A176" s="6">
        <v>444</v>
      </c>
      <c r="B176" s="14">
        <v>46081</v>
      </c>
      <c r="C176" s="6" t="s">
        <v>2033</v>
      </c>
      <c r="D176" s="6" t="s">
        <v>313</v>
      </c>
      <c r="E176" s="6" t="s">
        <v>1949</v>
      </c>
      <c r="F176" s="6" t="s">
        <v>45</v>
      </c>
      <c r="G176" s="17" t="s">
        <v>3</v>
      </c>
      <c r="H176" s="17" t="s">
        <v>1916</v>
      </c>
      <c r="I176" s="17" t="s">
        <v>3</v>
      </c>
    </row>
    <row r="177" spans="1:9" ht="30" customHeight="1" x14ac:dyDescent="0.25">
      <c r="A177" s="6">
        <v>445</v>
      </c>
      <c r="B177" s="14">
        <v>46081</v>
      </c>
      <c r="C177" s="6" t="s">
        <v>714</v>
      </c>
      <c r="D177" s="6" t="s">
        <v>313</v>
      </c>
      <c r="E177" s="6" t="s">
        <v>1918</v>
      </c>
      <c r="F177" s="6" t="s">
        <v>38</v>
      </c>
      <c r="G177" s="17" t="s">
        <v>2034</v>
      </c>
      <c r="H177" s="17" t="s">
        <v>1916</v>
      </c>
      <c r="I177" s="17" t="s">
        <v>716</v>
      </c>
    </row>
    <row r="178" spans="1:9" ht="30" customHeight="1" x14ac:dyDescent="0.25">
      <c r="A178" s="6">
        <v>446</v>
      </c>
      <c r="B178" s="14">
        <v>46081</v>
      </c>
      <c r="C178" s="6" t="s">
        <v>714</v>
      </c>
      <c r="D178" s="6" t="s">
        <v>313</v>
      </c>
      <c r="E178" s="6" t="s">
        <v>1953</v>
      </c>
      <c r="F178" s="6" t="s">
        <v>45</v>
      </c>
      <c r="G178" s="17" t="s">
        <v>2035</v>
      </c>
      <c r="H178" s="17" t="s">
        <v>1916</v>
      </c>
      <c r="I178" s="17" t="s">
        <v>2036</v>
      </c>
    </row>
    <row r="179" spans="1:9" ht="30" customHeight="1" x14ac:dyDescent="0.25">
      <c r="A179" s="6">
        <v>447</v>
      </c>
      <c r="B179" s="14">
        <v>46082</v>
      </c>
      <c r="C179" s="6" t="s">
        <v>718</v>
      </c>
      <c r="D179" s="6" t="s">
        <v>313</v>
      </c>
      <c r="E179" s="6" t="s">
        <v>1918</v>
      </c>
      <c r="F179" s="6" t="s">
        <v>38</v>
      </c>
      <c r="G179" s="17" t="s">
        <v>719</v>
      </c>
      <c r="H179" s="17" t="s">
        <v>1916</v>
      </c>
      <c r="I179" s="17" t="s">
        <v>720</v>
      </c>
    </row>
    <row r="180" spans="1:9" ht="30" customHeight="1" x14ac:dyDescent="0.25">
      <c r="A180" s="6">
        <v>448</v>
      </c>
      <c r="B180" s="14">
        <v>46083</v>
      </c>
      <c r="C180" s="6" t="s">
        <v>701</v>
      </c>
      <c r="D180" s="6" t="s">
        <v>673</v>
      </c>
      <c r="E180" s="6" t="s">
        <v>1918</v>
      </c>
      <c r="F180" s="6" t="s">
        <v>45</v>
      </c>
      <c r="G180" s="17" t="s">
        <v>702</v>
      </c>
      <c r="H180" s="17" t="s">
        <v>1916</v>
      </c>
      <c r="I180" s="17" t="s">
        <v>703</v>
      </c>
    </row>
    <row r="181" spans="1:9" ht="30" customHeight="1" x14ac:dyDescent="0.25">
      <c r="A181" s="6">
        <v>449</v>
      </c>
      <c r="B181" s="14">
        <v>46083</v>
      </c>
      <c r="C181" s="6" t="s">
        <v>730</v>
      </c>
      <c r="D181" s="6" t="s">
        <v>211</v>
      </c>
      <c r="E181" s="6" t="s">
        <v>1918</v>
      </c>
      <c r="F181" s="6" t="s">
        <v>40</v>
      </c>
      <c r="G181" s="17" t="s">
        <v>731</v>
      </c>
      <c r="H181" s="17" t="s">
        <v>1916</v>
      </c>
      <c r="I181" s="17" t="s">
        <v>732</v>
      </c>
    </row>
    <row r="182" spans="1:9" ht="30" customHeight="1" x14ac:dyDescent="0.25">
      <c r="A182" s="6">
        <v>450</v>
      </c>
      <c r="B182" s="14">
        <v>46083</v>
      </c>
      <c r="C182" s="6" t="s">
        <v>734</v>
      </c>
      <c r="D182" s="6" t="s">
        <v>228</v>
      </c>
      <c r="E182" s="6" t="s">
        <v>1918</v>
      </c>
      <c r="F182" s="6" t="s">
        <v>47</v>
      </c>
      <c r="G182" s="17" t="s">
        <v>735</v>
      </c>
      <c r="H182" s="17" t="s">
        <v>1916</v>
      </c>
      <c r="I182" s="17" t="s">
        <v>736</v>
      </c>
    </row>
    <row r="183" spans="1:9" ht="30" customHeight="1" x14ac:dyDescent="0.25">
      <c r="A183" s="6">
        <v>451</v>
      </c>
      <c r="B183" s="14">
        <v>46083</v>
      </c>
      <c r="C183" s="6" t="s">
        <v>2037</v>
      </c>
      <c r="D183" s="6" t="s">
        <v>673</v>
      </c>
      <c r="E183" s="6" t="s">
        <v>1931</v>
      </c>
      <c r="F183" s="6" t="s">
        <v>45</v>
      </c>
      <c r="G183" s="17" t="s">
        <v>2038</v>
      </c>
      <c r="H183" s="17" t="s">
        <v>1916</v>
      </c>
      <c r="I183" s="17" t="s">
        <v>2039</v>
      </c>
    </row>
    <row r="184" spans="1:9" ht="30" customHeight="1" x14ac:dyDescent="0.25">
      <c r="A184" s="6">
        <v>452</v>
      </c>
      <c r="B184" s="14">
        <v>46083</v>
      </c>
      <c r="C184" s="6" t="s">
        <v>2037</v>
      </c>
      <c r="D184" s="6" t="s">
        <v>673</v>
      </c>
      <c r="E184" s="6" t="s">
        <v>1949</v>
      </c>
      <c r="F184" s="6" t="s">
        <v>45</v>
      </c>
      <c r="G184" s="17" t="s">
        <v>3</v>
      </c>
      <c r="H184" s="17" t="s">
        <v>1916</v>
      </c>
      <c r="I184" s="17" t="s">
        <v>2040</v>
      </c>
    </row>
    <row r="185" spans="1:9" ht="30" customHeight="1" x14ac:dyDescent="0.25">
      <c r="A185" s="6">
        <v>453</v>
      </c>
      <c r="B185" s="14">
        <v>46083</v>
      </c>
      <c r="C185" s="6" t="s">
        <v>738</v>
      </c>
      <c r="D185" s="6" t="s">
        <v>673</v>
      </c>
      <c r="E185" s="6" t="s">
        <v>1918</v>
      </c>
      <c r="F185" s="6" t="s">
        <v>166</v>
      </c>
      <c r="G185" s="17" t="s">
        <v>739</v>
      </c>
      <c r="H185" s="17" t="s">
        <v>1916</v>
      </c>
      <c r="I185" s="17" t="s">
        <v>740</v>
      </c>
    </row>
    <row r="186" spans="1:9" ht="30" customHeight="1" x14ac:dyDescent="0.25">
      <c r="A186" s="6">
        <v>454</v>
      </c>
      <c r="B186" s="14">
        <v>46083</v>
      </c>
      <c r="C186" s="6" t="s">
        <v>2041</v>
      </c>
      <c r="D186" s="6" t="s">
        <v>313</v>
      </c>
      <c r="E186" s="6" t="s">
        <v>1924</v>
      </c>
      <c r="F186" s="6" t="s">
        <v>1925</v>
      </c>
      <c r="G186" s="17" t="s">
        <v>3</v>
      </c>
      <c r="H186" s="17" t="s">
        <v>1916</v>
      </c>
      <c r="I186" s="17" t="s">
        <v>1926</v>
      </c>
    </row>
    <row r="187" spans="1:9" ht="30" customHeight="1" x14ac:dyDescent="0.25">
      <c r="A187" s="6">
        <v>455</v>
      </c>
      <c r="B187" s="14">
        <v>46083</v>
      </c>
      <c r="C187" s="6" t="s">
        <v>2042</v>
      </c>
      <c r="D187" s="6" t="s">
        <v>313</v>
      </c>
      <c r="E187" s="6" t="s">
        <v>1924</v>
      </c>
      <c r="F187" s="6" t="s">
        <v>1925</v>
      </c>
      <c r="G187" s="17" t="s">
        <v>3</v>
      </c>
      <c r="H187" s="17" t="s">
        <v>1916</v>
      </c>
      <c r="I187" s="17" t="s">
        <v>1926</v>
      </c>
    </row>
    <row r="188" spans="1:9" ht="30" customHeight="1" x14ac:dyDescent="0.25">
      <c r="A188" s="6">
        <v>456</v>
      </c>
      <c r="B188" s="14">
        <v>46083</v>
      </c>
      <c r="C188" s="6" t="s">
        <v>2042</v>
      </c>
      <c r="D188" s="6" t="s">
        <v>313</v>
      </c>
      <c r="E188" s="6" t="s">
        <v>1924</v>
      </c>
      <c r="F188" s="6" t="s">
        <v>1925</v>
      </c>
      <c r="G188" s="17" t="s">
        <v>3</v>
      </c>
      <c r="H188" s="17" t="s">
        <v>1916</v>
      </c>
      <c r="I188" s="17" t="s">
        <v>1926</v>
      </c>
    </row>
    <row r="189" spans="1:9" ht="30" customHeight="1" x14ac:dyDescent="0.25">
      <c r="A189" s="6">
        <v>457</v>
      </c>
      <c r="B189" s="14">
        <v>46083</v>
      </c>
      <c r="C189" s="6" t="s">
        <v>2042</v>
      </c>
      <c r="D189" s="6" t="s">
        <v>313</v>
      </c>
      <c r="E189" s="6" t="s">
        <v>1924</v>
      </c>
      <c r="F189" s="6" t="s">
        <v>1925</v>
      </c>
      <c r="G189" s="17" t="s">
        <v>3</v>
      </c>
      <c r="H189" s="17" t="s">
        <v>1916</v>
      </c>
      <c r="I189" s="17" t="s">
        <v>1926</v>
      </c>
    </row>
    <row r="190" spans="1:9" ht="30" customHeight="1" x14ac:dyDescent="0.25">
      <c r="A190" s="6">
        <v>458</v>
      </c>
      <c r="B190" s="14">
        <v>46083</v>
      </c>
      <c r="C190" s="6" t="s">
        <v>722</v>
      </c>
      <c r="D190" s="6" t="s">
        <v>313</v>
      </c>
      <c r="E190" s="6" t="s">
        <v>1949</v>
      </c>
      <c r="F190" s="6" t="s">
        <v>45</v>
      </c>
      <c r="G190" s="17" t="s">
        <v>3</v>
      </c>
      <c r="H190" s="17" t="s">
        <v>1916</v>
      </c>
      <c r="I190" s="17" t="s">
        <v>3</v>
      </c>
    </row>
    <row r="191" spans="1:9" ht="30" customHeight="1" x14ac:dyDescent="0.25">
      <c r="A191" s="6">
        <v>459</v>
      </c>
      <c r="B191" s="14">
        <v>46083</v>
      </c>
      <c r="C191" s="6" t="s">
        <v>722</v>
      </c>
      <c r="D191" s="6" t="s">
        <v>313</v>
      </c>
      <c r="E191" s="6" t="s">
        <v>1918</v>
      </c>
      <c r="F191" s="6" t="s">
        <v>38</v>
      </c>
      <c r="G191" s="17" t="s">
        <v>2043</v>
      </c>
      <c r="H191" s="17" t="s">
        <v>1916</v>
      </c>
      <c r="I191" s="17" t="s">
        <v>724</v>
      </c>
    </row>
    <row r="192" spans="1:9" ht="30" customHeight="1" x14ac:dyDescent="0.25">
      <c r="A192" s="6">
        <v>460</v>
      </c>
      <c r="B192" s="14">
        <v>46083</v>
      </c>
      <c r="C192" s="6" t="s">
        <v>722</v>
      </c>
      <c r="D192" s="6" t="s">
        <v>313</v>
      </c>
      <c r="E192" s="6" t="s">
        <v>1953</v>
      </c>
      <c r="F192" s="6" t="s">
        <v>45</v>
      </c>
      <c r="G192" s="17" t="s">
        <v>2044</v>
      </c>
      <c r="H192" s="17" t="s">
        <v>1916</v>
      </c>
      <c r="I192" s="17" t="s">
        <v>2045</v>
      </c>
    </row>
    <row r="193" spans="1:9" ht="30" customHeight="1" x14ac:dyDescent="0.25">
      <c r="A193" s="6">
        <v>461</v>
      </c>
      <c r="B193" s="14">
        <v>46084</v>
      </c>
      <c r="C193" s="6" t="s">
        <v>726</v>
      </c>
      <c r="D193" s="6" t="s">
        <v>205</v>
      </c>
      <c r="E193" s="6" t="s">
        <v>1918</v>
      </c>
      <c r="F193" s="6" t="s">
        <v>38</v>
      </c>
      <c r="G193" s="17" t="s">
        <v>3</v>
      </c>
      <c r="H193" s="17" t="s">
        <v>1916</v>
      </c>
      <c r="I193" s="17" t="s">
        <v>728</v>
      </c>
    </row>
    <row r="194" spans="1:9" ht="30" customHeight="1" x14ac:dyDescent="0.25">
      <c r="A194" s="6">
        <v>462</v>
      </c>
      <c r="B194" s="14">
        <v>46084</v>
      </c>
      <c r="C194" s="6" t="s">
        <v>754</v>
      </c>
      <c r="D194" s="6" t="s">
        <v>228</v>
      </c>
      <c r="E194" s="6" t="s">
        <v>1918</v>
      </c>
      <c r="F194" s="6" t="s">
        <v>47</v>
      </c>
      <c r="G194" s="17" t="s">
        <v>755</v>
      </c>
      <c r="H194" s="17" t="s">
        <v>1916</v>
      </c>
      <c r="I194" s="17" t="s">
        <v>756</v>
      </c>
    </row>
    <row r="195" spans="1:9" ht="30" customHeight="1" x14ac:dyDescent="0.25">
      <c r="A195" s="6">
        <v>463</v>
      </c>
      <c r="B195" s="14">
        <v>46084</v>
      </c>
      <c r="C195" s="6" t="s">
        <v>750</v>
      </c>
      <c r="D195" s="6" t="s">
        <v>673</v>
      </c>
      <c r="E195" s="6" t="s">
        <v>1918</v>
      </c>
      <c r="F195" s="6" t="s">
        <v>45</v>
      </c>
      <c r="G195" s="17" t="s">
        <v>751</v>
      </c>
      <c r="H195" s="17" t="s">
        <v>1916</v>
      </c>
      <c r="I195" s="17" t="s">
        <v>752</v>
      </c>
    </row>
    <row r="196" spans="1:9" ht="30" customHeight="1" x14ac:dyDescent="0.25">
      <c r="A196" s="6">
        <v>464</v>
      </c>
      <c r="B196" s="14">
        <v>46084</v>
      </c>
      <c r="C196" s="6" t="s">
        <v>742</v>
      </c>
      <c r="D196" s="6" t="s">
        <v>313</v>
      </c>
      <c r="E196" s="6" t="s">
        <v>1918</v>
      </c>
      <c r="F196" s="6" t="s">
        <v>38</v>
      </c>
      <c r="G196" s="17" t="s">
        <v>743</v>
      </c>
      <c r="H196" s="17" t="s">
        <v>1916</v>
      </c>
      <c r="I196" s="17" t="s">
        <v>744</v>
      </c>
    </row>
    <row r="197" spans="1:9" ht="30" customHeight="1" x14ac:dyDescent="0.25">
      <c r="A197" s="6">
        <v>465</v>
      </c>
      <c r="B197" s="14">
        <v>46085</v>
      </c>
      <c r="C197" s="6" t="s">
        <v>2046</v>
      </c>
      <c r="D197" s="6" t="s">
        <v>812</v>
      </c>
      <c r="E197" s="6" t="s">
        <v>1931</v>
      </c>
      <c r="F197" s="6" t="s">
        <v>53</v>
      </c>
      <c r="G197" s="17" t="s">
        <v>2047</v>
      </c>
      <c r="H197" s="17" t="s">
        <v>1916</v>
      </c>
      <c r="I197" s="17" t="s">
        <v>2048</v>
      </c>
    </row>
    <row r="198" spans="1:9" ht="30" customHeight="1" x14ac:dyDescent="0.25">
      <c r="A198" s="6">
        <v>466</v>
      </c>
      <c r="B198" s="14">
        <v>46085</v>
      </c>
      <c r="C198" s="6" t="s">
        <v>2049</v>
      </c>
      <c r="D198" s="6" t="s">
        <v>812</v>
      </c>
      <c r="E198" s="6" t="s">
        <v>1931</v>
      </c>
      <c r="F198" s="6" t="s">
        <v>53</v>
      </c>
      <c r="G198" s="17" t="s">
        <v>2050</v>
      </c>
      <c r="H198" s="17" t="s">
        <v>1916</v>
      </c>
      <c r="I198" s="17" t="s">
        <v>2051</v>
      </c>
    </row>
    <row r="199" spans="1:9" ht="30" customHeight="1" x14ac:dyDescent="0.25">
      <c r="A199" s="6">
        <v>467</v>
      </c>
      <c r="B199" s="14">
        <v>46085</v>
      </c>
      <c r="C199" s="6" t="s">
        <v>746</v>
      </c>
      <c r="D199" s="6" t="s">
        <v>211</v>
      </c>
      <c r="E199" s="6" t="s">
        <v>1918</v>
      </c>
      <c r="F199" s="6" t="s">
        <v>40</v>
      </c>
      <c r="G199" s="17" t="s">
        <v>747</v>
      </c>
      <c r="H199" s="17" t="s">
        <v>1916</v>
      </c>
      <c r="I199" s="17" t="s">
        <v>748</v>
      </c>
    </row>
    <row r="200" spans="1:9" ht="30" customHeight="1" x14ac:dyDescent="0.25">
      <c r="A200" s="6">
        <v>468</v>
      </c>
      <c r="B200" s="14">
        <v>46085</v>
      </c>
      <c r="C200" s="6" t="s">
        <v>775</v>
      </c>
      <c r="D200" s="6" t="s">
        <v>211</v>
      </c>
      <c r="E200" s="6" t="s">
        <v>1918</v>
      </c>
      <c r="F200" s="6" t="s">
        <v>40</v>
      </c>
      <c r="G200" s="17" t="s">
        <v>776</v>
      </c>
      <c r="H200" s="17" t="s">
        <v>1916</v>
      </c>
      <c r="I200" s="17" t="s">
        <v>777</v>
      </c>
    </row>
    <row r="201" spans="1:9" ht="30" customHeight="1" x14ac:dyDescent="0.25">
      <c r="A201" s="6">
        <v>469</v>
      </c>
      <c r="B201" s="14">
        <v>46085</v>
      </c>
      <c r="C201" s="6" t="s">
        <v>2052</v>
      </c>
      <c r="D201" s="6" t="s">
        <v>313</v>
      </c>
      <c r="E201" s="6" t="s">
        <v>1949</v>
      </c>
      <c r="F201" s="6" t="s">
        <v>45</v>
      </c>
      <c r="G201" s="17" t="s">
        <v>3</v>
      </c>
      <c r="H201" s="17" t="s">
        <v>1916</v>
      </c>
      <c r="I201" s="17" t="s">
        <v>3</v>
      </c>
    </row>
    <row r="202" spans="1:9" ht="30" customHeight="1" x14ac:dyDescent="0.25">
      <c r="A202" s="6">
        <v>470</v>
      </c>
      <c r="B202" s="14">
        <v>46085</v>
      </c>
      <c r="C202" s="6" t="s">
        <v>759</v>
      </c>
      <c r="D202" s="6" t="s">
        <v>313</v>
      </c>
      <c r="E202" s="6" t="s">
        <v>1918</v>
      </c>
      <c r="F202" s="6" t="s">
        <v>38</v>
      </c>
      <c r="G202" s="17" t="s">
        <v>2053</v>
      </c>
      <c r="H202" s="17" t="s">
        <v>1916</v>
      </c>
      <c r="I202" s="17" t="s">
        <v>761</v>
      </c>
    </row>
    <row r="203" spans="1:9" ht="30" customHeight="1" x14ac:dyDescent="0.25">
      <c r="A203" s="6">
        <v>471</v>
      </c>
      <c r="B203" s="14">
        <v>46085</v>
      </c>
      <c r="C203" s="6" t="s">
        <v>759</v>
      </c>
      <c r="D203" s="6" t="s">
        <v>313</v>
      </c>
      <c r="E203" s="6" t="s">
        <v>1953</v>
      </c>
      <c r="F203" s="6" t="s">
        <v>45</v>
      </c>
      <c r="G203" s="17" t="s">
        <v>2054</v>
      </c>
      <c r="H203" s="17" t="s">
        <v>1916</v>
      </c>
      <c r="I203" s="17" t="s">
        <v>2055</v>
      </c>
    </row>
    <row r="204" spans="1:9" ht="30" customHeight="1" x14ac:dyDescent="0.25">
      <c r="A204" s="6">
        <v>472</v>
      </c>
      <c r="B204" s="14">
        <v>46085</v>
      </c>
      <c r="C204" s="6" t="s">
        <v>779</v>
      </c>
      <c r="D204" s="6" t="s">
        <v>673</v>
      </c>
      <c r="E204" s="6" t="s">
        <v>1918</v>
      </c>
      <c r="F204" s="6" t="s">
        <v>45</v>
      </c>
      <c r="G204" s="17" t="s">
        <v>780</v>
      </c>
      <c r="H204" s="17" t="s">
        <v>1916</v>
      </c>
      <c r="I204" s="17" t="s">
        <v>781</v>
      </c>
    </row>
    <row r="205" spans="1:9" ht="30" customHeight="1" x14ac:dyDescent="0.25">
      <c r="A205" s="6">
        <v>473</v>
      </c>
      <c r="B205" s="14">
        <v>46085</v>
      </c>
      <c r="C205" s="6" t="s">
        <v>2056</v>
      </c>
      <c r="D205" s="6" t="s">
        <v>673</v>
      </c>
      <c r="E205" s="6" t="s">
        <v>1949</v>
      </c>
      <c r="F205" s="6" t="s">
        <v>45</v>
      </c>
      <c r="G205" s="17" t="s">
        <v>3</v>
      </c>
      <c r="H205" s="17" t="s">
        <v>1916</v>
      </c>
      <c r="I205" s="17" t="s">
        <v>2057</v>
      </c>
    </row>
    <row r="206" spans="1:9" ht="30" customHeight="1" x14ac:dyDescent="0.25">
      <c r="A206" s="6">
        <v>474</v>
      </c>
      <c r="B206" s="14">
        <v>46085</v>
      </c>
      <c r="C206" s="6" t="s">
        <v>355</v>
      </c>
      <c r="D206" s="6" t="s">
        <v>205</v>
      </c>
      <c r="E206" s="6" t="s">
        <v>1918</v>
      </c>
      <c r="F206" s="6" t="s">
        <v>72</v>
      </c>
      <c r="G206" s="17" t="s">
        <v>3</v>
      </c>
      <c r="H206" s="17" t="s">
        <v>1916</v>
      </c>
      <c r="I206" s="17" t="s">
        <v>356</v>
      </c>
    </row>
    <row r="207" spans="1:9" ht="30" customHeight="1" x14ac:dyDescent="0.25">
      <c r="A207" s="6">
        <v>475</v>
      </c>
      <c r="B207" s="14">
        <v>46085</v>
      </c>
      <c r="C207" s="6" t="s">
        <v>772</v>
      </c>
      <c r="D207" s="6" t="s">
        <v>205</v>
      </c>
      <c r="E207" s="6" t="s">
        <v>1918</v>
      </c>
      <c r="F207" s="6" t="s">
        <v>73</v>
      </c>
      <c r="G207" s="17" t="s">
        <v>3</v>
      </c>
      <c r="H207" s="17" t="s">
        <v>1916</v>
      </c>
      <c r="I207" s="17" t="s">
        <v>773</v>
      </c>
    </row>
    <row r="208" spans="1:9" ht="30" customHeight="1" x14ac:dyDescent="0.25">
      <c r="A208" s="6">
        <v>476</v>
      </c>
      <c r="B208" s="14">
        <v>46085</v>
      </c>
      <c r="C208" s="6" t="s">
        <v>2058</v>
      </c>
      <c r="D208" s="6" t="s">
        <v>205</v>
      </c>
      <c r="E208" s="6" t="s">
        <v>1949</v>
      </c>
      <c r="F208" s="6" t="s">
        <v>45</v>
      </c>
      <c r="G208" s="17" t="s">
        <v>3</v>
      </c>
      <c r="H208" s="17" t="s">
        <v>1916</v>
      </c>
      <c r="I208" s="17" t="s">
        <v>2059</v>
      </c>
    </row>
    <row r="209" spans="1:9" ht="30" customHeight="1" x14ac:dyDescent="0.25">
      <c r="A209" s="6">
        <v>477</v>
      </c>
      <c r="B209" s="14">
        <v>46086</v>
      </c>
      <c r="C209" s="6" t="s">
        <v>2060</v>
      </c>
      <c r="D209" s="6" t="s">
        <v>220</v>
      </c>
      <c r="E209" s="6" t="s">
        <v>1949</v>
      </c>
      <c r="F209" s="6" t="s">
        <v>45</v>
      </c>
      <c r="G209" s="17" t="s">
        <v>3</v>
      </c>
      <c r="H209" s="17" t="s">
        <v>1916</v>
      </c>
      <c r="I209" s="17" t="s">
        <v>3</v>
      </c>
    </row>
    <row r="210" spans="1:9" ht="30" customHeight="1" x14ac:dyDescent="0.25">
      <c r="A210" s="6">
        <v>478</v>
      </c>
      <c r="B210" s="14">
        <v>46086</v>
      </c>
      <c r="C210" s="6" t="s">
        <v>2060</v>
      </c>
      <c r="D210" s="6" t="s">
        <v>220</v>
      </c>
      <c r="E210" s="6" t="s">
        <v>1931</v>
      </c>
      <c r="F210" s="6" t="s">
        <v>45</v>
      </c>
      <c r="G210" s="17" t="s">
        <v>2061</v>
      </c>
      <c r="H210" s="17" t="s">
        <v>1916</v>
      </c>
      <c r="I210" s="17" t="s">
        <v>2062</v>
      </c>
    </row>
    <row r="211" spans="1:9" ht="30" customHeight="1" x14ac:dyDescent="0.25">
      <c r="A211" s="6">
        <v>479</v>
      </c>
      <c r="B211" s="14">
        <v>46086</v>
      </c>
      <c r="C211" s="6" t="s">
        <v>2063</v>
      </c>
      <c r="D211" s="6" t="s">
        <v>220</v>
      </c>
      <c r="E211" s="6" t="s">
        <v>1931</v>
      </c>
      <c r="F211" s="6" t="s">
        <v>45</v>
      </c>
      <c r="G211" s="17" t="s">
        <v>2064</v>
      </c>
      <c r="H211" s="17" t="s">
        <v>1916</v>
      </c>
      <c r="I211" s="17" t="s">
        <v>2065</v>
      </c>
    </row>
    <row r="212" spans="1:9" ht="30" customHeight="1" x14ac:dyDescent="0.25">
      <c r="A212" s="6">
        <v>480</v>
      </c>
      <c r="B212" s="14">
        <v>46086</v>
      </c>
      <c r="C212" s="6" t="s">
        <v>2066</v>
      </c>
      <c r="D212" s="6" t="s">
        <v>220</v>
      </c>
      <c r="E212" s="6" t="s">
        <v>1949</v>
      </c>
      <c r="F212" s="6" t="s">
        <v>56</v>
      </c>
      <c r="G212" s="17" t="s">
        <v>3</v>
      </c>
      <c r="H212" s="17" t="s">
        <v>1916</v>
      </c>
      <c r="I212" s="17" t="s">
        <v>2067</v>
      </c>
    </row>
    <row r="213" spans="1:9" ht="30" customHeight="1" x14ac:dyDescent="0.25">
      <c r="A213" s="6">
        <v>481</v>
      </c>
      <c r="B213" s="14">
        <v>46086</v>
      </c>
      <c r="C213" s="6" t="s">
        <v>764</v>
      </c>
      <c r="D213" s="6" t="s">
        <v>313</v>
      </c>
      <c r="E213" s="6" t="s">
        <v>1918</v>
      </c>
      <c r="F213" s="6" t="s">
        <v>38</v>
      </c>
      <c r="G213" s="17" t="s">
        <v>765</v>
      </c>
      <c r="H213" s="17" t="s">
        <v>1916</v>
      </c>
      <c r="I213" s="17" t="s">
        <v>766</v>
      </c>
    </row>
    <row r="214" spans="1:9" ht="30" customHeight="1" x14ac:dyDescent="0.25">
      <c r="A214" s="6">
        <v>482</v>
      </c>
      <c r="B214" s="14">
        <v>46086</v>
      </c>
      <c r="C214" s="6" t="s">
        <v>768</v>
      </c>
      <c r="D214" s="6" t="s">
        <v>205</v>
      </c>
      <c r="E214" s="6" t="s">
        <v>1918</v>
      </c>
      <c r="F214" s="6" t="s">
        <v>38</v>
      </c>
      <c r="G214" s="17" t="s">
        <v>3</v>
      </c>
      <c r="H214" s="17" t="s">
        <v>1916</v>
      </c>
      <c r="I214" s="17" t="s">
        <v>769</v>
      </c>
    </row>
    <row r="215" spans="1:9" ht="30" customHeight="1" x14ac:dyDescent="0.25">
      <c r="A215" s="6">
        <v>483</v>
      </c>
      <c r="B215" s="14">
        <v>46087</v>
      </c>
      <c r="C215" s="6" t="s">
        <v>800</v>
      </c>
      <c r="D215" s="6" t="s">
        <v>313</v>
      </c>
      <c r="E215" s="6" t="s">
        <v>1918</v>
      </c>
      <c r="F215" s="6" t="s">
        <v>82</v>
      </c>
      <c r="G215" s="17" t="s">
        <v>3</v>
      </c>
      <c r="H215" s="17" t="s">
        <v>1916</v>
      </c>
      <c r="I215" s="17" t="s">
        <v>801</v>
      </c>
    </row>
    <row r="216" spans="1:9" ht="30" customHeight="1" x14ac:dyDescent="0.25">
      <c r="A216" s="6">
        <v>484</v>
      </c>
      <c r="B216" s="14">
        <v>46087</v>
      </c>
      <c r="C216" s="6" t="s">
        <v>783</v>
      </c>
      <c r="D216" s="6" t="s">
        <v>313</v>
      </c>
      <c r="E216" s="6" t="s">
        <v>1918</v>
      </c>
      <c r="F216" s="6" t="s">
        <v>82</v>
      </c>
      <c r="G216" s="17" t="s">
        <v>3</v>
      </c>
      <c r="H216" s="17" t="s">
        <v>1916</v>
      </c>
      <c r="I216" s="17" t="s">
        <v>784</v>
      </c>
    </row>
    <row r="217" spans="1:9" ht="30" customHeight="1" x14ac:dyDescent="0.25">
      <c r="A217" s="6">
        <v>485</v>
      </c>
      <c r="B217" s="14">
        <v>46087</v>
      </c>
      <c r="C217" s="6" t="s">
        <v>2068</v>
      </c>
      <c r="D217" s="6" t="s">
        <v>812</v>
      </c>
      <c r="E217" s="6" t="s">
        <v>1949</v>
      </c>
      <c r="F217" s="6" t="s">
        <v>45</v>
      </c>
      <c r="G217" s="17" t="s">
        <v>3</v>
      </c>
      <c r="H217" s="17" t="s">
        <v>1916</v>
      </c>
      <c r="I217" s="17" t="s">
        <v>3</v>
      </c>
    </row>
    <row r="218" spans="1:9" ht="30" customHeight="1" x14ac:dyDescent="0.25">
      <c r="A218" s="6">
        <v>486</v>
      </c>
      <c r="B218" s="14">
        <v>46087</v>
      </c>
      <c r="C218" s="6" t="s">
        <v>2069</v>
      </c>
      <c r="D218" s="6" t="s">
        <v>812</v>
      </c>
      <c r="E218" s="6" t="s">
        <v>1931</v>
      </c>
      <c r="F218" s="6" t="s">
        <v>45</v>
      </c>
      <c r="G218" s="17" t="s">
        <v>2070</v>
      </c>
      <c r="H218" s="17" t="s">
        <v>1916</v>
      </c>
      <c r="I218" s="17" t="s">
        <v>2071</v>
      </c>
    </row>
    <row r="219" spans="1:9" ht="30" customHeight="1" x14ac:dyDescent="0.25">
      <c r="A219" s="6">
        <v>487</v>
      </c>
      <c r="B219" s="14">
        <v>46087</v>
      </c>
      <c r="C219" s="6" t="s">
        <v>2069</v>
      </c>
      <c r="D219" s="6" t="s">
        <v>812</v>
      </c>
      <c r="E219" s="6" t="s">
        <v>1931</v>
      </c>
      <c r="F219" s="6" t="s">
        <v>45</v>
      </c>
      <c r="G219" s="17" t="s">
        <v>2072</v>
      </c>
      <c r="H219" s="17" t="s">
        <v>1916</v>
      </c>
      <c r="I219" s="17" t="s">
        <v>2073</v>
      </c>
    </row>
    <row r="220" spans="1:9" ht="30" customHeight="1" x14ac:dyDescent="0.25">
      <c r="A220" s="6">
        <v>488</v>
      </c>
      <c r="B220" s="14">
        <v>46087</v>
      </c>
      <c r="C220" s="6" t="s">
        <v>2074</v>
      </c>
      <c r="D220" s="6" t="s">
        <v>812</v>
      </c>
      <c r="E220" s="6" t="s">
        <v>1949</v>
      </c>
      <c r="F220" s="6" t="s">
        <v>56</v>
      </c>
      <c r="G220" s="17" t="s">
        <v>3</v>
      </c>
      <c r="H220" s="17" t="s">
        <v>1919</v>
      </c>
      <c r="I220" s="17" t="s">
        <v>2075</v>
      </c>
    </row>
    <row r="221" spans="1:9" ht="30" customHeight="1" x14ac:dyDescent="0.25">
      <c r="A221" s="6">
        <v>489</v>
      </c>
      <c r="B221" s="14">
        <v>46087</v>
      </c>
      <c r="C221" s="6" t="s">
        <v>788</v>
      </c>
      <c r="D221" s="6" t="s">
        <v>228</v>
      </c>
      <c r="E221" s="6" t="s">
        <v>1918</v>
      </c>
      <c r="F221" s="6" t="s">
        <v>112</v>
      </c>
      <c r="G221" s="17" t="s">
        <v>3</v>
      </c>
      <c r="H221" s="17" t="s">
        <v>1916</v>
      </c>
      <c r="I221" s="17" t="s">
        <v>112</v>
      </c>
    </row>
    <row r="222" spans="1:9" ht="30" customHeight="1" x14ac:dyDescent="0.25">
      <c r="A222" s="6">
        <v>490</v>
      </c>
      <c r="B222" s="14">
        <v>46087</v>
      </c>
      <c r="C222" s="6" t="s">
        <v>2076</v>
      </c>
      <c r="D222" s="6" t="s">
        <v>265</v>
      </c>
      <c r="E222" s="6" t="s">
        <v>1949</v>
      </c>
      <c r="F222" s="6" t="s">
        <v>2077</v>
      </c>
      <c r="G222" s="17" t="s">
        <v>3</v>
      </c>
      <c r="H222" s="17" t="s">
        <v>1916</v>
      </c>
      <c r="I222" s="17" t="s">
        <v>2077</v>
      </c>
    </row>
    <row r="223" spans="1:9" ht="30" customHeight="1" x14ac:dyDescent="0.25">
      <c r="A223" s="6">
        <v>491</v>
      </c>
      <c r="B223" s="14">
        <v>46087</v>
      </c>
      <c r="C223" s="6" t="s">
        <v>2078</v>
      </c>
      <c r="D223" s="6" t="s">
        <v>673</v>
      </c>
      <c r="E223" s="6" t="s">
        <v>1931</v>
      </c>
      <c r="F223" s="6" t="s">
        <v>2079</v>
      </c>
      <c r="G223" s="17" t="s">
        <v>2080</v>
      </c>
      <c r="H223" s="17" t="s">
        <v>1916</v>
      </c>
      <c r="I223" s="17" t="s">
        <v>2081</v>
      </c>
    </row>
    <row r="224" spans="1:9" ht="30" customHeight="1" x14ac:dyDescent="0.25">
      <c r="A224" s="6">
        <v>492</v>
      </c>
      <c r="B224" s="14">
        <v>46087</v>
      </c>
      <c r="C224" s="6" t="s">
        <v>790</v>
      </c>
      <c r="D224" s="6" t="s">
        <v>228</v>
      </c>
      <c r="E224" s="6" t="s">
        <v>1918</v>
      </c>
      <c r="F224" s="6" t="s">
        <v>45</v>
      </c>
      <c r="G224" s="17" t="s">
        <v>3</v>
      </c>
      <c r="H224" s="17" t="s">
        <v>1916</v>
      </c>
      <c r="I224" s="17" t="s">
        <v>791</v>
      </c>
    </row>
    <row r="225" spans="1:9" ht="30" customHeight="1" x14ac:dyDescent="0.25">
      <c r="A225" s="6">
        <v>493</v>
      </c>
      <c r="B225" s="14">
        <v>46087</v>
      </c>
      <c r="C225" s="6" t="s">
        <v>2082</v>
      </c>
      <c r="D225" s="6" t="s">
        <v>265</v>
      </c>
      <c r="E225" s="6" t="s">
        <v>1949</v>
      </c>
      <c r="F225" s="6" t="s">
        <v>2083</v>
      </c>
      <c r="G225" s="17" t="s">
        <v>3</v>
      </c>
      <c r="H225" s="17" t="s">
        <v>1916</v>
      </c>
      <c r="I225" s="17" t="s">
        <v>2083</v>
      </c>
    </row>
    <row r="226" spans="1:9" ht="30" customHeight="1" x14ac:dyDescent="0.25">
      <c r="A226" s="6">
        <v>494</v>
      </c>
      <c r="B226" s="14">
        <v>46087</v>
      </c>
      <c r="C226" s="6" t="s">
        <v>793</v>
      </c>
      <c r="D226" s="6" t="s">
        <v>228</v>
      </c>
      <c r="E226" s="6" t="s">
        <v>1918</v>
      </c>
      <c r="F226" s="6" t="s">
        <v>45</v>
      </c>
      <c r="G226" s="17" t="s">
        <v>3</v>
      </c>
      <c r="H226" s="17" t="s">
        <v>1916</v>
      </c>
      <c r="I226" s="17" t="s">
        <v>794</v>
      </c>
    </row>
    <row r="227" spans="1:9" ht="30" customHeight="1" x14ac:dyDescent="0.25">
      <c r="A227" s="6">
        <v>495</v>
      </c>
      <c r="B227" s="14">
        <v>46088</v>
      </c>
      <c r="C227" s="6" t="s">
        <v>809</v>
      </c>
      <c r="D227" s="6" t="s">
        <v>812</v>
      </c>
      <c r="E227" s="6" t="s">
        <v>1918</v>
      </c>
      <c r="F227" s="6" t="s">
        <v>59</v>
      </c>
      <c r="G227" s="17" t="s">
        <v>813</v>
      </c>
      <c r="H227" s="17" t="s">
        <v>1916</v>
      </c>
      <c r="I227" s="17" t="s">
        <v>814</v>
      </c>
    </row>
    <row r="228" spans="1:9" ht="30" customHeight="1" x14ac:dyDescent="0.25">
      <c r="A228" s="6">
        <v>496</v>
      </c>
      <c r="B228" s="14">
        <v>46089</v>
      </c>
      <c r="C228" s="6" t="s">
        <v>803</v>
      </c>
      <c r="D228" s="6" t="s">
        <v>313</v>
      </c>
      <c r="E228" s="6" t="s">
        <v>1918</v>
      </c>
      <c r="F228" s="6" t="s">
        <v>111</v>
      </c>
      <c r="G228" s="17" t="s">
        <v>3</v>
      </c>
      <c r="H228" s="17" t="s">
        <v>1916</v>
      </c>
      <c r="I228" s="17" t="s">
        <v>804</v>
      </c>
    </row>
    <row r="229" spans="1:9" ht="30" customHeight="1" x14ac:dyDescent="0.25">
      <c r="A229" s="6">
        <v>497</v>
      </c>
      <c r="B229" s="14">
        <v>46089</v>
      </c>
      <c r="C229" s="6" t="s">
        <v>806</v>
      </c>
      <c r="D229" s="6" t="s">
        <v>313</v>
      </c>
      <c r="E229" s="6" t="s">
        <v>1918</v>
      </c>
      <c r="F229" s="6" t="s">
        <v>38</v>
      </c>
      <c r="G229" s="17" t="s">
        <v>3</v>
      </c>
      <c r="H229" s="17" t="s">
        <v>1916</v>
      </c>
      <c r="I229" s="17" t="s">
        <v>807</v>
      </c>
    </row>
    <row r="230" spans="1:9" ht="30" customHeight="1" x14ac:dyDescent="0.25">
      <c r="A230" s="6">
        <v>498</v>
      </c>
      <c r="B230" s="14">
        <v>46089</v>
      </c>
      <c r="C230" s="6" t="s">
        <v>796</v>
      </c>
      <c r="D230" s="6" t="s">
        <v>205</v>
      </c>
      <c r="E230" s="6" t="s">
        <v>1918</v>
      </c>
      <c r="F230" s="6" t="s">
        <v>158</v>
      </c>
      <c r="G230" s="17" t="s">
        <v>3</v>
      </c>
      <c r="H230" s="17" t="s">
        <v>1916</v>
      </c>
      <c r="I230" s="17" t="s">
        <v>798</v>
      </c>
    </row>
    <row r="231" spans="1:9" ht="30" customHeight="1" x14ac:dyDescent="0.25">
      <c r="A231" s="6">
        <v>499</v>
      </c>
      <c r="B231" s="14">
        <v>46089</v>
      </c>
      <c r="C231" s="6" t="s">
        <v>816</v>
      </c>
      <c r="D231" s="6" t="s">
        <v>812</v>
      </c>
      <c r="E231" s="6" t="s">
        <v>1918</v>
      </c>
      <c r="F231" s="6" t="s">
        <v>59</v>
      </c>
      <c r="G231" s="17" t="s">
        <v>818</v>
      </c>
      <c r="H231" s="17" t="s">
        <v>1916</v>
      </c>
      <c r="I231" s="17" t="s">
        <v>819</v>
      </c>
    </row>
    <row r="232" spans="1:9" ht="30" customHeight="1" x14ac:dyDescent="0.25">
      <c r="A232" s="6">
        <v>500</v>
      </c>
      <c r="B232" s="14">
        <v>46091</v>
      </c>
      <c r="C232" s="6" t="s">
        <v>826</v>
      </c>
      <c r="D232" s="6" t="s">
        <v>205</v>
      </c>
      <c r="E232" s="6" t="s">
        <v>1918</v>
      </c>
      <c r="F232" s="6" t="s">
        <v>35</v>
      </c>
      <c r="G232" s="17" t="s">
        <v>3</v>
      </c>
      <c r="H232" s="17" t="s">
        <v>1916</v>
      </c>
      <c r="I232" s="17" t="s">
        <v>828</v>
      </c>
    </row>
    <row r="233" spans="1:9" ht="30" customHeight="1" x14ac:dyDescent="0.25">
      <c r="A233" s="6">
        <v>501</v>
      </c>
      <c r="B233" s="14">
        <v>46091</v>
      </c>
      <c r="C233" s="6" t="s">
        <v>2084</v>
      </c>
      <c r="D233" s="6" t="s">
        <v>468</v>
      </c>
      <c r="E233" s="6" t="s">
        <v>1953</v>
      </c>
      <c r="F233" s="6" t="s">
        <v>45</v>
      </c>
      <c r="G233" s="17" t="s">
        <v>827</v>
      </c>
      <c r="H233" s="17" t="s">
        <v>1916</v>
      </c>
      <c r="I233" s="17" t="s">
        <v>2085</v>
      </c>
    </row>
    <row r="234" spans="1:9" ht="30" customHeight="1" x14ac:dyDescent="0.25">
      <c r="A234" s="6">
        <v>502</v>
      </c>
      <c r="B234" s="14">
        <v>46091</v>
      </c>
      <c r="C234" s="6" t="s">
        <v>837</v>
      </c>
      <c r="D234" s="6" t="s">
        <v>205</v>
      </c>
      <c r="E234" s="6" t="s">
        <v>1918</v>
      </c>
      <c r="F234" s="6" t="s">
        <v>35</v>
      </c>
      <c r="G234" s="17" t="s">
        <v>3</v>
      </c>
      <c r="H234" s="17" t="s">
        <v>1916</v>
      </c>
      <c r="I234" s="17" t="s">
        <v>840</v>
      </c>
    </row>
    <row r="235" spans="1:9" ht="30" customHeight="1" x14ac:dyDescent="0.25">
      <c r="A235" s="6">
        <v>503</v>
      </c>
      <c r="B235" s="14">
        <v>46091</v>
      </c>
      <c r="C235" s="6" t="s">
        <v>2086</v>
      </c>
      <c r="D235" s="6" t="s">
        <v>468</v>
      </c>
      <c r="E235" s="6" t="s">
        <v>1953</v>
      </c>
      <c r="F235" s="6" t="s">
        <v>45</v>
      </c>
      <c r="G235" s="17" t="s">
        <v>839</v>
      </c>
      <c r="H235" s="17" t="s">
        <v>1916</v>
      </c>
      <c r="I235" s="17" t="s">
        <v>2087</v>
      </c>
    </row>
    <row r="236" spans="1:9" ht="30" customHeight="1" x14ac:dyDescent="0.25">
      <c r="A236" s="6">
        <v>504</v>
      </c>
      <c r="B236" s="14">
        <v>46091</v>
      </c>
      <c r="C236" s="6" t="s">
        <v>833</v>
      </c>
      <c r="D236" s="6" t="s">
        <v>673</v>
      </c>
      <c r="E236" s="6" t="s">
        <v>1918</v>
      </c>
      <c r="F236" s="6" t="s">
        <v>172</v>
      </c>
      <c r="G236" s="17" t="s">
        <v>834</v>
      </c>
      <c r="H236" s="17" t="s">
        <v>1916</v>
      </c>
      <c r="I236" s="17" t="s">
        <v>835</v>
      </c>
    </row>
    <row r="237" spans="1:9" ht="30" customHeight="1" x14ac:dyDescent="0.25">
      <c r="A237" s="6">
        <v>505</v>
      </c>
      <c r="B237" s="14">
        <v>46091</v>
      </c>
      <c r="C237" s="6" t="s">
        <v>821</v>
      </c>
      <c r="D237" s="6" t="s">
        <v>211</v>
      </c>
      <c r="E237" s="6" t="s">
        <v>1918</v>
      </c>
      <c r="F237" s="6" t="s">
        <v>40</v>
      </c>
      <c r="G237" s="17" t="s">
        <v>823</v>
      </c>
      <c r="H237" s="17" t="s">
        <v>1916</v>
      </c>
      <c r="I237" s="17" t="s">
        <v>824</v>
      </c>
    </row>
    <row r="238" spans="1:9" ht="30" customHeight="1" x14ac:dyDescent="0.25">
      <c r="A238" s="6">
        <v>506</v>
      </c>
      <c r="B238" s="14">
        <v>46092</v>
      </c>
      <c r="C238" s="6" t="s">
        <v>856</v>
      </c>
      <c r="D238" s="6" t="s">
        <v>205</v>
      </c>
      <c r="E238" s="6" t="s">
        <v>1918</v>
      </c>
      <c r="F238" s="6" t="s">
        <v>35</v>
      </c>
      <c r="G238" s="17" t="s">
        <v>3</v>
      </c>
      <c r="H238" s="17" t="s">
        <v>1916</v>
      </c>
      <c r="I238" s="17" t="s">
        <v>859</v>
      </c>
    </row>
    <row r="239" spans="1:9" ht="30" customHeight="1" x14ac:dyDescent="0.25">
      <c r="A239" s="6">
        <v>507</v>
      </c>
      <c r="B239" s="14">
        <v>46092</v>
      </c>
      <c r="C239" s="6" t="s">
        <v>2088</v>
      </c>
      <c r="D239" s="6" t="s">
        <v>265</v>
      </c>
      <c r="E239" s="6" t="s">
        <v>1949</v>
      </c>
      <c r="F239" s="6" t="s">
        <v>2089</v>
      </c>
      <c r="G239" s="17" t="s">
        <v>3</v>
      </c>
      <c r="H239" s="17" t="s">
        <v>1916</v>
      </c>
      <c r="I239" s="17" t="s">
        <v>2090</v>
      </c>
    </row>
    <row r="240" spans="1:9" ht="30" customHeight="1" x14ac:dyDescent="0.25">
      <c r="A240" s="6">
        <v>508</v>
      </c>
      <c r="B240" s="14">
        <v>46092</v>
      </c>
      <c r="C240" s="6" t="s">
        <v>2091</v>
      </c>
      <c r="D240" s="6" t="s">
        <v>468</v>
      </c>
      <c r="E240" s="6" t="s">
        <v>1953</v>
      </c>
      <c r="F240" s="6" t="s">
        <v>45</v>
      </c>
      <c r="G240" s="17" t="s">
        <v>858</v>
      </c>
      <c r="H240" s="17" t="s">
        <v>1916</v>
      </c>
      <c r="I240" s="17" t="s">
        <v>2092</v>
      </c>
    </row>
    <row r="241" spans="1:9" ht="30" customHeight="1" x14ac:dyDescent="0.25">
      <c r="A241" s="6">
        <v>509</v>
      </c>
      <c r="B241" s="14">
        <v>46092</v>
      </c>
      <c r="C241" s="6" t="s">
        <v>830</v>
      </c>
      <c r="D241" s="6" t="s">
        <v>313</v>
      </c>
      <c r="E241" s="6" t="s">
        <v>1918</v>
      </c>
      <c r="F241" s="6" t="s">
        <v>131</v>
      </c>
      <c r="G241" s="17" t="s">
        <v>3</v>
      </c>
      <c r="H241" s="17" t="s">
        <v>1916</v>
      </c>
      <c r="I241" s="17" t="s">
        <v>831</v>
      </c>
    </row>
    <row r="242" spans="1:9" ht="30" customHeight="1" x14ac:dyDescent="0.25">
      <c r="A242" s="6">
        <v>510</v>
      </c>
      <c r="B242" s="14">
        <v>46092</v>
      </c>
      <c r="C242" s="6" t="s">
        <v>851</v>
      </c>
      <c r="D242" s="6" t="s">
        <v>313</v>
      </c>
      <c r="E242" s="6" t="s">
        <v>1918</v>
      </c>
      <c r="F242" s="6" t="s">
        <v>163</v>
      </c>
      <c r="G242" s="17" t="s">
        <v>3</v>
      </c>
      <c r="H242" s="17" t="s">
        <v>1916</v>
      </c>
      <c r="I242" s="17" t="s">
        <v>854</v>
      </c>
    </row>
    <row r="243" spans="1:9" ht="30" customHeight="1" x14ac:dyDescent="0.25">
      <c r="A243" s="6">
        <v>511</v>
      </c>
      <c r="B243" s="14">
        <v>46092</v>
      </c>
      <c r="C243" s="6" t="s">
        <v>2093</v>
      </c>
      <c r="D243" s="6" t="s">
        <v>812</v>
      </c>
      <c r="E243" s="6" t="s">
        <v>1931</v>
      </c>
      <c r="F243" s="6" t="s">
        <v>59</v>
      </c>
      <c r="G243" s="17" t="s">
        <v>2094</v>
      </c>
      <c r="H243" s="17" t="s">
        <v>1916</v>
      </c>
      <c r="I243" s="17" t="s">
        <v>2095</v>
      </c>
    </row>
    <row r="244" spans="1:9" ht="30" customHeight="1" x14ac:dyDescent="0.25">
      <c r="A244" s="6">
        <v>512</v>
      </c>
      <c r="B244" s="14">
        <v>46092</v>
      </c>
      <c r="C244" s="6" t="s">
        <v>842</v>
      </c>
      <c r="D244" s="6" t="s">
        <v>673</v>
      </c>
      <c r="E244" s="6" t="s">
        <v>1918</v>
      </c>
      <c r="F244" s="6" t="s">
        <v>116</v>
      </c>
      <c r="G244" s="17" t="s">
        <v>3</v>
      </c>
      <c r="H244" s="17" t="s">
        <v>1916</v>
      </c>
      <c r="I244" s="17" t="s">
        <v>843</v>
      </c>
    </row>
    <row r="245" spans="1:9" ht="30" customHeight="1" x14ac:dyDescent="0.25">
      <c r="A245" s="6">
        <v>513</v>
      </c>
      <c r="B245" s="14">
        <v>46092</v>
      </c>
      <c r="C245" s="6" t="s">
        <v>848</v>
      </c>
      <c r="D245" s="6" t="s">
        <v>228</v>
      </c>
      <c r="E245" s="6" t="s">
        <v>1918</v>
      </c>
      <c r="F245" s="6" t="s">
        <v>45</v>
      </c>
      <c r="G245" s="17" t="s">
        <v>3</v>
      </c>
      <c r="H245" s="17" t="s">
        <v>1916</v>
      </c>
      <c r="I245" s="17" t="s">
        <v>849</v>
      </c>
    </row>
    <row r="246" spans="1:9" ht="30" customHeight="1" x14ac:dyDescent="0.25">
      <c r="A246" s="6">
        <v>514</v>
      </c>
      <c r="B246" s="14">
        <v>46092</v>
      </c>
      <c r="C246" s="6" t="s">
        <v>637</v>
      </c>
      <c r="D246" s="6" t="s">
        <v>211</v>
      </c>
      <c r="E246" s="6" t="s">
        <v>1918</v>
      </c>
      <c r="F246" s="6" t="s">
        <v>40</v>
      </c>
      <c r="G246" s="17" t="s">
        <v>845</v>
      </c>
      <c r="H246" s="17" t="s">
        <v>1916</v>
      </c>
      <c r="I246" s="17" t="s">
        <v>846</v>
      </c>
    </row>
    <row r="247" spans="1:9" ht="30" customHeight="1" x14ac:dyDescent="0.25">
      <c r="A247" s="6">
        <v>515</v>
      </c>
      <c r="B247" s="14">
        <v>46092</v>
      </c>
      <c r="C247" s="6" t="s">
        <v>2096</v>
      </c>
      <c r="D247" s="6" t="s">
        <v>673</v>
      </c>
      <c r="E247" s="6" t="s">
        <v>1949</v>
      </c>
      <c r="F247" s="6" t="s">
        <v>45</v>
      </c>
      <c r="G247" s="17" t="s">
        <v>3</v>
      </c>
      <c r="H247" s="17" t="s">
        <v>1916</v>
      </c>
      <c r="I247" s="17" t="s">
        <v>2097</v>
      </c>
    </row>
    <row r="248" spans="1:9" ht="30" customHeight="1" x14ac:dyDescent="0.25">
      <c r="A248" s="6">
        <v>516</v>
      </c>
      <c r="B248" s="14">
        <v>46093</v>
      </c>
      <c r="C248" s="6" t="s">
        <v>861</v>
      </c>
      <c r="D248" s="6" t="s">
        <v>228</v>
      </c>
      <c r="E248" s="6" t="s">
        <v>1918</v>
      </c>
      <c r="F248" s="6" t="s">
        <v>109</v>
      </c>
      <c r="G248" s="17" t="s">
        <v>3</v>
      </c>
      <c r="H248" s="17" t="s">
        <v>1916</v>
      </c>
      <c r="I248" s="17" t="s">
        <v>862</v>
      </c>
    </row>
    <row r="249" spans="1:9" ht="30" customHeight="1" x14ac:dyDescent="0.25">
      <c r="A249" s="6">
        <v>517</v>
      </c>
      <c r="B249" s="14">
        <v>46093</v>
      </c>
      <c r="C249" s="6" t="s">
        <v>864</v>
      </c>
      <c r="D249" s="6" t="s">
        <v>211</v>
      </c>
      <c r="E249" s="6" t="s">
        <v>1918</v>
      </c>
      <c r="F249" s="6" t="s">
        <v>40</v>
      </c>
      <c r="G249" s="17" t="s">
        <v>865</v>
      </c>
      <c r="H249" s="17" t="s">
        <v>1916</v>
      </c>
      <c r="I249" s="17" t="s">
        <v>866</v>
      </c>
    </row>
    <row r="250" spans="1:9" ht="30" customHeight="1" x14ac:dyDescent="0.25">
      <c r="A250" s="6">
        <v>518</v>
      </c>
      <c r="B250" s="14">
        <v>46093</v>
      </c>
      <c r="C250" s="6" t="s">
        <v>2098</v>
      </c>
      <c r="D250" s="6" t="s">
        <v>812</v>
      </c>
      <c r="E250" s="6" t="s">
        <v>1931</v>
      </c>
      <c r="F250" s="6" t="s">
        <v>59</v>
      </c>
      <c r="G250" s="17" t="s">
        <v>2099</v>
      </c>
      <c r="H250" s="17" t="s">
        <v>1916</v>
      </c>
      <c r="I250" s="17" t="s">
        <v>2100</v>
      </c>
    </row>
    <row r="251" spans="1:9" ht="30" customHeight="1" x14ac:dyDescent="0.25">
      <c r="A251" s="6">
        <v>519</v>
      </c>
      <c r="B251" s="14">
        <v>46093</v>
      </c>
      <c r="C251" s="6" t="s">
        <v>879</v>
      </c>
      <c r="D251" s="6" t="s">
        <v>205</v>
      </c>
      <c r="E251" s="6" t="s">
        <v>1918</v>
      </c>
      <c r="F251" s="6" t="s">
        <v>35</v>
      </c>
      <c r="G251" s="17" t="s">
        <v>3</v>
      </c>
      <c r="H251" s="17" t="s">
        <v>1916</v>
      </c>
      <c r="I251" s="17" t="s">
        <v>881</v>
      </c>
    </row>
    <row r="252" spans="1:9" ht="30" customHeight="1" x14ac:dyDescent="0.25">
      <c r="A252" s="6">
        <v>520</v>
      </c>
      <c r="B252" s="14">
        <v>46093</v>
      </c>
      <c r="C252" s="6" t="s">
        <v>2101</v>
      </c>
      <c r="D252" s="6" t="s">
        <v>205</v>
      </c>
      <c r="E252" s="6" t="s">
        <v>1949</v>
      </c>
      <c r="F252" s="6" t="s">
        <v>45</v>
      </c>
      <c r="G252" s="17" t="s">
        <v>3</v>
      </c>
      <c r="H252" s="17" t="s">
        <v>1916</v>
      </c>
      <c r="I252" s="17" t="s">
        <v>2019</v>
      </c>
    </row>
    <row r="253" spans="1:9" ht="30" customHeight="1" x14ac:dyDescent="0.25">
      <c r="A253" s="6">
        <v>521</v>
      </c>
      <c r="B253" s="14">
        <v>46093</v>
      </c>
      <c r="C253" s="6" t="s">
        <v>2102</v>
      </c>
      <c r="D253" s="6" t="s">
        <v>468</v>
      </c>
      <c r="E253" s="6" t="s">
        <v>1953</v>
      </c>
      <c r="F253" s="6" t="s">
        <v>45</v>
      </c>
      <c r="G253" s="17" t="s">
        <v>880</v>
      </c>
      <c r="H253" s="17" t="s">
        <v>1916</v>
      </c>
      <c r="I253" s="17" t="s">
        <v>2103</v>
      </c>
    </row>
    <row r="254" spans="1:9" ht="30" customHeight="1" x14ac:dyDescent="0.25">
      <c r="A254" s="6">
        <v>522</v>
      </c>
      <c r="B254" s="14">
        <v>46093</v>
      </c>
      <c r="C254" s="6" t="s">
        <v>2104</v>
      </c>
      <c r="D254" s="6" t="s">
        <v>673</v>
      </c>
      <c r="E254" s="6" t="s">
        <v>1931</v>
      </c>
      <c r="F254" s="6" t="s">
        <v>45</v>
      </c>
      <c r="G254" s="17" t="s">
        <v>2105</v>
      </c>
      <c r="H254" s="17" t="s">
        <v>1916</v>
      </c>
      <c r="I254" s="17" t="s">
        <v>2106</v>
      </c>
    </row>
    <row r="255" spans="1:9" ht="30" customHeight="1" x14ac:dyDescent="0.25">
      <c r="A255" s="6">
        <v>523</v>
      </c>
      <c r="B255" s="14">
        <v>46093</v>
      </c>
      <c r="C255" s="6" t="s">
        <v>868</v>
      </c>
      <c r="D255" s="6" t="s">
        <v>673</v>
      </c>
      <c r="E255" s="6" t="s">
        <v>1918</v>
      </c>
      <c r="F255" s="6" t="s">
        <v>45</v>
      </c>
      <c r="G255" s="17" t="s">
        <v>3</v>
      </c>
      <c r="H255" s="17" t="s">
        <v>1916</v>
      </c>
      <c r="I255" s="17" t="s">
        <v>871</v>
      </c>
    </row>
    <row r="256" spans="1:9" ht="30" customHeight="1" x14ac:dyDescent="0.25">
      <c r="A256" s="6">
        <v>524</v>
      </c>
      <c r="B256" s="14">
        <v>46093</v>
      </c>
      <c r="C256" s="6" t="s">
        <v>2107</v>
      </c>
      <c r="D256" s="6" t="s">
        <v>468</v>
      </c>
      <c r="E256" s="6" t="s">
        <v>1953</v>
      </c>
      <c r="F256" s="6" t="s">
        <v>45</v>
      </c>
      <c r="G256" s="17" t="s">
        <v>870</v>
      </c>
      <c r="H256" s="17" t="s">
        <v>1916</v>
      </c>
      <c r="I256" s="17" t="s">
        <v>2108</v>
      </c>
    </row>
    <row r="257" spans="1:9" ht="30" customHeight="1" x14ac:dyDescent="0.25">
      <c r="A257" s="6">
        <v>525</v>
      </c>
      <c r="B257" s="14">
        <v>46094</v>
      </c>
      <c r="C257" s="6" t="s">
        <v>886</v>
      </c>
      <c r="D257" s="6" t="s">
        <v>812</v>
      </c>
      <c r="E257" s="6" t="s">
        <v>1918</v>
      </c>
      <c r="F257" s="6" t="s">
        <v>59</v>
      </c>
      <c r="G257" s="17" t="s">
        <v>888</v>
      </c>
      <c r="H257" s="17" t="s">
        <v>1916</v>
      </c>
      <c r="I257" s="17" t="s">
        <v>889</v>
      </c>
    </row>
    <row r="258" spans="1:9" ht="30" customHeight="1" x14ac:dyDescent="0.25">
      <c r="A258" s="6">
        <v>526</v>
      </c>
      <c r="B258" s="14">
        <v>46094</v>
      </c>
      <c r="C258" s="6" t="s">
        <v>883</v>
      </c>
      <c r="D258" s="6" t="s">
        <v>211</v>
      </c>
      <c r="E258" s="6" t="s">
        <v>1918</v>
      </c>
      <c r="F258" s="6" t="s">
        <v>40</v>
      </c>
      <c r="G258" s="17" t="s">
        <v>3</v>
      </c>
      <c r="H258" s="17" t="s">
        <v>1916</v>
      </c>
      <c r="I258" s="17" t="s">
        <v>884</v>
      </c>
    </row>
    <row r="259" spans="1:9" ht="30" customHeight="1" x14ac:dyDescent="0.25">
      <c r="A259" s="6">
        <v>527</v>
      </c>
      <c r="B259" s="14">
        <v>46094</v>
      </c>
      <c r="C259" s="6" t="s">
        <v>874</v>
      </c>
      <c r="D259" s="6" t="s">
        <v>313</v>
      </c>
      <c r="E259" s="6" t="s">
        <v>1949</v>
      </c>
      <c r="F259" s="6" t="s">
        <v>45</v>
      </c>
      <c r="G259" s="17" t="s">
        <v>3</v>
      </c>
      <c r="H259" s="17" t="s">
        <v>1916</v>
      </c>
      <c r="I259" s="17" t="s">
        <v>3</v>
      </c>
    </row>
    <row r="260" spans="1:9" ht="30" customHeight="1" x14ac:dyDescent="0.25">
      <c r="A260" s="6">
        <v>528</v>
      </c>
      <c r="B260" s="14">
        <v>46094</v>
      </c>
      <c r="C260" s="6" t="s">
        <v>874</v>
      </c>
      <c r="D260" s="6" t="s">
        <v>313</v>
      </c>
      <c r="E260" s="6" t="s">
        <v>1918</v>
      </c>
      <c r="F260" s="6" t="s">
        <v>80</v>
      </c>
      <c r="G260" s="17" t="s">
        <v>2109</v>
      </c>
      <c r="H260" s="17" t="s">
        <v>1916</v>
      </c>
      <c r="I260" s="17" t="s">
        <v>877</v>
      </c>
    </row>
    <row r="261" spans="1:9" ht="30" customHeight="1" x14ac:dyDescent="0.25">
      <c r="A261" s="6">
        <v>529</v>
      </c>
      <c r="B261" s="14">
        <v>46094</v>
      </c>
      <c r="C261" s="6" t="s">
        <v>2110</v>
      </c>
      <c r="D261" s="6" t="s">
        <v>313</v>
      </c>
      <c r="E261" s="6" t="s">
        <v>1953</v>
      </c>
      <c r="F261" s="6" t="s">
        <v>45</v>
      </c>
      <c r="G261" s="17" t="s">
        <v>2111</v>
      </c>
      <c r="H261" s="17" t="s">
        <v>1916</v>
      </c>
      <c r="I261" s="17" t="s">
        <v>2112</v>
      </c>
    </row>
    <row r="262" spans="1:9" ht="30" customHeight="1" x14ac:dyDescent="0.25">
      <c r="A262" s="6">
        <v>530</v>
      </c>
      <c r="B262" s="14">
        <v>46094</v>
      </c>
      <c r="C262" s="6" t="s">
        <v>891</v>
      </c>
      <c r="D262" s="6" t="s">
        <v>205</v>
      </c>
      <c r="E262" s="6" t="s">
        <v>1918</v>
      </c>
      <c r="F262" s="6" t="s">
        <v>129</v>
      </c>
      <c r="G262" s="17" t="s">
        <v>3</v>
      </c>
      <c r="H262" s="17" t="s">
        <v>1916</v>
      </c>
      <c r="I262" s="17" t="s">
        <v>893</v>
      </c>
    </row>
    <row r="263" spans="1:9" ht="30" customHeight="1" x14ac:dyDescent="0.25">
      <c r="A263" s="6">
        <v>531</v>
      </c>
      <c r="B263" s="14">
        <v>46094</v>
      </c>
      <c r="C263" s="6" t="s">
        <v>2113</v>
      </c>
      <c r="D263" s="6" t="s">
        <v>313</v>
      </c>
      <c r="E263" s="6" t="s">
        <v>1949</v>
      </c>
      <c r="F263" s="6" t="s">
        <v>45</v>
      </c>
      <c r="G263" s="17" t="s">
        <v>3</v>
      </c>
      <c r="H263" s="17" t="s">
        <v>1916</v>
      </c>
      <c r="I263" s="17" t="s">
        <v>3</v>
      </c>
    </row>
    <row r="264" spans="1:9" ht="30" customHeight="1" x14ac:dyDescent="0.25">
      <c r="A264" s="6">
        <v>532</v>
      </c>
      <c r="B264" s="14">
        <v>46094</v>
      </c>
      <c r="C264" s="6" t="s">
        <v>899</v>
      </c>
      <c r="D264" s="6" t="s">
        <v>313</v>
      </c>
      <c r="E264" s="6" t="s">
        <v>1918</v>
      </c>
      <c r="F264" s="6" t="s">
        <v>80</v>
      </c>
      <c r="G264" s="17" t="s">
        <v>2114</v>
      </c>
      <c r="H264" s="17" t="s">
        <v>1916</v>
      </c>
      <c r="I264" s="17" t="s">
        <v>901</v>
      </c>
    </row>
    <row r="265" spans="1:9" ht="30" customHeight="1" x14ac:dyDescent="0.25">
      <c r="A265" s="6">
        <v>533</v>
      </c>
      <c r="B265" s="14">
        <v>46094</v>
      </c>
      <c r="C265" s="6" t="s">
        <v>899</v>
      </c>
      <c r="D265" s="6" t="s">
        <v>313</v>
      </c>
      <c r="E265" s="6" t="s">
        <v>1953</v>
      </c>
      <c r="F265" s="6" t="s">
        <v>45</v>
      </c>
      <c r="G265" s="17" t="s">
        <v>2115</v>
      </c>
      <c r="H265" s="17" t="s">
        <v>1916</v>
      </c>
      <c r="I265" s="17" t="s">
        <v>2116</v>
      </c>
    </row>
    <row r="266" spans="1:9" ht="30" customHeight="1" x14ac:dyDescent="0.25">
      <c r="A266" s="6">
        <v>534</v>
      </c>
      <c r="B266" s="14">
        <v>46094</v>
      </c>
      <c r="C266" s="6" t="s">
        <v>895</v>
      </c>
      <c r="D266" s="6" t="s">
        <v>673</v>
      </c>
      <c r="E266" s="6" t="s">
        <v>1918</v>
      </c>
      <c r="F266" s="6" t="s">
        <v>45</v>
      </c>
      <c r="G266" s="17" t="s">
        <v>896</v>
      </c>
      <c r="H266" s="17" t="s">
        <v>1916</v>
      </c>
      <c r="I266" s="17" t="s">
        <v>897</v>
      </c>
    </row>
    <row r="267" spans="1:9" ht="30" customHeight="1" x14ac:dyDescent="0.25">
      <c r="A267" s="6">
        <v>535</v>
      </c>
      <c r="B267" s="14">
        <v>46097</v>
      </c>
      <c r="C267" s="6" t="s">
        <v>906</v>
      </c>
      <c r="D267" s="6" t="s">
        <v>205</v>
      </c>
      <c r="E267" s="6" t="s">
        <v>1918</v>
      </c>
      <c r="F267" s="6" t="s">
        <v>138</v>
      </c>
      <c r="G267" s="17" t="s">
        <v>3</v>
      </c>
      <c r="H267" s="17" t="s">
        <v>1916</v>
      </c>
      <c r="I267" s="17" t="s">
        <v>908</v>
      </c>
    </row>
    <row r="268" spans="1:9" ht="30" customHeight="1" x14ac:dyDescent="0.25">
      <c r="A268" s="6">
        <v>536</v>
      </c>
      <c r="B268" s="14">
        <v>46097</v>
      </c>
      <c r="C268" s="6" t="s">
        <v>903</v>
      </c>
      <c r="D268" s="6" t="s">
        <v>313</v>
      </c>
      <c r="E268" s="6" t="s">
        <v>1918</v>
      </c>
      <c r="F268" s="6" t="s">
        <v>67</v>
      </c>
      <c r="G268" s="17" t="s">
        <v>3</v>
      </c>
      <c r="H268" s="17" t="s">
        <v>1916</v>
      </c>
      <c r="I268" s="17" t="s">
        <v>904</v>
      </c>
    </row>
    <row r="269" spans="1:9" ht="30" customHeight="1" x14ac:dyDescent="0.25">
      <c r="A269" s="6">
        <v>537</v>
      </c>
      <c r="B269" s="14">
        <v>46098</v>
      </c>
      <c r="C269" s="6" t="s">
        <v>2117</v>
      </c>
      <c r="D269" s="6" t="s">
        <v>812</v>
      </c>
      <c r="E269" s="6" t="s">
        <v>1949</v>
      </c>
      <c r="F269" s="6" t="s">
        <v>45</v>
      </c>
      <c r="G269" s="17" t="s">
        <v>3</v>
      </c>
      <c r="H269" s="17" t="s">
        <v>1916</v>
      </c>
      <c r="I269" s="17" t="s">
        <v>3</v>
      </c>
    </row>
    <row r="270" spans="1:9" ht="30" customHeight="1" x14ac:dyDescent="0.25">
      <c r="A270" s="6">
        <v>538</v>
      </c>
      <c r="B270" s="14">
        <v>46098</v>
      </c>
      <c r="C270" s="6" t="s">
        <v>2118</v>
      </c>
      <c r="D270" s="6" t="s">
        <v>812</v>
      </c>
      <c r="E270" s="6" t="s">
        <v>1931</v>
      </c>
      <c r="F270" s="6" t="s">
        <v>45</v>
      </c>
      <c r="G270" s="17" t="s">
        <v>2119</v>
      </c>
      <c r="H270" s="17" t="s">
        <v>1916</v>
      </c>
      <c r="I270" s="17" t="s">
        <v>2120</v>
      </c>
    </row>
    <row r="271" spans="1:9" ht="30" customHeight="1" x14ac:dyDescent="0.25">
      <c r="A271" s="6">
        <v>539</v>
      </c>
      <c r="B271" s="14">
        <v>46098</v>
      </c>
      <c r="C271" s="6" t="s">
        <v>2121</v>
      </c>
      <c r="D271" s="6" t="s">
        <v>812</v>
      </c>
      <c r="E271" s="6" t="s">
        <v>1931</v>
      </c>
      <c r="F271" s="6" t="s">
        <v>45</v>
      </c>
      <c r="G271" s="17" t="s">
        <v>2122</v>
      </c>
      <c r="H271" s="17" t="s">
        <v>1916</v>
      </c>
      <c r="I271" s="17" t="s">
        <v>2123</v>
      </c>
    </row>
    <row r="272" spans="1:9" ht="30" customHeight="1" x14ac:dyDescent="0.25">
      <c r="A272" s="6">
        <v>540</v>
      </c>
      <c r="B272" s="14">
        <v>46098</v>
      </c>
      <c r="C272" s="6" t="s">
        <v>2121</v>
      </c>
      <c r="D272" s="6" t="s">
        <v>812</v>
      </c>
      <c r="E272" s="6" t="s">
        <v>1931</v>
      </c>
      <c r="F272" s="6" t="s">
        <v>45</v>
      </c>
      <c r="G272" s="17" t="s">
        <v>2124</v>
      </c>
      <c r="H272" s="17" t="s">
        <v>1916</v>
      </c>
      <c r="I272" s="17" t="s">
        <v>2125</v>
      </c>
    </row>
    <row r="273" spans="1:9" ht="30" customHeight="1" x14ac:dyDescent="0.25">
      <c r="A273" s="6">
        <v>541</v>
      </c>
      <c r="B273" s="14">
        <v>46098</v>
      </c>
      <c r="C273" s="6" t="s">
        <v>921</v>
      </c>
      <c r="D273" s="6" t="s">
        <v>812</v>
      </c>
      <c r="E273" s="6" t="s">
        <v>1918</v>
      </c>
      <c r="F273" s="6" t="s">
        <v>56</v>
      </c>
      <c r="G273" s="17" t="s">
        <v>3</v>
      </c>
      <c r="H273" s="17" t="s">
        <v>1919</v>
      </c>
      <c r="I273" s="17" t="s">
        <v>923</v>
      </c>
    </row>
    <row r="274" spans="1:9" ht="30" customHeight="1" x14ac:dyDescent="0.25">
      <c r="A274" s="6">
        <v>542</v>
      </c>
      <c r="B274" s="14">
        <v>46098</v>
      </c>
      <c r="C274" s="6" t="s">
        <v>910</v>
      </c>
      <c r="D274" s="6" t="s">
        <v>211</v>
      </c>
      <c r="E274" s="6" t="s">
        <v>1918</v>
      </c>
      <c r="F274" s="6" t="s">
        <v>49</v>
      </c>
      <c r="G274" s="17" t="s">
        <v>3</v>
      </c>
      <c r="H274" s="17" t="s">
        <v>1916</v>
      </c>
      <c r="I274" s="17" t="s">
        <v>911</v>
      </c>
    </row>
    <row r="275" spans="1:9" ht="30" customHeight="1" x14ac:dyDescent="0.25">
      <c r="A275" s="6">
        <v>543</v>
      </c>
      <c r="B275" s="14">
        <v>46098</v>
      </c>
      <c r="C275" s="6" t="s">
        <v>916</v>
      </c>
      <c r="D275" s="6" t="s">
        <v>313</v>
      </c>
      <c r="E275" s="6" t="s">
        <v>1918</v>
      </c>
      <c r="F275" s="6" t="s">
        <v>35</v>
      </c>
      <c r="G275" s="17" t="s">
        <v>3</v>
      </c>
      <c r="H275" s="17" t="s">
        <v>1916</v>
      </c>
      <c r="I275" s="17" t="s">
        <v>918</v>
      </c>
    </row>
    <row r="276" spans="1:9" ht="30" customHeight="1" x14ac:dyDescent="0.25">
      <c r="A276" s="6">
        <v>544</v>
      </c>
      <c r="B276" s="14">
        <v>46099</v>
      </c>
      <c r="C276" s="6" t="s">
        <v>926</v>
      </c>
      <c r="D276" s="6" t="s">
        <v>211</v>
      </c>
      <c r="E276" s="6" t="s">
        <v>1918</v>
      </c>
      <c r="F276" s="6" t="s">
        <v>49</v>
      </c>
      <c r="G276" s="17" t="s">
        <v>3</v>
      </c>
      <c r="H276" s="17" t="s">
        <v>1916</v>
      </c>
      <c r="I276" s="17" t="s">
        <v>927</v>
      </c>
    </row>
    <row r="277" spans="1:9" ht="30" customHeight="1" x14ac:dyDescent="0.25">
      <c r="A277" s="6">
        <v>545</v>
      </c>
      <c r="B277" s="14">
        <v>46099</v>
      </c>
      <c r="C277" s="6" t="s">
        <v>913</v>
      </c>
      <c r="D277" s="6" t="s">
        <v>205</v>
      </c>
      <c r="E277" s="6" t="s">
        <v>1918</v>
      </c>
      <c r="F277" s="6" t="s">
        <v>72</v>
      </c>
      <c r="G277" s="17" t="s">
        <v>3</v>
      </c>
      <c r="H277" s="17" t="s">
        <v>1916</v>
      </c>
      <c r="I277" s="17" t="s">
        <v>914</v>
      </c>
    </row>
    <row r="278" spans="1:9" ht="30" customHeight="1" x14ac:dyDescent="0.25">
      <c r="A278" s="6">
        <v>546</v>
      </c>
      <c r="B278" s="14">
        <v>46099</v>
      </c>
      <c r="C278" s="6" t="s">
        <v>929</v>
      </c>
      <c r="D278" s="6" t="s">
        <v>205</v>
      </c>
      <c r="E278" s="6" t="s">
        <v>1918</v>
      </c>
      <c r="F278" s="6" t="s">
        <v>141</v>
      </c>
      <c r="G278" s="17" t="s">
        <v>3</v>
      </c>
      <c r="H278" s="17" t="s">
        <v>1916</v>
      </c>
      <c r="I278" s="17" t="s">
        <v>930</v>
      </c>
    </row>
    <row r="279" spans="1:9" ht="30" customHeight="1" x14ac:dyDescent="0.25">
      <c r="A279" s="6">
        <v>547</v>
      </c>
      <c r="B279" s="14">
        <v>46100</v>
      </c>
      <c r="C279" s="6" t="s">
        <v>932</v>
      </c>
      <c r="D279" s="6" t="s">
        <v>211</v>
      </c>
      <c r="E279" s="6" t="s">
        <v>1918</v>
      </c>
      <c r="F279" s="6" t="s">
        <v>49</v>
      </c>
      <c r="G279" s="17" t="s">
        <v>3</v>
      </c>
      <c r="H279" s="17" t="s">
        <v>1916</v>
      </c>
      <c r="I279" s="17" t="s">
        <v>933</v>
      </c>
    </row>
    <row r="280" spans="1:9" ht="30" customHeight="1" x14ac:dyDescent="0.25">
      <c r="A280" s="6">
        <v>548</v>
      </c>
      <c r="B280" s="14">
        <v>46100</v>
      </c>
      <c r="C280" s="6" t="s">
        <v>2126</v>
      </c>
      <c r="D280" s="6" t="s">
        <v>205</v>
      </c>
      <c r="E280" s="6" t="s">
        <v>1949</v>
      </c>
      <c r="F280" s="6" t="s">
        <v>140</v>
      </c>
      <c r="G280" s="17" t="s">
        <v>3</v>
      </c>
      <c r="H280" s="17" t="s">
        <v>1916</v>
      </c>
      <c r="I280" s="17" t="s">
        <v>2127</v>
      </c>
    </row>
    <row r="281" spans="1:9" ht="30" customHeight="1" x14ac:dyDescent="0.25">
      <c r="A281" s="6">
        <v>549</v>
      </c>
      <c r="B281" s="14">
        <v>46101</v>
      </c>
      <c r="C281" s="6" t="s">
        <v>935</v>
      </c>
      <c r="D281" s="6" t="s">
        <v>211</v>
      </c>
      <c r="E281" s="6" t="s">
        <v>1918</v>
      </c>
      <c r="F281" s="6" t="s">
        <v>40</v>
      </c>
      <c r="G281" s="17" t="s">
        <v>3</v>
      </c>
      <c r="H281" s="17" t="s">
        <v>1916</v>
      </c>
      <c r="I281" s="17" t="s">
        <v>936</v>
      </c>
    </row>
    <row r="282" spans="1:9" ht="30" customHeight="1" x14ac:dyDescent="0.25">
      <c r="A282" s="6">
        <v>550</v>
      </c>
      <c r="B282" s="14">
        <v>46101</v>
      </c>
      <c r="C282" s="6" t="s">
        <v>941</v>
      </c>
      <c r="D282" s="6" t="s">
        <v>313</v>
      </c>
      <c r="E282" s="6" t="s">
        <v>1918</v>
      </c>
      <c r="F282" s="6" t="s">
        <v>151</v>
      </c>
      <c r="G282" s="17" t="s">
        <v>3</v>
      </c>
      <c r="H282" s="17" t="s">
        <v>1916</v>
      </c>
      <c r="I282" s="17" t="s">
        <v>942</v>
      </c>
    </row>
    <row r="283" spans="1:9" ht="30" customHeight="1" x14ac:dyDescent="0.25">
      <c r="A283" s="6">
        <v>551</v>
      </c>
      <c r="B283" s="14">
        <v>46102</v>
      </c>
      <c r="C283" s="6" t="s">
        <v>938</v>
      </c>
      <c r="D283" s="6" t="s">
        <v>205</v>
      </c>
      <c r="E283" s="6" t="s">
        <v>1918</v>
      </c>
      <c r="F283" s="6" t="s">
        <v>140</v>
      </c>
      <c r="G283" s="17" t="s">
        <v>3</v>
      </c>
      <c r="H283" s="17" t="s">
        <v>1916</v>
      </c>
      <c r="I283" s="17" t="s">
        <v>939</v>
      </c>
    </row>
    <row r="284" spans="1:9" ht="30" customHeight="1" x14ac:dyDescent="0.25">
      <c r="A284" s="6">
        <v>552</v>
      </c>
      <c r="B284" s="14">
        <v>46102</v>
      </c>
      <c r="C284" s="6" t="s">
        <v>944</v>
      </c>
      <c r="D284" s="6" t="s">
        <v>313</v>
      </c>
      <c r="E284" s="6" t="s">
        <v>1918</v>
      </c>
      <c r="F284" s="6" t="s">
        <v>35</v>
      </c>
      <c r="G284" s="17" t="s">
        <v>945</v>
      </c>
      <c r="H284" s="17" t="s">
        <v>1916</v>
      </c>
      <c r="I284" s="17" t="s">
        <v>946</v>
      </c>
    </row>
    <row r="285" spans="1:9" ht="30" customHeight="1" x14ac:dyDescent="0.25">
      <c r="A285" s="6">
        <v>553</v>
      </c>
      <c r="B285" s="14">
        <v>46104</v>
      </c>
      <c r="C285" s="6" t="s">
        <v>948</v>
      </c>
      <c r="D285" s="6" t="s">
        <v>313</v>
      </c>
      <c r="E285" s="6" t="s">
        <v>1918</v>
      </c>
      <c r="F285" s="6" t="s">
        <v>35</v>
      </c>
      <c r="G285" s="17" t="s">
        <v>3</v>
      </c>
      <c r="H285" s="17" t="s">
        <v>1916</v>
      </c>
      <c r="I285" s="17" t="s">
        <v>949</v>
      </c>
    </row>
    <row r="286" spans="1:9" ht="30" customHeight="1" x14ac:dyDescent="0.25">
      <c r="A286" s="6">
        <v>554</v>
      </c>
      <c r="B286" s="14">
        <v>46105</v>
      </c>
      <c r="C286" s="6" t="s">
        <v>952</v>
      </c>
      <c r="D286" s="6" t="s">
        <v>812</v>
      </c>
      <c r="E286" s="6" t="s">
        <v>1918</v>
      </c>
      <c r="F286" s="6" t="s">
        <v>45</v>
      </c>
      <c r="G286" s="17" t="s">
        <v>955</v>
      </c>
      <c r="H286" s="17" t="s">
        <v>1916</v>
      </c>
      <c r="I286" s="17" t="s">
        <v>956</v>
      </c>
    </row>
    <row r="287" spans="1:9" ht="30" customHeight="1" x14ac:dyDescent="0.25">
      <c r="A287" s="6">
        <v>555</v>
      </c>
      <c r="B287" s="14">
        <v>46107</v>
      </c>
      <c r="C287" s="6" t="s">
        <v>959</v>
      </c>
      <c r="D287" s="6" t="s">
        <v>313</v>
      </c>
      <c r="E287" s="6" t="s">
        <v>1918</v>
      </c>
      <c r="F287" s="6" t="s">
        <v>35</v>
      </c>
      <c r="G287" s="17" t="s">
        <v>960</v>
      </c>
      <c r="H287" s="17" t="s">
        <v>1916</v>
      </c>
      <c r="I287" s="17" t="s">
        <v>961</v>
      </c>
    </row>
    <row r="288" spans="1:9" ht="30" customHeight="1" x14ac:dyDescent="0.25">
      <c r="A288" s="6">
        <v>556</v>
      </c>
      <c r="B288" s="14">
        <v>46107</v>
      </c>
      <c r="C288" s="6" t="s">
        <v>975</v>
      </c>
      <c r="D288" s="6" t="s">
        <v>211</v>
      </c>
      <c r="E288" s="6" t="s">
        <v>1918</v>
      </c>
      <c r="F288" s="6" t="s">
        <v>35</v>
      </c>
      <c r="G288" s="17" t="s">
        <v>977</v>
      </c>
      <c r="H288" s="17" t="s">
        <v>1916</v>
      </c>
      <c r="I288" s="17" t="s">
        <v>978</v>
      </c>
    </row>
    <row r="289" spans="1:9" ht="30" customHeight="1" x14ac:dyDescent="0.25">
      <c r="A289" s="6">
        <v>557</v>
      </c>
      <c r="B289" s="14">
        <v>46107</v>
      </c>
      <c r="C289" s="6" t="s">
        <v>963</v>
      </c>
      <c r="D289" s="6" t="s">
        <v>313</v>
      </c>
      <c r="E289" s="6" t="s">
        <v>1918</v>
      </c>
      <c r="F289" s="6" t="s">
        <v>38</v>
      </c>
      <c r="G289" s="17" t="s">
        <v>3</v>
      </c>
      <c r="H289" s="17" t="s">
        <v>1916</v>
      </c>
      <c r="I289" s="17" t="s">
        <v>964</v>
      </c>
    </row>
    <row r="290" spans="1:9" ht="30" customHeight="1" x14ac:dyDescent="0.25">
      <c r="A290" s="6">
        <v>558</v>
      </c>
      <c r="B290" s="14">
        <v>46107</v>
      </c>
      <c r="C290" s="6" t="s">
        <v>966</v>
      </c>
      <c r="D290" s="6" t="s">
        <v>673</v>
      </c>
      <c r="E290" s="6" t="s">
        <v>1918</v>
      </c>
      <c r="F290" s="6" t="s">
        <v>45</v>
      </c>
      <c r="G290" s="17" t="s">
        <v>967</v>
      </c>
      <c r="H290" s="17" t="s">
        <v>1916</v>
      </c>
      <c r="I290" s="17" t="s">
        <v>968</v>
      </c>
    </row>
    <row r="291" spans="1:9" ht="30" customHeight="1" x14ac:dyDescent="0.25">
      <c r="A291" s="6">
        <v>559</v>
      </c>
      <c r="B291" s="14">
        <v>46107</v>
      </c>
      <c r="C291" s="6" t="s">
        <v>971</v>
      </c>
      <c r="D291" s="6" t="s">
        <v>673</v>
      </c>
      <c r="E291" s="6" t="s">
        <v>1918</v>
      </c>
      <c r="F291" s="6" t="s">
        <v>156</v>
      </c>
      <c r="G291" s="17" t="s">
        <v>972</v>
      </c>
      <c r="H291" s="17" t="s">
        <v>1916</v>
      </c>
      <c r="I291" s="17" t="s">
        <v>973</v>
      </c>
    </row>
    <row r="292" spans="1:9" ht="30" customHeight="1" x14ac:dyDescent="0.25">
      <c r="A292" s="6">
        <v>560</v>
      </c>
      <c r="B292" s="14">
        <v>46107</v>
      </c>
      <c r="C292" s="6" t="s">
        <v>2128</v>
      </c>
      <c r="D292" s="6" t="s">
        <v>673</v>
      </c>
      <c r="E292" s="6" t="s">
        <v>1949</v>
      </c>
      <c r="F292" s="6" t="s">
        <v>87</v>
      </c>
      <c r="G292" s="17" t="s">
        <v>3</v>
      </c>
      <c r="H292" s="17" t="s">
        <v>1916</v>
      </c>
      <c r="I292" s="17" t="s">
        <v>87</v>
      </c>
    </row>
    <row r="293" spans="1:9" ht="30" customHeight="1" x14ac:dyDescent="0.25">
      <c r="A293" s="6">
        <v>561</v>
      </c>
      <c r="B293" s="14">
        <v>46108</v>
      </c>
      <c r="C293" s="6" t="s">
        <v>994</v>
      </c>
      <c r="D293" s="6" t="s">
        <v>211</v>
      </c>
      <c r="E293" s="6" t="s">
        <v>1918</v>
      </c>
      <c r="F293" s="6" t="s">
        <v>35</v>
      </c>
      <c r="G293" s="17" t="s">
        <v>995</v>
      </c>
      <c r="H293" s="17" t="s">
        <v>1916</v>
      </c>
      <c r="I293" s="17" t="s">
        <v>996</v>
      </c>
    </row>
    <row r="294" spans="1:9" ht="30" customHeight="1" x14ac:dyDescent="0.25">
      <c r="A294" s="6">
        <v>562</v>
      </c>
      <c r="B294" s="14">
        <v>46108</v>
      </c>
      <c r="C294" s="6" t="s">
        <v>983</v>
      </c>
      <c r="D294" s="6" t="s">
        <v>228</v>
      </c>
      <c r="E294" s="6" t="s">
        <v>1918</v>
      </c>
      <c r="F294" s="6" t="s">
        <v>47</v>
      </c>
      <c r="G294" s="17" t="s">
        <v>3</v>
      </c>
      <c r="H294" s="17" t="s">
        <v>1916</v>
      </c>
      <c r="I294" s="17" t="s">
        <v>984</v>
      </c>
    </row>
    <row r="295" spans="1:9" ht="30" customHeight="1" x14ac:dyDescent="0.25">
      <c r="A295" s="6">
        <v>563</v>
      </c>
      <c r="B295" s="14">
        <v>46108</v>
      </c>
      <c r="C295" s="6" t="s">
        <v>980</v>
      </c>
      <c r="D295" s="6" t="s">
        <v>313</v>
      </c>
      <c r="E295" s="6" t="s">
        <v>1918</v>
      </c>
      <c r="F295" s="6" t="s">
        <v>130</v>
      </c>
      <c r="G295" s="17" t="s">
        <v>3</v>
      </c>
      <c r="H295" s="17" t="s">
        <v>1916</v>
      </c>
      <c r="I295" s="17" t="s">
        <v>981</v>
      </c>
    </row>
    <row r="296" spans="1:9" ht="30" customHeight="1" x14ac:dyDescent="0.25">
      <c r="A296" s="6">
        <v>564</v>
      </c>
      <c r="B296" s="14">
        <v>46108</v>
      </c>
      <c r="C296" s="6" t="s">
        <v>986</v>
      </c>
      <c r="D296" s="6" t="s">
        <v>673</v>
      </c>
      <c r="E296" s="6" t="s">
        <v>1918</v>
      </c>
      <c r="F296" s="6" t="s">
        <v>69</v>
      </c>
      <c r="G296" s="17" t="s">
        <v>988</v>
      </c>
      <c r="H296" s="17" t="s">
        <v>1916</v>
      </c>
      <c r="I296" s="17" t="s">
        <v>989</v>
      </c>
    </row>
    <row r="297" spans="1:9" ht="30" customHeight="1" x14ac:dyDescent="0.25">
      <c r="A297" s="6">
        <v>565</v>
      </c>
      <c r="B297" s="14">
        <v>46109</v>
      </c>
      <c r="C297" s="6" t="s">
        <v>998</v>
      </c>
      <c r="D297" s="6" t="s">
        <v>211</v>
      </c>
      <c r="E297" s="6" t="s">
        <v>1918</v>
      </c>
      <c r="F297" s="6" t="s">
        <v>38</v>
      </c>
      <c r="G297" s="17" t="s">
        <v>3</v>
      </c>
      <c r="H297" s="17" t="s">
        <v>1916</v>
      </c>
      <c r="I297" s="17" t="s">
        <v>999</v>
      </c>
    </row>
    <row r="298" spans="1:9" ht="30" customHeight="1" x14ac:dyDescent="0.25">
      <c r="A298" s="6">
        <v>566</v>
      </c>
      <c r="B298" s="14">
        <v>46109</v>
      </c>
      <c r="C298" s="6" t="s">
        <v>1001</v>
      </c>
      <c r="D298" s="6" t="s">
        <v>313</v>
      </c>
      <c r="E298" s="6" t="s">
        <v>1918</v>
      </c>
      <c r="F298" s="6" t="s">
        <v>35</v>
      </c>
      <c r="G298" s="17" t="s">
        <v>1002</v>
      </c>
      <c r="H298" s="17" t="s">
        <v>1916</v>
      </c>
      <c r="I298" s="17" t="s">
        <v>1003</v>
      </c>
    </row>
    <row r="299" spans="1:9" ht="30" customHeight="1" x14ac:dyDescent="0.25">
      <c r="A299" s="6">
        <v>567</v>
      </c>
      <c r="B299" s="14">
        <v>46111</v>
      </c>
      <c r="C299" s="6" t="s">
        <v>1005</v>
      </c>
      <c r="D299" s="6" t="s">
        <v>228</v>
      </c>
      <c r="E299" s="6" t="s">
        <v>1918</v>
      </c>
      <c r="F299" s="6" t="s">
        <v>47</v>
      </c>
      <c r="G299" s="17" t="s">
        <v>3</v>
      </c>
      <c r="H299" s="17" t="s">
        <v>1916</v>
      </c>
      <c r="I299" s="17" t="s">
        <v>1006</v>
      </c>
    </row>
    <row r="300" spans="1:9" ht="30" customHeight="1" x14ac:dyDescent="0.25">
      <c r="A300" s="6">
        <v>568</v>
      </c>
      <c r="B300" s="14">
        <v>46111</v>
      </c>
      <c r="C300" s="6" t="s">
        <v>2129</v>
      </c>
      <c r="D300" s="6" t="s">
        <v>812</v>
      </c>
      <c r="E300" s="6" t="s">
        <v>1949</v>
      </c>
      <c r="F300" s="6" t="s">
        <v>45</v>
      </c>
      <c r="G300" s="17" t="s">
        <v>3</v>
      </c>
      <c r="H300" s="17" t="s">
        <v>1916</v>
      </c>
      <c r="I300" s="17" t="s">
        <v>3</v>
      </c>
    </row>
    <row r="301" spans="1:9" ht="30" customHeight="1" x14ac:dyDescent="0.25">
      <c r="A301" s="6">
        <v>569</v>
      </c>
      <c r="B301" s="14">
        <v>46111</v>
      </c>
      <c r="C301" s="6" t="s">
        <v>2130</v>
      </c>
      <c r="D301" s="6" t="s">
        <v>812</v>
      </c>
      <c r="E301" s="6" t="s">
        <v>1931</v>
      </c>
      <c r="F301" s="6" t="s">
        <v>45</v>
      </c>
      <c r="G301" s="17" t="s">
        <v>2131</v>
      </c>
      <c r="H301" s="17" t="s">
        <v>1916</v>
      </c>
      <c r="I301" s="17" t="s">
        <v>2132</v>
      </c>
    </row>
    <row r="302" spans="1:9" ht="30" customHeight="1" x14ac:dyDescent="0.25">
      <c r="A302" s="6">
        <v>570</v>
      </c>
      <c r="B302" s="14">
        <v>46111</v>
      </c>
      <c r="C302" s="6" t="s">
        <v>2130</v>
      </c>
      <c r="D302" s="6" t="s">
        <v>812</v>
      </c>
      <c r="E302" s="6" t="s">
        <v>1931</v>
      </c>
      <c r="F302" s="6" t="s">
        <v>45</v>
      </c>
      <c r="G302" s="17" t="s">
        <v>2133</v>
      </c>
      <c r="H302" s="17" t="s">
        <v>1916</v>
      </c>
      <c r="I302" s="17" t="s">
        <v>2134</v>
      </c>
    </row>
    <row r="303" spans="1:9" ht="30" customHeight="1" x14ac:dyDescent="0.25">
      <c r="A303" s="6">
        <v>571</v>
      </c>
      <c r="B303" s="14">
        <v>46111</v>
      </c>
      <c r="C303" s="6" t="s">
        <v>2135</v>
      </c>
      <c r="D303" s="6" t="s">
        <v>812</v>
      </c>
      <c r="E303" s="6" t="s">
        <v>1949</v>
      </c>
      <c r="F303" s="6" t="s">
        <v>35</v>
      </c>
      <c r="G303" s="17" t="s">
        <v>3</v>
      </c>
      <c r="H303" s="17" t="s">
        <v>1919</v>
      </c>
      <c r="I303" s="17" t="s">
        <v>2136</v>
      </c>
    </row>
    <row r="304" spans="1:9" ht="30" customHeight="1" x14ac:dyDescent="0.25">
      <c r="A304" s="6">
        <v>572</v>
      </c>
      <c r="B304" s="14">
        <v>46111</v>
      </c>
      <c r="C304" s="6" t="s">
        <v>1250</v>
      </c>
      <c r="D304" s="6" t="s">
        <v>313</v>
      </c>
      <c r="E304" s="6" t="s">
        <v>1918</v>
      </c>
      <c r="F304" s="6" t="s">
        <v>40</v>
      </c>
      <c r="G304" s="17" t="s">
        <v>1251</v>
      </c>
      <c r="H304" s="17" t="s">
        <v>1916</v>
      </c>
      <c r="I304" s="17" t="s">
        <v>1252</v>
      </c>
    </row>
    <row r="305" spans="1:9" ht="30" customHeight="1" x14ac:dyDescent="0.25">
      <c r="A305" s="6">
        <v>573</v>
      </c>
      <c r="B305" s="14">
        <v>46112</v>
      </c>
      <c r="C305" s="6" t="s">
        <v>1016</v>
      </c>
      <c r="D305" s="6" t="s">
        <v>228</v>
      </c>
      <c r="E305" s="6" t="s">
        <v>1918</v>
      </c>
      <c r="F305" s="6" t="s">
        <v>47</v>
      </c>
      <c r="G305" s="17" t="s">
        <v>3</v>
      </c>
      <c r="H305" s="17" t="s">
        <v>1916</v>
      </c>
      <c r="I305" s="17" t="s">
        <v>1017</v>
      </c>
    </row>
    <row r="306" spans="1:9" ht="30" customHeight="1" x14ac:dyDescent="0.25">
      <c r="A306" s="6">
        <v>574</v>
      </c>
      <c r="B306" s="14">
        <v>46112</v>
      </c>
      <c r="C306" s="6" t="s">
        <v>1019</v>
      </c>
      <c r="D306" s="6" t="s">
        <v>211</v>
      </c>
      <c r="E306" s="6" t="s">
        <v>1918</v>
      </c>
      <c r="F306" s="6" t="s">
        <v>35</v>
      </c>
      <c r="G306" s="17" t="s">
        <v>1020</v>
      </c>
      <c r="H306" s="17" t="s">
        <v>1916</v>
      </c>
      <c r="I306" s="17" t="s">
        <v>1021</v>
      </c>
    </row>
    <row r="307" spans="1:9" ht="30" customHeight="1" x14ac:dyDescent="0.25">
      <c r="A307" s="6">
        <v>575</v>
      </c>
      <c r="B307" s="14">
        <v>46112</v>
      </c>
      <c r="C307" s="6" t="s">
        <v>1008</v>
      </c>
      <c r="D307" s="6" t="s">
        <v>313</v>
      </c>
      <c r="E307" s="6" t="s">
        <v>1949</v>
      </c>
      <c r="F307" s="6" t="s">
        <v>45</v>
      </c>
      <c r="G307" s="17" t="s">
        <v>3</v>
      </c>
      <c r="H307" s="17" t="s">
        <v>1916</v>
      </c>
      <c r="I307" s="17" t="s">
        <v>3</v>
      </c>
    </row>
    <row r="308" spans="1:9" ht="30" customHeight="1" x14ac:dyDescent="0.25">
      <c r="A308" s="6">
        <v>576</v>
      </c>
      <c r="B308" s="14">
        <v>46112</v>
      </c>
      <c r="C308" s="6" t="s">
        <v>1008</v>
      </c>
      <c r="D308" s="6" t="s">
        <v>313</v>
      </c>
      <c r="E308" s="6" t="s">
        <v>1918</v>
      </c>
      <c r="F308" s="6" t="s">
        <v>87</v>
      </c>
      <c r="G308" s="17" t="s">
        <v>2137</v>
      </c>
      <c r="H308" s="17" t="s">
        <v>1916</v>
      </c>
      <c r="I308" s="17" t="s">
        <v>1011</v>
      </c>
    </row>
    <row r="309" spans="1:9" ht="30" customHeight="1" x14ac:dyDescent="0.25">
      <c r="A309" s="6">
        <v>577</v>
      </c>
      <c r="B309" s="14">
        <v>46112</v>
      </c>
      <c r="C309" s="6" t="s">
        <v>2138</v>
      </c>
      <c r="D309" s="6" t="s">
        <v>313</v>
      </c>
      <c r="E309" s="6" t="s">
        <v>1953</v>
      </c>
      <c r="F309" s="6" t="s">
        <v>45</v>
      </c>
      <c r="G309" s="17" t="s">
        <v>2139</v>
      </c>
      <c r="H309" s="17" t="s">
        <v>1916</v>
      </c>
      <c r="I309" s="17" t="s">
        <v>2140</v>
      </c>
    </row>
    <row r="310" spans="1:9" ht="30" customHeight="1" x14ac:dyDescent="0.25">
      <c r="A310" s="6">
        <v>578</v>
      </c>
      <c r="B310" s="14">
        <v>46112</v>
      </c>
      <c r="C310" s="6" t="s">
        <v>1013</v>
      </c>
      <c r="D310" s="6" t="s">
        <v>313</v>
      </c>
      <c r="E310" s="6" t="s">
        <v>1918</v>
      </c>
      <c r="F310" s="6" t="s">
        <v>45</v>
      </c>
      <c r="G310" s="17" t="s">
        <v>3</v>
      </c>
      <c r="H310" s="17" t="s">
        <v>1916</v>
      </c>
      <c r="I310" s="17" t="s">
        <v>1014</v>
      </c>
    </row>
    <row r="311" spans="1:9" ht="30" customHeight="1" x14ac:dyDescent="0.25">
      <c r="A311" s="6">
        <v>579</v>
      </c>
      <c r="B311" s="14">
        <v>46113</v>
      </c>
      <c r="C311" s="6" t="s">
        <v>1027</v>
      </c>
      <c r="D311" s="6" t="s">
        <v>211</v>
      </c>
      <c r="E311" s="6" t="s">
        <v>1918</v>
      </c>
      <c r="F311" s="6" t="s">
        <v>35</v>
      </c>
      <c r="G311" s="17" t="s">
        <v>1028</v>
      </c>
      <c r="H311" s="17" t="s">
        <v>1916</v>
      </c>
      <c r="I311" s="17" t="s">
        <v>1029</v>
      </c>
    </row>
    <row r="312" spans="1:9" ht="30" customHeight="1" x14ac:dyDescent="0.25">
      <c r="A312" s="6">
        <v>580</v>
      </c>
      <c r="B312" s="14">
        <v>46113</v>
      </c>
      <c r="C312" s="6" t="s">
        <v>1023</v>
      </c>
      <c r="D312" s="6" t="s">
        <v>313</v>
      </c>
      <c r="E312" s="6" t="s">
        <v>1918</v>
      </c>
      <c r="F312" s="6" t="s">
        <v>87</v>
      </c>
      <c r="G312" s="17" t="s">
        <v>1024</v>
      </c>
      <c r="H312" s="17" t="s">
        <v>1916</v>
      </c>
      <c r="I312" s="17" t="s">
        <v>1025</v>
      </c>
    </row>
    <row r="313" spans="1:9" ht="30" customHeight="1" x14ac:dyDescent="0.25">
      <c r="A313" s="6">
        <v>581</v>
      </c>
      <c r="B313" s="14">
        <v>46114</v>
      </c>
      <c r="C313" s="6" t="s">
        <v>1031</v>
      </c>
      <c r="D313" s="6" t="s">
        <v>211</v>
      </c>
      <c r="E313" s="6" t="s">
        <v>1918</v>
      </c>
      <c r="F313" s="6" t="s">
        <v>113</v>
      </c>
      <c r="G313" s="17" t="s">
        <v>3</v>
      </c>
      <c r="H313" s="17" t="s">
        <v>1916</v>
      </c>
      <c r="I313" s="17" t="s">
        <v>1032</v>
      </c>
    </row>
    <row r="314" spans="1:9" ht="30" customHeight="1" x14ac:dyDescent="0.25">
      <c r="A314" s="6">
        <v>582</v>
      </c>
      <c r="B314" s="14">
        <v>46114</v>
      </c>
      <c r="C314" s="6" t="s">
        <v>1037</v>
      </c>
      <c r="D314" s="6" t="s">
        <v>228</v>
      </c>
      <c r="E314" s="6" t="s">
        <v>1918</v>
      </c>
      <c r="F314" s="6" t="s">
        <v>47</v>
      </c>
      <c r="G314" s="17" t="s">
        <v>3</v>
      </c>
      <c r="H314" s="17" t="s">
        <v>1916</v>
      </c>
      <c r="I314" s="17" t="s">
        <v>1038</v>
      </c>
    </row>
    <row r="315" spans="1:9" ht="30" customHeight="1" x14ac:dyDescent="0.25">
      <c r="A315" s="6">
        <v>583</v>
      </c>
      <c r="B315" s="14">
        <v>46114</v>
      </c>
      <c r="C315" s="6" t="s">
        <v>1034</v>
      </c>
      <c r="D315" s="6" t="s">
        <v>313</v>
      </c>
      <c r="E315" s="6" t="s">
        <v>1918</v>
      </c>
      <c r="F315" s="6" t="s">
        <v>38</v>
      </c>
      <c r="G315" s="17" t="s">
        <v>3</v>
      </c>
      <c r="H315" s="17" t="s">
        <v>1916</v>
      </c>
      <c r="I315" s="17" t="s">
        <v>1035</v>
      </c>
    </row>
    <row r="316" spans="1:9" ht="30" customHeight="1" x14ac:dyDescent="0.25">
      <c r="A316" s="6">
        <v>584</v>
      </c>
      <c r="B316" s="14">
        <v>46119</v>
      </c>
      <c r="C316" s="6" t="s">
        <v>1042</v>
      </c>
      <c r="D316" s="6" t="s">
        <v>228</v>
      </c>
      <c r="E316" s="6" t="s">
        <v>1918</v>
      </c>
      <c r="F316" s="6" t="s">
        <v>47</v>
      </c>
      <c r="G316" s="17" t="s">
        <v>3</v>
      </c>
      <c r="H316" s="17" t="s">
        <v>1916</v>
      </c>
      <c r="I316" s="17" t="s">
        <v>1043</v>
      </c>
    </row>
    <row r="317" spans="1:9" ht="30" customHeight="1" x14ac:dyDescent="0.25">
      <c r="A317" s="6">
        <v>585</v>
      </c>
      <c r="B317" s="14">
        <v>46120</v>
      </c>
      <c r="C317" s="6" t="s">
        <v>1058</v>
      </c>
      <c r="D317" s="6" t="s">
        <v>812</v>
      </c>
      <c r="E317" s="6" t="s">
        <v>1918</v>
      </c>
      <c r="F317" s="6" t="s">
        <v>56</v>
      </c>
      <c r="G317" s="17" t="s">
        <v>1061</v>
      </c>
      <c r="H317" s="17" t="s">
        <v>1916</v>
      </c>
      <c r="I317" s="17" t="s">
        <v>1062</v>
      </c>
    </row>
    <row r="318" spans="1:9" ht="30" customHeight="1" x14ac:dyDescent="0.25">
      <c r="A318" s="6">
        <v>586</v>
      </c>
      <c r="B318" s="14">
        <v>46120</v>
      </c>
      <c r="C318" s="6" t="s">
        <v>2141</v>
      </c>
      <c r="D318" s="6" t="s">
        <v>265</v>
      </c>
      <c r="E318" s="6" t="s">
        <v>1949</v>
      </c>
      <c r="F318" s="6" t="s">
        <v>2142</v>
      </c>
      <c r="G318" s="17" t="s">
        <v>3</v>
      </c>
      <c r="H318" s="17" t="s">
        <v>1916</v>
      </c>
      <c r="I318" s="17" t="s">
        <v>2142</v>
      </c>
    </row>
    <row r="319" spans="1:9" ht="30" customHeight="1" x14ac:dyDescent="0.25">
      <c r="A319" s="6">
        <v>587</v>
      </c>
      <c r="B319" s="14">
        <v>46120</v>
      </c>
      <c r="C319" s="6" t="s">
        <v>1052</v>
      </c>
      <c r="D319" s="6" t="s">
        <v>812</v>
      </c>
      <c r="E319" s="6" t="s">
        <v>1918</v>
      </c>
      <c r="F319" s="6" t="s">
        <v>150</v>
      </c>
      <c r="G319" s="17" t="s">
        <v>3</v>
      </c>
      <c r="H319" s="17" t="s">
        <v>1919</v>
      </c>
      <c r="I319" s="17" t="s">
        <v>1053</v>
      </c>
    </row>
    <row r="320" spans="1:9" ht="30" customHeight="1" x14ac:dyDescent="0.25">
      <c r="A320" s="6">
        <v>588</v>
      </c>
      <c r="B320" s="14">
        <v>46121</v>
      </c>
      <c r="C320" s="6" t="s">
        <v>1055</v>
      </c>
      <c r="D320" s="6" t="s">
        <v>205</v>
      </c>
      <c r="E320" s="6" t="s">
        <v>1918</v>
      </c>
      <c r="F320" s="6" t="s">
        <v>35</v>
      </c>
      <c r="G320" s="17" t="s">
        <v>3</v>
      </c>
      <c r="H320" s="17" t="s">
        <v>1916</v>
      </c>
      <c r="I320" s="17" t="s">
        <v>1056</v>
      </c>
    </row>
    <row r="321" spans="1:9" ht="30" customHeight="1" x14ac:dyDescent="0.25">
      <c r="A321" s="6">
        <v>589</v>
      </c>
      <c r="B321" s="14">
        <v>46121</v>
      </c>
      <c r="C321" s="6" t="s">
        <v>1064</v>
      </c>
      <c r="D321" s="6" t="s">
        <v>211</v>
      </c>
      <c r="E321" s="6" t="s">
        <v>1918</v>
      </c>
      <c r="F321" s="6" t="s">
        <v>35</v>
      </c>
      <c r="G321" s="17" t="s">
        <v>1065</v>
      </c>
      <c r="H321" s="17" t="s">
        <v>1916</v>
      </c>
      <c r="I321" s="17" t="s">
        <v>1066</v>
      </c>
    </row>
    <row r="322" spans="1:9" ht="30" customHeight="1" x14ac:dyDescent="0.25">
      <c r="A322" s="6">
        <v>590</v>
      </c>
      <c r="B322" s="14">
        <v>46121</v>
      </c>
      <c r="C322" s="6" t="s">
        <v>1069</v>
      </c>
      <c r="D322" s="6" t="s">
        <v>205</v>
      </c>
      <c r="E322" s="6" t="s">
        <v>1918</v>
      </c>
      <c r="F322" s="6" t="s">
        <v>35</v>
      </c>
      <c r="G322" s="17" t="s">
        <v>3</v>
      </c>
      <c r="H322" s="17" t="s">
        <v>1916</v>
      </c>
      <c r="I322" s="17" t="s">
        <v>1070</v>
      </c>
    </row>
    <row r="323" spans="1:9" ht="30" customHeight="1" x14ac:dyDescent="0.25">
      <c r="A323" s="6">
        <v>591</v>
      </c>
      <c r="B323" s="14">
        <v>46121</v>
      </c>
      <c r="C323" s="6" t="s">
        <v>1045</v>
      </c>
      <c r="D323" s="6" t="s">
        <v>313</v>
      </c>
      <c r="E323" s="6" t="s">
        <v>1949</v>
      </c>
      <c r="F323" s="6" t="s">
        <v>45</v>
      </c>
      <c r="G323" s="17" t="s">
        <v>3</v>
      </c>
      <c r="H323" s="17" t="s">
        <v>1916</v>
      </c>
      <c r="I323" s="17" t="s">
        <v>3</v>
      </c>
    </row>
    <row r="324" spans="1:9" ht="30" customHeight="1" x14ac:dyDescent="0.25">
      <c r="A324" s="6">
        <v>592</v>
      </c>
      <c r="B324" s="14">
        <v>46121</v>
      </c>
      <c r="C324" s="6" t="s">
        <v>1045</v>
      </c>
      <c r="D324" s="6" t="s">
        <v>313</v>
      </c>
      <c r="E324" s="6" t="s">
        <v>1918</v>
      </c>
      <c r="F324" s="6" t="s">
        <v>62</v>
      </c>
      <c r="G324" s="17" t="s">
        <v>2143</v>
      </c>
      <c r="H324" s="17" t="s">
        <v>1916</v>
      </c>
      <c r="I324" s="17" t="s">
        <v>1047</v>
      </c>
    </row>
    <row r="325" spans="1:9" ht="30" customHeight="1" x14ac:dyDescent="0.25">
      <c r="A325" s="6">
        <v>593</v>
      </c>
      <c r="B325" s="14">
        <v>46121</v>
      </c>
      <c r="C325" s="6" t="s">
        <v>2144</v>
      </c>
      <c r="D325" s="6" t="s">
        <v>313</v>
      </c>
      <c r="E325" s="6" t="s">
        <v>1953</v>
      </c>
      <c r="F325" s="6" t="s">
        <v>45</v>
      </c>
      <c r="G325" s="17" t="s">
        <v>2145</v>
      </c>
      <c r="H325" s="17" t="s">
        <v>1916</v>
      </c>
      <c r="I325" s="17" t="s">
        <v>2146</v>
      </c>
    </row>
    <row r="326" spans="1:9" ht="30" customHeight="1" x14ac:dyDescent="0.25">
      <c r="A326" s="6">
        <v>594</v>
      </c>
      <c r="B326" s="14">
        <v>46121</v>
      </c>
      <c r="C326" s="6" t="s">
        <v>1049</v>
      </c>
      <c r="D326" s="6" t="s">
        <v>313</v>
      </c>
      <c r="E326" s="6" t="s">
        <v>1918</v>
      </c>
      <c r="F326" s="6" t="s">
        <v>94</v>
      </c>
      <c r="G326" s="17" t="s">
        <v>3</v>
      </c>
      <c r="H326" s="17" t="s">
        <v>1916</v>
      </c>
      <c r="I326" s="17" t="s">
        <v>1050</v>
      </c>
    </row>
    <row r="327" spans="1:9" ht="30" customHeight="1" x14ac:dyDescent="0.25">
      <c r="A327" s="6">
        <v>595</v>
      </c>
      <c r="B327" s="14">
        <v>46122</v>
      </c>
      <c r="C327" s="6" t="s">
        <v>2147</v>
      </c>
      <c r="D327" s="6" t="s">
        <v>812</v>
      </c>
      <c r="E327" s="6" t="s">
        <v>1931</v>
      </c>
      <c r="F327" s="6" t="s">
        <v>2148</v>
      </c>
      <c r="G327" s="17" t="s">
        <v>2149</v>
      </c>
      <c r="H327" s="17" t="s">
        <v>1916</v>
      </c>
      <c r="I327" s="17" t="s">
        <v>2150</v>
      </c>
    </row>
    <row r="328" spans="1:9" ht="30" customHeight="1" x14ac:dyDescent="0.25">
      <c r="A328" s="6">
        <v>596</v>
      </c>
      <c r="B328" s="14">
        <v>46122</v>
      </c>
      <c r="C328" s="6" t="s">
        <v>1072</v>
      </c>
      <c r="D328" s="6" t="s">
        <v>205</v>
      </c>
      <c r="E328" s="6" t="s">
        <v>1918</v>
      </c>
      <c r="F328" s="6" t="s">
        <v>70</v>
      </c>
      <c r="G328" s="17" t="s">
        <v>3</v>
      </c>
      <c r="H328" s="17" t="s">
        <v>1916</v>
      </c>
      <c r="I328" s="17" t="s">
        <v>1073</v>
      </c>
    </row>
    <row r="329" spans="1:9" ht="30" customHeight="1" x14ac:dyDescent="0.25">
      <c r="A329" s="6">
        <v>597</v>
      </c>
      <c r="B329" s="14">
        <v>46122</v>
      </c>
      <c r="C329" s="6" t="s">
        <v>1075</v>
      </c>
      <c r="D329" s="6" t="s">
        <v>211</v>
      </c>
      <c r="E329" s="6" t="s">
        <v>1918</v>
      </c>
      <c r="F329" s="6" t="s">
        <v>35</v>
      </c>
      <c r="G329" s="17" t="s">
        <v>1076</v>
      </c>
      <c r="H329" s="17" t="s">
        <v>1916</v>
      </c>
      <c r="I329" s="17" t="s">
        <v>1077</v>
      </c>
    </row>
    <row r="330" spans="1:9" ht="30" customHeight="1" x14ac:dyDescent="0.25">
      <c r="A330" s="6">
        <v>598</v>
      </c>
      <c r="B330" s="14">
        <v>46123</v>
      </c>
      <c r="C330" s="6" t="s">
        <v>1082</v>
      </c>
      <c r="D330" s="6" t="s">
        <v>812</v>
      </c>
      <c r="E330" s="6" t="s">
        <v>1918</v>
      </c>
      <c r="F330" s="6" t="s">
        <v>95</v>
      </c>
      <c r="G330" s="17" t="s">
        <v>3</v>
      </c>
      <c r="H330" s="17" t="s">
        <v>1916</v>
      </c>
      <c r="I330" s="17" t="s">
        <v>1084</v>
      </c>
    </row>
    <row r="331" spans="1:9" ht="30" customHeight="1" x14ac:dyDescent="0.25">
      <c r="A331" s="6">
        <v>599</v>
      </c>
      <c r="B331" s="14">
        <v>46123</v>
      </c>
      <c r="C331" s="6" t="s">
        <v>1091</v>
      </c>
      <c r="D331" s="6" t="s">
        <v>211</v>
      </c>
      <c r="E331" s="6" t="s">
        <v>1918</v>
      </c>
      <c r="F331" s="6" t="s">
        <v>35</v>
      </c>
      <c r="G331" s="17" t="s">
        <v>1092</v>
      </c>
      <c r="H331" s="17" t="s">
        <v>1916</v>
      </c>
      <c r="I331" s="17" t="s">
        <v>1093</v>
      </c>
    </row>
    <row r="332" spans="1:9" ht="30" customHeight="1" x14ac:dyDescent="0.25">
      <c r="A332" s="6">
        <v>600</v>
      </c>
      <c r="B332" s="14">
        <v>46123</v>
      </c>
      <c r="C332" s="6" t="s">
        <v>1086</v>
      </c>
      <c r="D332" s="6" t="s">
        <v>313</v>
      </c>
      <c r="E332" s="6" t="s">
        <v>1918</v>
      </c>
      <c r="F332" s="6" t="s">
        <v>157</v>
      </c>
      <c r="G332" s="17" t="s">
        <v>3</v>
      </c>
      <c r="H332" s="17" t="s">
        <v>1916</v>
      </c>
      <c r="I332" s="17" t="s">
        <v>1089</v>
      </c>
    </row>
    <row r="333" spans="1:9" ht="30" customHeight="1" x14ac:dyDescent="0.25">
      <c r="A333" s="6">
        <v>601</v>
      </c>
      <c r="B333" s="14">
        <v>46124</v>
      </c>
      <c r="C333" s="6" t="s">
        <v>1095</v>
      </c>
      <c r="D333" s="6" t="s">
        <v>812</v>
      </c>
      <c r="E333" s="6" t="s">
        <v>1918</v>
      </c>
      <c r="F333" s="6" t="s">
        <v>95</v>
      </c>
      <c r="G333" s="17" t="s">
        <v>3</v>
      </c>
      <c r="H333" s="17" t="s">
        <v>1916</v>
      </c>
      <c r="I333" s="17" t="s">
        <v>1096</v>
      </c>
    </row>
    <row r="334" spans="1:9" ht="30" customHeight="1" x14ac:dyDescent="0.25">
      <c r="A334" s="6">
        <v>602</v>
      </c>
      <c r="B334" s="14">
        <v>46125</v>
      </c>
      <c r="C334" s="6" t="s">
        <v>1101</v>
      </c>
      <c r="D334" s="6" t="s">
        <v>313</v>
      </c>
      <c r="E334" s="6" t="s">
        <v>1918</v>
      </c>
      <c r="F334" s="6" t="s">
        <v>62</v>
      </c>
      <c r="G334" s="17" t="s">
        <v>3</v>
      </c>
      <c r="H334" s="17" t="s">
        <v>1916</v>
      </c>
      <c r="I334" s="17" t="s">
        <v>1103</v>
      </c>
    </row>
    <row r="335" spans="1:9" ht="30" customHeight="1" x14ac:dyDescent="0.25">
      <c r="A335" s="6">
        <v>603</v>
      </c>
      <c r="B335" s="14">
        <v>46125</v>
      </c>
      <c r="C335" s="6" t="s">
        <v>1107</v>
      </c>
      <c r="D335" s="6" t="s">
        <v>211</v>
      </c>
      <c r="E335" s="6" t="s">
        <v>1918</v>
      </c>
      <c r="F335" s="6" t="s">
        <v>35</v>
      </c>
      <c r="G335" s="17" t="s">
        <v>3</v>
      </c>
      <c r="H335" s="17" t="s">
        <v>1919</v>
      </c>
      <c r="I335" s="17" t="s">
        <v>1108</v>
      </c>
    </row>
    <row r="336" spans="1:9" ht="30" customHeight="1" x14ac:dyDescent="0.25">
      <c r="A336" s="6">
        <v>604</v>
      </c>
      <c r="B336" s="14">
        <v>46125</v>
      </c>
      <c r="C336" s="6" t="s">
        <v>1079</v>
      </c>
      <c r="D336" s="6" t="s">
        <v>313</v>
      </c>
      <c r="E336" s="6" t="s">
        <v>1918</v>
      </c>
      <c r="F336" s="6" t="s">
        <v>134</v>
      </c>
      <c r="G336" s="17" t="s">
        <v>3</v>
      </c>
      <c r="H336" s="17" t="s">
        <v>1916</v>
      </c>
      <c r="I336" s="17" t="s">
        <v>1080</v>
      </c>
    </row>
    <row r="337" spans="1:9" ht="30" customHeight="1" x14ac:dyDescent="0.25">
      <c r="A337" s="6">
        <v>605</v>
      </c>
      <c r="B337" s="14">
        <v>46126</v>
      </c>
      <c r="C337" s="6" t="s">
        <v>1098</v>
      </c>
      <c r="D337" s="6" t="s">
        <v>205</v>
      </c>
      <c r="E337" s="6" t="s">
        <v>1918</v>
      </c>
      <c r="F337" s="6" t="s">
        <v>155</v>
      </c>
      <c r="G337" s="17" t="s">
        <v>3</v>
      </c>
      <c r="H337" s="17" t="s">
        <v>1916</v>
      </c>
      <c r="I337" s="17" t="s">
        <v>1099</v>
      </c>
    </row>
    <row r="338" spans="1:9" ht="30" customHeight="1" x14ac:dyDescent="0.25">
      <c r="A338" s="6">
        <v>606</v>
      </c>
      <c r="B338" s="14">
        <v>46126</v>
      </c>
      <c r="C338" s="6" t="s">
        <v>1112</v>
      </c>
      <c r="D338" s="6" t="s">
        <v>313</v>
      </c>
      <c r="E338" s="6" t="s">
        <v>1918</v>
      </c>
      <c r="F338" s="6" t="s">
        <v>94</v>
      </c>
      <c r="G338" s="17" t="s">
        <v>3</v>
      </c>
      <c r="H338" s="17" t="s">
        <v>1916</v>
      </c>
      <c r="I338" s="17" t="s">
        <v>1113</v>
      </c>
    </row>
    <row r="339" spans="1:9" ht="30" customHeight="1" x14ac:dyDescent="0.25">
      <c r="A339" s="6">
        <v>607</v>
      </c>
      <c r="B339" s="14">
        <v>46127</v>
      </c>
      <c r="C339" s="6" t="s">
        <v>1115</v>
      </c>
      <c r="D339" s="6" t="s">
        <v>205</v>
      </c>
      <c r="E339" s="6" t="s">
        <v>1918</v>
      </c>
      <c r="F339" s="6" t="s">
        <v>102</v>
      </c>
      <c r="G339" s="17" t="s">
        <v>3</v>
      </c>
      <c r="H339" s="17" t="s">
        <v>1916</v>
      </c>
      <c r="I339" s="17" t="s">
        <v>1116</v>
      </c>
    </row>
    <row r="340" spans="1:9" ht="30" customHeight="1" x14ac:dyDescent="0.25">
      <c r="A340" s="6">
        <v>608</v>
      </c>
      <c r="B340" s="14">
        <v>46127</v>
      </c>
      <c r="C340" s="6" t="s">
        <v>2151</v>
      </c>
      <c r="D340" s="6" t="s">
        <v>812</v>
      </c>
      <c r="E340" s="6" t="s">
        <v>1931</v>
      </c>
      <c r="F340" s="6" t="s">
        <v>53</v>
      </c>
      <c r="G340" s="17" t="s">
        <v>2152</v>
      </c>
      <c r="H340" s="17" t="s">
        <v>1916</v>
      </c>
      <c r="I340" s="17" t="s">
        <v>2153</v>
      </c>
    </row>
    <row r="341" spans="1:9" ht="30" customHeight="1" x14ac:dyDescent="0.25">
      <c r="A341" s="6">
        <v>609</v>
      </c>
      <c r="B341" s="14">
        <v>46127</v>
      </c>
      <c r="C341" s="6" t="s">
        <v>1118</v>
      </c>
      <c r="D341" s="6" t="s">
        <v>205</v>
      </c>
      <c r="E341" s="6" t="s">
        <v>1918</v>
      </c>
      <c r="F341" s="6" t="s">
        <v>102</v>
      </c>
      <c r="G341" s="17" t="s">
        <v>3</v>
      </c>
      <c r="H341" s="17" t="s">
        <v>1916</v>
      </c>
      <c r="I341" s="17" t="s">
        <v>1119</v>
      </c>
    </row>
    <row r="342" spans="1:9" ht="30" customHeight="1" x14ac:dyDescent="0.25">
      <c r="A342" s="6">
        <v>610</v>
      </c>
      <c r="B342" s="14">
        <v>46128</v>
      </c>
      <c r="C342" s="6" t="s">
        <v>1124</v>
      </c>
      <c r="D342" s="6" t="s">
        <v>211</v>
      </c>
      <c r="E342" s="6" t="s">
        <v>1918</v>
      </c>
      <c r="F342" s="6" t="s">
        <v>148</v>
      </c>
      <c r="G342" s="17" t="s">
        <v>3</v>
      </c>
      <c r="H342" s="17" t="s">
        <v>1916</v>
      </c>
      <c r="I342" s="17" t="s">
        <v>1125</v>
      </c>
    </row>
    <row r="343" spans="1:9" ht="30" customHeight="1" x14ac:dyDescent="0.25">
      <c r="A343" s="6">
        <v>611</v>
      </c>
      <c r="B343" s="14">
        <v>46128</v>
      </c>
      <c r="C343" s="6" t="s">
        <v>1127</v>
      </c>
      <c r="D343" s="6" t="s">
        <v>205</v>
      </c>
      <c r="E343" s="6" t="s">
        <v>1918</v>
      </c>
      <c r="F343" s="6" t="s">
        <v>35</v>
      </c>
      <c r="G343" s="17" t="s">
        <v>3</v>
      </c>
      <c r="H343" s="17" t="s">
        <v>1916</v>
      </c>
      <c r="I343" s="17" t="s">
        <v>1128</v>
      </c>
    </row>
    <row r="344" spans="1:9" ht="30" customHeight="1" x14ac:dyDescent="0.25">
      <c r="A344" s="6">
        <v>612</v>
      </c>
      <c r="B344" s="14">
        <v>46129</v>
      </c>
      <c r="C344" s="6" t="s">
        <v>1121</v>
      </c>
      <c r="D344" s="6" t="s">
        <v>313</v>
      </c>
      <c r="E344" s="6" t="s">
        <v>1918</v>
      </c>
      <c r="F344" s="6" t="s">
        <v>66</v>
      </c>
      <c r="G344" s="17" t="s">
        <v>3</v>
      </c>
      <c r="H344" s="17" t="s">
        <v>1916</v>
      </c>
      <c r="I344" s="17" t="s">
        <v>1122</v>
      </c>
    </row>
    <row r="345" spans="1:9" ht="30" customHeight="1" x14ac:dyDescent="0.25">
      <c r="A345" s="6">
        <v>613</v>
      </c>
      <c r="B345" s="14">
        <v>46129</v>
      </c>
      <c r="C345" s="6" t="s">
        <v>1131</v>
      </c>
      <c r="D345" s="6" t="s">
        <v>313</v>
      </c>
      <c r="E345" s="6" t="s">
        <v>1918</v>
      </c>
      <c r="F345" s="6" t="s">
        <v>66</v>
      </c>
      <c r="G345" s="17" t="s">
        <v>3</v>
      </c>
      <c r="H345" s="17" t="s">
        <v>1916</v>
      </c>
      <c r="I345" s="17" t="s">
        <v>1132</v>
      </c>
    </row>
    <row r="346" spans="1:9" ht="30" customHeight="1" x14ac:dyDescent="0.25">
      <c r="A346" s="6">
        <v>614</v>
      </c>
      <c r="B346" s="14">
        <v>46129</v>
      </c>
      <c r="C346" s="6" t="s">
        <v>1134</v>
      </c>
      <c r="D346" s="6" t="s">
        <v>211</v>
      </c>
      <c r="E346" s="6" t="s">
        <v>1918</v>
      </c>
      <c r="F346" s="6" t="s">
        <v>35</v>
      </c>
      <c r="G346" s="17" t="s">
        <v>3</v>
      </c>
      <c r="H346" s="17" t="s">
        <v>1916</v>
      </c>
      <c r="I346" s="17" t="s">
        <v>1136</v>
      </c>
    </row>
    <row r="347" spans="1:9" ht="30" customHeight="1" x14ac:dyDescent="0.25">
      <c r="A347" s="6">
        <v>615</v>
      </c>
      <c r="B347" s="14">
        <v>46129</v>
      </c>
      <c r="C347" s="6" t="s">
        <v>2154</v>
      </c>
      <c r="D347" s="6" t="s">
        <v>211</v>
      </c>
      <c r="E347" s="6" t="s">
        <v>1953</v>
      </c>
      <c r="F347" s="6" t="s">
        <v>45</v>
      </c>
      <c r="G347" s="17" t="s">
        <v>1135</v>
      </c>
      <c r="H347" s="17" t="s">
        <v>1916</v>
      </c>
      <c r="I347" s="17" t="s">
        <v>2155</v>
      </c>
    </row>
    <row r="348" spans="1:9" ht="30" customHeight="1" x14ac:dyDescent="0.25">
      <c r="A348" s="6">
        <v>616</v>
      </c>
      <c r="B348" s="14">
        <v>46129</v>
      </c>
      <c r="C348" s="6" t="s">
        <v>1138</v>
      </c>
      <c r="D348" s="6" t="s">
        <v>205</v>
      </c>
      <c r="E348" s="6" t="s">
        <v>1918</v>
      </c>
      <c r="F348" s="6" t="s">
        <v>35</v>
      </c>
      <c r="G348" s="17" t="s">
        <v>3</v>
      </c>
      <c r="H348" s="17" t="s">
        <v>1916</v>
      </c>
      <c r="I348" s="17" t="s">
        <v>1140</v>
      </c>
    </row>
    <row r="349" spans="1:9" ht="30" customHeight="1" x14ac:dyDescent="0.25">
      <c r="A349" s="6">
        <v>617</v>
      </c>
      <c r="B349" s="14">
        <v>46129</v>
      </c>
      <c r="C349" s="6" t="s">
        <v>2156</v>
      </c>
      <c r="D349" s="6" t="s">
        <v>205</v>
      </c>
      <c r="E349" s="6" t="s">
        <v>1949</v>
      </c>
      <c r="F349" s="6" t="s">
        <v>45</v>
      </c>
      <c r="G349" s="17" t="s">
        <v>3</v>
      </c>
      <c r="H349" s="17" t="s">
        <v>1916</v>
      </c>
      <c r="I349" s="17" t="s">
        <v>2157</v>
      </c>
    </row>
    <row r="350" spans="1:9" ht="30" customHeight="1" x14ac:dyDescent="0.25">
      <c r="A350" s="6">
        <v>618</v>
      </c>
      <c r="B350" s="14">
        <v>46129</v>
      </c>
      <c r="C350" s="6" t="s">
        <v>2158</v>
      </c>
      <c r="D350" s="6" t="s">
        <v>468</v>
      </c>
      <c r="E350" s="6" t="s">
        <v>1953</v>
      </c>
      <c r="F350" s="6" t="s">
        <v>45</v>
      </c>
      <c r="G350" s="17" t="s">
        <v>1139</v>
      </c>
      <c r="H350" s="17" t="s">
        <v>1916</v>
      </c>
      <c r="I350" s="17" t="s">
        <v>2159</v>
      </c>
    </row>
    <row r="351" spans="1:9" ht="30" customHeight="1" x14ac:dyDescent="0.25">
      <c r="A351" s="6">
        <v>619</v>
      </c>
      <c r="B351" s="14">
        <v>46132</v>
      </c>
      <c r="C351" s="6" t="s">
        <v>1150</v>
      </c>
      <c r="D351" s="6" t="s">
        <v>211</v>
      </c>
      <c r="E351" s="6" t="s">
        <v>1918</v>
      </c>
      <c r="F351" s="6" t="s">
        <v>35</v>
      </c>
      <c r="G351" s="17" t="s">
        <v>1151</v>
      </c>
      <c r="H351" s="17" t="s">
        <v>1916</v>
      </c>
      <c r="I351" s="17" t="s">
        <v>1152</v>
      </c>
    </row>
    <row r="352" spans="1:9" ht="30" customHeight="1" x14ac:dyDescent="0.25">
      <c r="A352" s="6">
        <v>620</v>
      </c>
      <c r="B352" s="14">
        <v>46132</v>
      </c>
      <c r="C352" s="6" t="s">
        <v>1146</v>
      </c>
      <c r="D352" s="6" t="s">
        <v>313</v>
      </c>
      <c r="E352" s="6" t="s">
        <v>1918</v>
      </c>
      <c r="F352" s="6" t="s">
        <v>162</v>
      </c>
      <c r="G352" s="17" t="s">
        <v>1147</v>
      </c>
      <c r="H352" s="17" t="s">
        <v>1916</v>
      </c>
      <c r="I352" s="17" t="s">
        <v>1148</v>
      </c>
    </row>
    <row r="353" spans="1:9" ht="30" customHeight="1" x14ac:dyDescent="0.25">
      <c r="A353" s="6">
        <v>621</v>
      </c>
      <c r="B353" s="14">
        <v>46132</v>
      </c>
      <c r="C353" s="6" t="s">
        <v>1142</v>
      </c>
      <c r="D353" s="6" t="s">
        <v>205</v>
      </c>
      <c r="E353" s="6" t="s">
        <v>1918</v>
      </c>
      <c r="F353" s="6" t="s">
        <v>58</v>
      </c>
      <c r="G353" s="17" t="s">
        <v>3</v>
      </c>
      <c r="H353" s="17" t="s">
        <v>1916</v>
      </c>
      <c r="I353" s="17" t="s">
        <v>1144</v>
      </c>
    </row>
    <row r="354" spans="1:9" ht="30" customHeight="1" x14ac:dyDescent="0.25">
      <c r="A354" s="6">
        <v>622</v>
      </c>
      <c r="B354" s="14">
        <v>46133</v>
      </c>
      <c r="C354" s="6" t="s">
        <v>1154</v>
      </c>
      <c r="D354" s="6" t="s">
        <v>205</v>
      </c>
      <c r="E354" s="6" t="s">
        <v>1918</v>
      </c>
      <c r="F354" s="6" t="s">
        <v>58</v>
      </c>
      <c r="G354" s="17" t="s">
        <v>3</v>
      </c>
      <c r="H354" s="17" t="s">
        <v>1916</v>
      </c>
      <c r="I354" s="17" t="s">
        <v>1155</v>
      </c>
    </row>
    <row r="355" spans="1:9" ht="30" customHeight="1" x14ac:dyDescent="0.25">
      <c r="A355" s="6">
        <v>623</v>
      </c>
      <c r="B355" s="14">
        <v>46133</v>
      </c>
      <c r="C355" s="6" t="s">
        <v>1161</v>
      </c>
      <c r="D355" s="6" t="s">
        <v>211</v>
      </c>
      <c r="E355" s="6" t="s">
        <v>1918</v>
      </c>
      <c r="F355" s="6" t="s">
        <v>35</v>
      </c>
      <c r="G355" s="17" t="s">
        <v>3</v>
      </c>
      <c r="H355" s="17" t="s">
        <v>1916</v>
      </c>
      <c r="I355" s="17" t="s">
        <v>1163</v>
      </c>
    </row>
    <row r="356" spans="1:9" ht="30" customHeight="1" x14ac:dyDescent="0.25">
      <c r="A356" s="6">
        <v>624</v>
      </c>
      <c r="B356" s="14">
        <v>46133</v>
      </c>
      <c r="C356" s="6" t="s">
        <v>1157</v>
      </c>
      <c r="D356" s="6" t="s">
        <v>313</v>
      </c>
      <c r="E356" s="6" t="s">
        <v>1949</v>
      </c>
      <c r="F356" s="6" t="s">
        <v>45</v>
      </c>
      <c r="G356" s="17" t="s">
        <v>3</v>
      </c>
      <c r="H356" s="17" t="s">
        <v>1916</v>
      </c>
      <c r="I356" s="17" t="s">
        <v>3</v>
      </c>
    </row>
    <row r="357" spans="1:9" ht="30" customHeight="1" x14ac:dyDescent="0.25">
      <c r="A357" s="6">
        <v>625</v>
      </c>
      <c r="B357" s="14">
        <v>46133</v>
      </c>
      <c r="C357" s="6" t="s">
        <v>1157</v>
      </c>
      <c r="D357" s="6" t="s">
        <v>313</v>
      </c>
      <c r="E357" s="6" t="s">
        <v>1918</v>
      </c>
      <c r="F357" s="6" t="s">
        <v>62</v>
      </c>
      <c r="G357" s="17" t="s">
        <v>2160</v>
      </c>
      <c r="H357" s="17" t="s">
        <v>1916</v>
      </c>
      <c r="I357" s="17" t="s">
        <v>1159</v>
      </c>
    </row>
    <row r="358" spans="1:9" ht="30" customHeight="1" x14ac:dyDescent="0.25">
      <c r="A358" s="6">
        <v>626</v>
      </c>
      <c r="B358" s="14">
        <v>46133</v>
      </c>
      <c r="C358" s="6" t="s">
        <v>1157</v>
      </c>
      <c r="D358" s="6" t="s">
        <v>313</v>
      </c>
      <c r="E358" s="6" t="s">
        <v>1953</v>
      </c>
      <c r="F358" s="6" t="s">
        <v>45</v>
      </c>
      <c r="G358" s="17" t="s">
        <v>2161</v>
      </c>
      <c r="H358" s="17" t="s">
        <v>1916</v>
      </c>
      <c r="I358" s="17" t="s">
        <v>2162</v>
      </c>
    </row>
    <row r="359" spans="1:9" ht="30" customHeight="1" x14ac:dyDescent="0.25">
      <c r="A359" s="6">
        <v>627</v>
      </c>
      <c r="B359" s="14">
        <v>46134</v>
      </c>
      <c r="C359" s="6" t="s">
        <v>1168</v>
      </c>
      <c r="D359" s="6" t="s">
        <v>812</v>
      </c>
      <c r="E359" s="6" t="s">
        <v>1918</v>
      </c>
      <c r="F359" s="6" t="s">
        <v>45</v>
      </c>
      <c r="G359" s="17" t="s">
        <v>3</v>
      </c>
      <c r="H359" s="17" t="s">
        <v>1916</v>
      </c>
      <c r="I359" s="17" t="s">
        <v>1171</v>
      </c>
    </row>
    <row r="360" spans="1:9" ht="30" customHeight="1" x14ac:dyDescent="0.25">
      <c r="A360" s="6">
        <v>628</v>
      </c>
      <c r="B360" s="14">
        <v>46134</v>
      </c>
      <c r="C360" s="6" t="s">
        <v>1165</v>
      </c>
      <c r="D360" s="6" t="s">
        <v>205</v>
      </c>
      <c r="E360" s="6" t="s">
        <v>1918</v>
      </c>
      <c r="F360" s="6" t="s">
        <v>126</v>
      </c>
      <c r="G360" s="17" t="s">
        <v>3</v>
      </c>
      <c r="H360" s="17" t="s">
        <v>1916</v>
      </c>
      <c r="I360" s="17" t="s">
        <v>1166</v>
      </c>
    </row>
    <row r="361" spans="1:9" ht="30" customHeight="1" x14ac:dyDescent="0.25">
      <c r="A361" s="6">
        <v>629</v>
      </c>
      <c r="B361" s="14">
        <v>46134</v>
      </c>
      <c r="C361" s="6" t="s">
        <v>1173</v>
      </c>
      <c r="D361" s="6" t="s">
        <v>211</v>
      </c>
      <c r="E361" s="6" t="s">
        <v>1918</v>
      </c>
      <c r="F361" s="6" t="s">
        <v>35</v>
      </c>
      <c r="G361" s="17" t="s">
        <v>1174</v>
      </c>
      <c r="H361" s="17" t="s">
        <v>1916</v>
      </c>
      <c r="I361" s="17" t="s">
        <v>1175</v>
      </c>
    </row>
    <row r="362" spans="1:9" ht="30" customHeight="1" x14ac:dyDescent="0.25">
      <c r="A362" s="6">
        <v>630</v>
      </c>
      <c r="B362" s="14">
        <v>46135</v>
      </c>
      <c r="C362" s="6" t="s">
        <v>2163</v>
      </c>
      <c r="D362" s="6" t="s">
        <v>205</v>
      </c>
      <c r="E362" s="6" t="s">
        <v>1949</v>
      </c>
      <c r="F362" s="6" t="s">
        <v>35</v>
      </c>
      <c r="G362" s="17" t="s">
        <v>3</v>
      </c>
      <c r="H362" s="17" t="s">
        <v>1916</v>
      </c>
      <c r="I362" s="17" t="s">
        <v>2164</v>
      </c>
    </row>
    <row r="363" spans="1:9" ht="30" customHeight="1" x14ac:dyDescent="0.25">
      <c r="A363" s="6">
        <v>631</v>
      </c>
      <c r="B363" s="14">
        <v>46135</v>
      </c>
      <c r="C363" s="6" t="s">
        <v>2165</v>
      </c>
      <c r="D363" s="6" t="s">
        <v>313</v>
      </c>
      <c r="E363" s="6" t="s">
        <v>1924</v>
      </c>
      <c r="F363" s="6" t="s">
        <v>1925</v>
      </c>
      <c r="G363" s="17" t="s">
        <v>3</v>
      </c>
      <c r="H363" s="17" t="s">
        <v>1916</v>
      </c>
      <c r="I363" s="17" t="s">
        <v>1926</v>
      </c>
    </row>
    <row r="364" spans="1:9" ht="30" customHeight="1" x14ac:dyDescent="0.25">
      <c r="A364" s="6">
        <v>632</v>
      </c>
      <c r="B364" s="14">
        <v>46135</v>
      </c>
      <c r="C364" s="6" t="s">
        <v>1177</v>
      </c>
      <c r="D364" s="6" t="s">
        <v>313</v>
      </c>
      <c r="E364" s="6" t="s">
        <v>1918</v>
      </c>
      <c r="F364" s="6" t="s">
        <v>35</v>
      </c>
      <c r="G364" s="17" t="s">
        <v>3</v>
      </c>
      <c r="H364" s="17" t="s">
        <v>1916</v>
      </c>
      <c r="I364" s="17" t="s">
        <v>1178</v>
      </c>
    </row>
    <row r="365" spans="1:9" ht="30" customHeight="1" x14ac:dyDescent="0.25">
      <c r="A365" s="6">
        <v>633</v>
      </c>
      <c r="B365" s="14">
        <v>46135</v>
      </c>
      <c r="C365" s="6" t="s">
        <v>1181</v>
      </c>
      <c r="D365" s="6" t="s">
        <v>313</v>
      </c>
      <c r="E365" s="6" t="s">
        <v>1918</v>
      </c>
      <c r="F365" s="6" t="s">
        <v>62</v>
      </c>
      <c r="G365" s="17" t="s">
        <v>1182</v>
      </c>
      <c r="H365" s="17" t="s">
        <v>1916</v>
      </c>
      <c r="I365" s="17" t="s">
        <v>1183</v>
      </c>
    </row>
    <row r="366" spans="1:9" ht="30" customHeight="1" x14ac:dyDescent="0.25">
      <c r="A366" s="6">
        <v>634</v>
      </c>
      <c r="B366" s="14">
        <v>46136</v>
      </c>
      <c r="C366" s="6" t="s">
        <v>1191</v>
      </c>
      <c r="D366" s="6" t="s">
        <v>812</v>
      </c>
      <c r="E366" s="6" t="s">
        <v>1918</v>
      </c>
      <c r="F366" s="6" t="s">
        <v>75</v>
      </c>
      <c r="G366" s="17" t="s">
        <v>1194</v>
      </c>
      <c r="H366" s="17" t="s">
        <v>1916</v>
      </c>
      <c r="I366" s="17" t="s">
        <v>1195</v>
      </c>
    </row>
    <row r="367" spans="1:9" ht="30" customHeight="1" x14ac:dyDescent="0.25">
      <c r="A367" s="6">
        <v>635</v>
      </c>
      <c r="B367" s="14">
        <v>46136</v>
      </c>
      <c r="C367" s="6" t="s">
        <v>2166</v>
      </c>
      <c r="D367" s="6" t="s">
        <v>265</v>
      </c>
      <c r="E367" s="6" t="s">
        <v>1949</v>
      </c>
      <c r="F367" s="6" t="s">
        <v>45</v>
      </c>
      <c r="G367" s="17" t="s">
        <v>3</v>
      </c>
      <c r="H367" s="17" t="s">
        <v>1916</v>
      </c>
      <c r="I367" s="17" t="s">
        <v>2167</v>
      </c>
    </row>
    <row r="368" spans="1:9" ht="30" customHeight="1" x14ac:dyDescent="0.25">
      <c r="A368" s="6">
        <v>636</v>
      </c>
      <c r="B368" s="14">
        <v>46136</v>
      </c>
      <c r="C368" s="6" t="s">
        <v>2168</v>
      </c>
      <c r="D368" s="6" t="s">
        <v>812</v>
      </c>
      <c r="E368" s="6" t="s">
        <v>1949</v>
      </c>
      <c r="F368" s="6" t="s">
        <v>2169</v>
      </c>
      <c r="G368" s="17" t="s">
        <v>3</v>
      </c>
      <c r="H368" s="17" t="s">
        <v>1916</v>
      </c>
      <c r="I368" s="17" t="s">
        <v>2169</v>
      </c>
    </row>
    <row r="369" spans="1:9" ht="30" customHeight="1" x14ac:dyDescent="0.25">
      <c r="A369" s="6">
        <v>637</v>
      </c>
      <c r="B369" s="14">
        <v>46136</v>
      </c>
      <c r="C369" s="6" t="s">
        <v>1197</v>
      </c>
      <c r="D369" s="6" t="s">
        <v>211</v>
      </c>
      <c r="E369" s="6" t="s">
        <v>1918</v>
      </c>
      <c r="F369" s="6" t="s">
        <v>35</v>
      </c>
      <c r="G369" s="17" t="s">
        <v>1198</v>
      </c>
      <c r="H369" s="17" t="s">
        <v>1916</v>
      </c>
      <c r="I369" s="17" t="s">
        <v>1199</v>
      </c>
    </row>
    <row r="370" spans="1:9" ht="30" customHeight="1" x14ac:dyDescent="0.25">
      <c r="A370" s="6">
        <v>638</v>
      </c>
      <c r="B370" s="14">
        <v>46136</v>
      </c>
      <c r="C370" s="6" t="s">
        <v>1188</v>
      </c>
      <c r="D370" s="6" t="s">
        <v>228</v>
      </c>
      <c r="E370" s="6" t="s">
        <v>1918</v>
      </c>
      <c r="F370" s="6" t="s">
        <v>49</v>
      </c>
      <c r="G370" s="17" t="s">
        <v>3</v>
      </c>
      <c r="H370" s="17" t="s">
        <v>1916</v>
      </c>
      <c r="I370" s="17" t="s">
        <v>1189</v>
      </c>
    </row>
    <row r="371" spans="1:9" ht="30" customHeight="1" x14ac:dyDescent="0.25">
      <c r="A371" s="6">
        <v>639</v>
      </c>
      <c r="B371" s="14">
        <v>46136</v>
      </c>
      <c r="C371" s="6" t="s">
        <v>1185</v>
      </c>
      <c r="D371" s="6" t="s">
        <v>313</v>
      </c>
      <c r="E371" s="6" t="s">
        <v>1918</v>
      </c>
      <c r="F371" s="6" t="s">
        <v>66</v>
      </c>
      <c r="G371" s="17" t="s">
        <v>3</v>
      </c>
      <c r="H371" s="17" t="s">
        <v>1916</v>
      </c>
      <c r="I371" s="17" t="s">
        <v>1186</v>
      </c>
    </row>
    <row r="372" spans="1:9" ht="30" customHeight="1" x14ac:dyDescent="0.25">
      <c r="A372" s="6">
        <v>640</v>
      </c>
      <c r="B372" s="14">
        <v>46137</v>
      </c>
      <c r="C372" s="6" t="s">
        <v>2170</v>
      </c>
      <c r="D372" s="6" t="s">
        <v>812</v>
      </c>
      <c r="E372" s="6" t="s">
        <v>1949</v>
      </c>
      <c r="F372" s="6" t="s">
        <v>45</v>
      </c>
      <c r="G372" s="17" t="s">
        <v>3</v>
      </c>
      <c r="H372" s="17" t="s">
        <v>1916</v>
      </c>
      <c r="I372" s="17" t="s">
        <v>3</v>
      </c>
    </row>
    <row r="373" spans="1:9" ht="30" customHeight="1" x14ac:dyDescent="0.25">
      <c r="A373" s="6">
        <v>641</v>
      </c>
      <c r="B373" s="14">
        <v>46137</v>
      </c>
      <c r="C373" s="6" t="s">
        <v>2171</v>
      </c>
      <c r="D373" s="6" t="s">
        <v>812</v>
      </c>
      <c r="E373" s="6" t="s">
        <v>1931</v>
      </c>
      <c r="F373" s="6" t="s">
        <v>45</v>
      </c>
      <c r="G373" s="17" t="s">
        <v>2172</v>
      </c>
      <c r="H373" s="17" t="s">
        <v>1916</v>
      </c>
      <c r="I373" s="17" t="s">
        <v>2173</v>
      </c>
    </row>
    <row r="374" spans="1:9" ht="30" customHeight="1" x14ac:dyDescent="0.25">
      <c r="A374" s="6">
        <v>642</v>
      </c>
      <c r="B374" s="14">
        <v>46137</v>
      </c>
      <c r="C374" s="6" t="s">
        <v>2171</v>
      </c>
      <c r="D374" s="6" t="s">
        <v>812</v>
      </c>
      <c r="E374" s="6" t="s">
        <v>1931</v>
      </c>
      <c r="F374" s="6" t="s">
        <v>45</v>
      </c>
      <c r="G374" s="17" t="s">
        <v>2174</v>
      </c>
      <c r="H374" s="17" t="s">
        <v>1916</v>
      </c>
      <c r="I374" s="17" t="s">
        <v>2175</v>
      </c>
    </row>
    <row r="375" spans="1:9" ht="30" customHeight="1" x14ac:dyDescent="0.25">
      <c r="A375" s="6">
        <v>643</v>
      </c>
      <c r="B375" s="14">
        <v>46137</v>
      </c>
      <c r="C375" s="6" t="s">
        <v>1201</v>
      </c>
      <c r="D375" s="6" t="s">
        <v>812</v>
      </c>
      <c r="E375" s="6" t="s">
        <v>1918</v>
      </c>
      <c r="F375" s="6" t="s">
        <v>56</v>
      </c>
      <c r="G375" s="17" t="s">
        <v>3</v>
      </c>
      <c r="H375" s="17" t="s">
        <v>1919</v>
      </c>
      <c r="I375" s="17" t="s">
        <v>1204</v>
      </c>
    </row>
    <row r="376" spans="1:9" ht="30" customHeight="1" x14ac:dyDescent="0.25">
      <c r="A376" s="6">
        <v>644</v>
      </c>
      <c r="B376" s="14">
        <v>46138</v>
      </c>
      <c r="C376" s="6" t="s">
        <v>1210</v>
      </c>
      <c r="D376" s="6" t="s">
        <v>812</v>
      </c>
      <c r="E376" s="6" t="s">
        <v>1918</v>
      </c>
      <c r="F376" s="6" t="s">
        <v>56</v>
      </c>
      <c r="G376" s="17" t="s">
        <v>1211</v>
      </c>
      <c r="H376" s="17" t="s">
        <v>1916</v>
      </c>
      <c r="I376" s="17" t="s">
        <v>1212</v>
      </c>
    </row>
    <row r="377" spans="1:9" ht="30" customHeight="1" x14ac:dyDescent="0.25">
      <c r="A377" s="6">
        <v>645</v>
      </c>
      <c r="B377" s="14">
        <v>46138</v>
      </c>
      <c r="C377" s="6" t="s">
        <v>1206</v>
      </c>
      <c r="D377" s="6" t="s">
        <v>313</v>
      </c>
      <c r="E377" s="6" t="s">
        <v>1918</v>
      </c>
      <c r="F377" s="6" t="s">
        <v>117</v>
      </c>
      <c r="G377" s="17" t="s">
        <v>1207</v>
      </c>
      <c r="H377" s="17" t="s">
        <v>1916</v>
      </c>
      <c r="I377" s="17" t="s">
        <v>1208</v>
      </c>
    </row>
    <row r="378" spans="1:9" ht="30" customHeight="1" x14ac:dyDescent="0.25">
      <c r="A378" s="6">
        <v>646</v>
      </c>
      <c r="B378" s="14">
        <v>46139</v>
      </c>
      <c r="C378" s="6" t="s">
        <v>1214</v>
      </c>
      <c r="D378" s="6" t="s">
        <v>228</v>
      </c>
      <c r="E378" s="6" t="s">
        <v>1918</v>
      </c>
      <c r="F378" s="6" t="s">
        <v>49</v>
      </c>
      <c r="G378" s="17" t="s">
        <v>3</v>
      </c>
      <c r="H378" s="17" t="s">
        <v>1916</v>
      </c>
      <c r="I378" s="17" t="s">
        <v>1215</v>
      </c>
    </row>
    <row r="379" spans="1:9" ht="30" customHeight="1" x14ac:dyDescent="0.25">
      <c r="A379" s="6">
        <v>647</v>
      </c>
      <c r="B379" s="14">
        <v>46139</v>
      </c>
      <c r="C379" s="6" t="s">
        <v>837</v>
      </c>
      <c r="D379" s="6" t="s">
        <v>313</v>
      </c>
      <c r="E379" s="6" t="s">
        <v>1918</v>
      </c>
      <c r="F379" s="6" t="s">
        <v>135</v>
      </c>
      <c r="G379" s="17" t="s">
        <v>1217</v>
      </c>
      <c r="H379" s="17" t="s">
        <v>1916</v>
      </c>
      <c r="I379" s="17" t="s">
        <v>1218</v>
      </c>
    </row>
    <row r="380" spans="1:9" ht="30" customHeight="1" x14ac:dyDescent="0.25">
      <c r="A380" s="6">
        <v>648</v>
      </c>
      <c r="B380" s="14">
        <v>46140</v>
      </c>
      <c r="C380" s="6" t="s">
        <v>1228</v>
      </c>
      <c r="D380" s="6" t="s">
        <v>211</v>
      </c>
      <c r="E380" s="6" t="s">
        <v>1918</v>
      </c>
      <c r="F380" s="6" t="s">
        <v>35</v>
      </c>
      <c r="G380" s="17" t="s">
        <v>1229</v>
      </c>
      <c r="H380" s="17" t="s">
        <v>1916</v>
      </c>
      <c r="I380" s="17" t="s">
        <v>1230</v>
      </c>
    </row>
    <row r="381" spans="1:9" ht="30" customHeight="1" x14ac:dyDescent="0.25">
      <c r="A381" s="6">
        <v>649</v>
      </c>
      <c r="B381" s="14">
        <v>46140</v>
      </c>
      <c r="C381" s="6" t="s">
        <v>1220</v>
      </c>
      <c r="D381" s="6" t="s">
        <v>228</v>
      </c>
      <c r="E381" s="6" t="s">
        <v>1918</v>
      </c>
      <c r="F381" s="6" t="s">
        <v>49</v>
      </c>
      <c r="G381" s="17" t="s">
        <v>3</v>
      </c>
      <c r="H381" s="17" t="s">
        <v>1916</v>
      </c>
      <c r="I381" s="17" t="s">
        <v>1221</v>
      </c>
    </row>
    <row r="382" spans="1:9" ht="30" customHeight="1" x14ac:dyDescent="0.25">
      <c r="A382" s="6">
        <v>650</v>
      </c>
      <c r="B382" s="14">
        <v>46140</v>
      </c>
      <c r="C382" s="6" t="s">
        <v>1223</v>
      </c>
      <c r="D382" s="6" t="s">
        <v>313</v>
      </c>
      <c r="E382" s="6" t="s">
        <v>1949</v>
      </c>
      <c r="F382" s="6" t="s">
        <v>45</v>
      </c>
      <c r="G382" s="17" t="s">
        <v>3</v>
      </c>
      <c r="H382" s="17" t="s">
        <v>1916</v>
      </c>
      <c r="I382" s="17" t="s">
        <v>3</v>
      </c>
    </row>
    <row r="383" spans="1:9" ht="30" customHeight="1" x14ac:dyDescent="0.25">
      <c r="A383" s="6">
        <v>651</v>
      </c>
      <c r="B383" s="14">
        <v>46140</v>
      </c>
      <c r="C383" s="6" t="s">
        <v>1223</v>
      </c>
      <c r="D383" s="6" t="s">
        <v>313</v>
      </c>
      <c r="E383" s="6" t="s">
        <v>1918</v>
      </c>
      <c r="F383" s="6" t="s">
        <v>70</v>
      </c>
      <c r="G383" s="17" t="s">
        <v>2176</v>
      </c>
      <c r="H383" s="17" t="s">
        <v>1916</v>
      </c>
      <c r="I383" s="17" t="s">
        <v>1226</v>
      </c>
    </row>
    <row r="384" spans="1:9" ht="30" customHeight="1" x14ac:dyDescent="0.25">
      <c r="A384" s="6">
        <v>652</v>
      </c>
      <c r="B384" s="14">
        <v>46140</v>
      </c>
      <c r="C384" s="6" t="s">
        <v>1223</v>
      </c>
      <c r="D384" s="6" t="s">
        <v>313</v>
      </c>
      <c r="E384" s="6" t="s">
        <v>1953</v>
      </c>
      <c r="F384" s="6" t="s">
        <v>45</v>
      </c>
      <c r="G384" s="17" t="s">
        <v>2177</v>
      </c>
      <c r="H384" s="17" t="s">
        <v>1916</v>
      </c>
      <c r="I384" s="17" t="s">
        <v>2178</v>
      </c>
    </row>
    <row r="385" spans="1:9" ht="30" customHeight="1" x14ac:dyDescent="0.25">
      <c r="A385" s="6">
        <v>653</v>
      </c>
      <c r="B385" s="14">
        <v>46141</v>
      </c>
      <c r="C385" s="6" t="s">
        <v>2179</v>
      </c>
      <c r="D385" s="6" t="s">
        <v>313</v>
      </c>
      <c r="E385" s="6" t="s">
        <v>1949</v>
      </c>
      <c r="F385" s="6" t="s">
        <v>45</v>
      </c>
      <c r="G385" s="17" t="s">
        <v>3</v>
      </c>
      <c r="H385" s="17" t="s">
        <v>1916</v>
      </c>
      <c r="I385" s="17" t="s">
        <v>3</v>
      </c>
    </row>
    <row r="386" spans="1:9" ht="30" customHeight="1" x14ac:dyDescent="0.25">
      <c r="A386" s="6">
        <v>654</v>
      </c>
      <c r="B386" s="14">
        <v>46141</v>
      </c>
      <c r="C386" s="6" t="s">
        <v>1232</v>
      </c>
      <c r="D386" s="6" t="s">
        <v>313</v>
      </c>
      <c r="E386" s="6" t="s">
        <v>1918</v>
      </c>
      <c r="F386" s="6" t="s">
        <v>70</v>
      </c>
      <c r="G386" s="17" t="s">
        <v>2180</v>
      </c>
      <c r="H386" s="17" t="s">
        <v>1916</v>
      </c>
      <c r="I386" s="17" t="s">
        <v>1235</v>
      </c>
    </row>
    <row r="387" spans="1:9" ht="30" customHeight="1" x14ac:dyDescent="0.25">
      <c r="A387" s="6">
        <v>655</v>
      </c>
      <c r="B387" s="14">
        <v>46141</v>
      </c>
      <c r="C387" s="6" t="s">
        <v>1232</v>
      </c>
      <c r="D387" s="6" t="s">
        <v>313</v>
      </c>
      <c r="E387" s="6" t="s">
        <v>1953</v>
      </c>
      <c r="F387" s="6" t="s">
        <v>45</v>
      </c>
      <c r="G387" s="17" t="s">
        <v>2181</v>
      </c>
      <c r="H387" s="17" t="s">
        <v>1916</v>
      </c>
      <c r="I387" s="17" t="s">
        <v>2182</v>
      </c>
    </row>
    <row r="388" spans="1:9" ht="30" customHeight="1" x14ac:dyDescent="0.25">
      <c r="A388" s="6">
        <v>656</v>
      </c>
      <c r="B388" s="14">
        <v>46142</v>
      </c>
      <c r="C388" s="6" t="s">
        <v>1237</v>
      </c>
      <c r="D388" s="6" t="s">
        <v>211</v>
      </c>
      <c r="E388" s="6" t="s">
        <v>1918</v>
      </c>
      <c r="F388" s="6" t="s">
        <v>35</v>
      </c>
      <c r="G388" s="17" t="s">
        <v>3</v>
      </c>
      <c r="H388" s="17" t="s">
        <v>1919</v>
      </c>
      <c r="I388" s="17" t="s">
        <v>1238</v>
      </c>
    </row>
    <row r="389" spans="1:9" ht="30" customHeight="1" x14ac:dyDescent="0.25">
      <c r="A389" s="6">
        <v>657</v>
      </c>
      <c r="B389" s="14">
        <v>46142</v>
      </c>
      <c r="C389" s="6" t="s">
        <v>1240</v>
      </c>
      <c r="D389" s="6" t="s">
        <v>228</v>
      </c>
      <c r="E389" s="6" t="s">
        <v>1918</v>
      </c>
      <c r="F389" s="6" t="s">
        <v>49</v>
      </c>
      <c r="G389" s="17" t="s">
        <v>3</v>
      </c>
      <c r="H389" s="17" t="s">
        <v>1916</v>
      </c>
      <c r="I389" s="17" t="s">
        <v>1241</v>
      </c>
    </row>
    <row r="390" spans="1:9" ht="30" customHeight="1" x14ac:dyDescent="0.25">
      <c r="A390" s="6">
        <v>658</v>
      </c>
      <c r="B390" s="14">
        <v>46142</v>
      </c>
      <c r="C390" s="6" t="s">
        <v>1243</v>
      </c>
      <c r="D390" s="6" t="s">
        <v>228</v>
      </c>
      <c r="E390" s="6" t="s">
        <v>1918</v>
      </c>
      <c r="F390" s="6" t="s">
        <v>49</v>
      </c>
      <c r="G390" s="17" t="s">
        <v>3</v>
      </c>
      <c r="H390" s="17" t="s">
        <v>1916</v>
      </c>
      <c r="I390" s="17" t="s">
        <v>1189</v>
      </c>
    </row>
    <row r="391" spans="1:9" ht="30" customHeight="1" x14ac:dyDescent="0.25">
      <c r="A391" s="6">
        <v>659</v>
      </c>
      <c r="B391" s="14">
        <v>46142</v>
      </c>
      <c r="C391" s="6" t="s">
        <v>1246</v>
      </c>
      <c r="D391" s="6" t="s">
        <v>313</v>
      </c>
      <c r="E391" s="6" t="s">
        <v>1918</v>
      </c>
      <c r="F391" s="6" t="s">
        <v>71</v>
      </c>
      <c r="G391" s="17" t="s">
        <v>1247</v>
      </c>
      <c r="H391" s="17" t="s">
        <v>1916</v>
      </c>
      <c r="I391" s="17" t="s">
        <v>1248</v>
      </c>
    </row>
    <row r="392" spans="1:9" ht="30" customHeight="1" x14ac:dyDescent="0.25">
      <c r="A392" s="6">
        <v>660</v>
      </c>
      <c r="B392" s="14">
        <v>46143</v>
      </c>
      <c r="C392" s="6" t="s">
        <v>1255</v>
      </c>
      <c r="D392" s="6" t="s">
        <v>313</v>
      </c>
      <c r="E392" s="6" t="s">
        <v>1918</v>
      </c>
      <c r="F392" s="6" t="s">
        <v>35</v>
      </c>
      <c r="G392" s="17" t="s">
        <v>3</v>
      </c>
      <c r="H392" s="17" t="s">
        <v>1919</v>
      </c>
      <c r="I392" s="17" t="s">
        <v>1257</v>
      </c>
    </row>
    <row r="393" spans="1:9" ht="30" customHeight="1" x14ac:dyDescent="0.25">
      <c r="A393" s="6">
        <v>661</v>
      </c>
      <c r="B393" s="14">
        <v>46144</v>
      </c>
      <c r="C393" s="6" t="s">
        <v>1259</v>
      </c>
      <c r="D393" s="6" t="s">
        <v>313</v>
      </c>
      <c r="E393" s="6" t="s">
        <v>1918</v>
      </c>
      <c r="F393" s="6" t="s">
        <v>40</v>
      </c>
      <c r="G393" s="17" t="s">
        <v>3</v>
      </c>
      <c r="H393" s="17" t="s">
        <v>1919</v>
      </c>
      <c r="I393" s="17" t="s">
        <v>1260</v>
      </c>
    </row>
    <row r="394" spans="1:9" ht="30" customHeight="1" x14ac:dyDescent="0.25">
      <c r="A394" s="6">
        <v>662</v>
      </c>
      <c r="B394" s="14">
        <v>46147</v>
      </c>
      <c r="C394" s="6" t="s">
        <v>1262</v>
      </c>
      <c r="D394" s="6" t="s">
        <v>211</v>
      </c>
      <c r="E394" s="6" t="s">
        <v>1918</v>
      </c>
      <c r="F394" s="6" t="s">
        <v>35</v>
      </c>
      <c r="G394" s="17" t="s">
        <v>3</v>
      </c>
      <c r="H394" s="17" t="s">
        <v>1916</v>
      </c>
      <c r="I394" s="17" t="s">
        <v>1263</v>
      </c>
    </row>
    <row r="395" spans="1:9" ht="30" customHeight="1" x14ac:dyDescent="0.25">
      <c r="A395" s="6">
        <v>663</v>
      </c>
      <c r="B395" s="14">
        <v>46148</v>
      </c>
      <c r="C395" s="6" t="s">
        <v>2183</v>
      </c>
      <c r="D395" s="6" t="s">
        <v>265</v>
      </c>
      <c r="E395" s="6" t="s">
        <v>1931</v>
      </c>
      <c r="F395" s="6" t="s">
        <v>2184</v>
      </c>
      <c r="G395" s="17" t="s">
        <v>2185</v>
      </c>
      <c r="H395" s="17" t="s">
        <v>1916</v>
      </c>
      <c r="I395" s="17" t="s">
        <v>2186</v>
      </c>
    </row>
    <row r="396" spans="1:9" ht="30" customHeight="1" x14ac:dyDescent="0.25">
      <c r="A396" s="6">
        <v>664</v>
      </c>
      <c r="B396" s="14">
        <v>46148</v>
      </c>
      <c r="C396" s="6" t="s">
        <v>1269</v>
      </c>
      <c r="D396" s="6" t="s">
        <v>228</v>
      </c>
      <c r="E396" s="6" t="s">
        <v>1918</v>
      </c>
      <c r="F396" s="6" t="s">
        <v>49</v>
      </c>
      <c r="G396" s="17" t="s">
        <v>3</v>
      </c>
      <c r="H396" s="17" t="s">
        <v>1916</v>
      </c>
      <c r="I396" s="17" t="s">
        <v>1189</v>
      </c>
    </row>
    <row r="397" spans="1:9" ht="30" customHeight="1" x14ac:dyDescent="0.25">
      <c r="A397" s="6">
        <v>665</v>
      </c>
      <c r="B397" s="14">
        <v>46148</v>
      </c>
      <c r="C397" s="6" t="s">
        <v>1271</v>
      </c>
      <c r="D397" s="6" t="s">
        <v>211</v>
      </c>
      <c r="E397" s="6" t="s">
        <v>1918</v>
      </c>
      <c r="F397" s="6" t="s">
        <v>35</v>
      </c>
      <c r="G397" s="17" t="s">
        <v>1272</v>
      </c>
      <c r="H397" s="17" t="s">
        <v>1916</v>
      </c>
      <c r="I397" s="17" t="s">
        <v>1273</v>
      </c>
    </row>
    <row r="398" spans="1:9" ht="30" customHeight="1" x14ac:dyDescent="0.25">
      <c r="A398" s="6">
        <v>666</v>
      </c>
      <c r="B398" s="14">
        <v>46149</v>
      </c>
      <c r="C398" s="6" t="s">
        <v>1265</v>
      </c>
      <c r="D398" s="6" t="s">
        <v>812</v>
      </c>
      <c r="E398" s="6" t="s">
        <v>1918</v>
      </c>
      <c r="F398" s="6" t="s">
        <v>103</v>
      </c>
      <c r="G398" s="17" t="s">
        <v>3</v>
      </c>
      <c r="H398" s="17" t="s">
        <v>1916</v>
      </c>
      <c r="I398" s="17" t="s">
        <v>1267</v>
      </c>
    </row>
    <row r="399" spans="1:9" ht="30" customHeight="1" x14ac:dyDescent="0.25">
      <c r="A399" s="6">
        <v>667</v>
      </c>
      <c r="B399" s="14">
        <v>46149</v>
      </c>
      <c r="C399" s="6" t="s">
        <v>1280</v>
      </c>
      <c r="D399" s="6" t="s">
        <v>228</v>
      </c>
      <c r="E399" s="6" t="s">
        <v>1918</v>
      </c>
      <c r="F399" s="6" t="s">
        <v>49</v>
      </c>
      <c r="G399" s="17" t="s">
        <v>3</v>
      </c>
      <c r="H399" s="17" t="s">
        <v>1916</v>
      </c>
      <c r="I399" s="17" t="s">
        <v>1281</v>
      </c>
    </row>
    <row r="400" spans="1:9" ht="30" customHeight="1" x14ac:dyDescent="0.25">
      <c r="A400" s="6">
        <v>668</v>
      </c>
      <c r="B400" s="14">
        <v>46149</v>
      </c>
      <c r="C400" s="6" t="s">
        <v>1283</v>
      </c>
      <c r="D400" s="6" t="s">
        <v>812</v>
      </c>
      <c r="E400" s="6" t="s">
        <v>1918</v>
      </c>
      <c r="F400" s="6" t="s">
        <v>56</v>
      </c>
      <c r="G400" s="17" t="s">
        <v>1284</v>
      </c>
      <c r="H400" s="17" t="s">
        <v>1916</v>
      </c>
      <c r="I400" s="17" t="s">
        <v>1285</v>
      </c>
    </row>
    <row r="401" spans="1:9" ht="30" customHeight="1" x14ac:dyDescent="0.25">
      <c r="A401" s="6">
        <v>669</v>
      </c>
      <c r="B401" s="14">
        <v>46149</v>
      </c>
      <c r="C401" s="6" t="s">
        <v>1277</v>
      </c>
      <c r="D401" s="6" t="s">
        <v>313</v>
      </c>
      <c r="E401" s="6" t="s">
        <v>1918</v>
      </c>
      <c r="F401" s="6" t="s">
        <v>66</v>
      </c>
      <c r="G401" s="17" t="s">
        <v>3</v>
      </c>
      <c r="H401" s="17" t="s">
        <v>1916</v>
      </c>
      <c r="I401" s="17" t="s">
        <v>1278</v>
      </c>
    </row>
    <row r="402" spans="1:9" ht="30" customHeight="1" x14ac:dyDescent="0.25">
      <c r="A402" s="6">
        <v>670</v>
      </c>
      <c r="B402" s="14">
        <v>46150</v>
      </c>
      <c r="C402" s="6" t="s">
        <v>1290</v>
      </c>
      <c r="D402" s="6" t="s">
        <v>228</v>
      </c>
      <c r="E402" s="6" t="s">
        <v>1918</v>
      </c>
      <c r="F402" s="6" t="s">
        <v>49</v>
      </c>
      <c r="G402" s="17" t="s">
        <v>3</v>
      </c>
      <c r="H402" s="17" t="s">
        <v>1916</v>
      </c>
      <c r="I402" s="17" t="s">
        <v>1291</v>
      </c>
    </row>
    <row r="403" spans="1:9" ht="30" customHeight="1" x14ac:dyDescent="0.25">
      <c r="A403" s="6">
        <v>671</v>
      </c>
      <c r="B403" s="14">
        <v>46150</v>
      </c>
      <c r="C403" s="6" t="s">
        <v>1287</v>
      </c>
      <c r="D403" s="6" t="s">
        <v>313</v>
      </c>
      <c r="E403" s="6" t="s">
        <v>1918</v>
      </c>
      <c r="F403" s="6" t="s">
        <v>108</v>
      </c>
      <c r="G403" s="17" t="s">
        <v>3</v>
      </c>
      <c r="H403" s="17" t="s">
        <v>1916</v>
      </c>
      <c r="I403" s="17" t="s">
        <v>1288</v>
      </c>
    </row>
    <row r="404" spans="1:9" ht="30" customHeight="1" x14ac:dyDescent="0.25">
      <c r="A404" s="6">
        <v>672</v>
      </c>
      <c r="B404" s="14">
        <v>46150</v>
      </c>
      <c r="C404" s="6" t="s">
        <v>2187</v>
      </c>
      <c r="D404" s="6" t="s">
        <v>812</v>
      </c>
      <c r="E404" s="6" t="s">
        <v>1949</v>
      </c>
      <c r="F404" s="6" t="s">
        <v>35</v>
      </c>
      <c r="G404" s="17" t="s">
        <v>3</v>
      </c>
      <c r="H404" s="17" t="s">
        <v>1916</v>
      </c>
      <c r="I404" s="17" t="s">
        <v>2188</v>
      </c>
    </row>
    <row r="405" spans="1:9" ht="30" customHeight="1" x14ac:dyDescent="0.25">
      <c r="A405" s="6">
        <v>673</v>
      </c>
      <c r="B405" s="14">
        <v>46150</v>
      </c>
      <c r="C405" s="6" t="s">
        <v>1293</v>
      </c>
      <c r="D405" s="6" t="s">
        <v>205</v>
      </c>
      <c r="E405" s="6" t="s">
        <v>1918</v>
      </c>
      <c r="F405" s="6" t="s">
        <v>118</v>
      </c>
      <c r="G405" s="17" t="s">
        <v>3</v>
      </c>
      <c r="H405" s="17" t="s">
        <v>1916</v>
      </c>
      <c r="I405" s="17" t="s">
        <v>1294</v>
      </c>
    </row>
    <row r="406" spans="1:9" ht="30" customHeight="1" x14ac:dyDescent="0.25">
      <c r="A406" s="6">
        <v>674</v>
      </c>
      <c r="B406" s="14">
        <v>46151</v>
      </c>
      <c r="C406" s="6" t="s">
        <v>1296</v>
      </c>
      <c r="D406" s="6" t="s">
        <v>313</v>
      </c>
      <c r="E406" s="6" t="s">
        <v>1918</v>
      </c>
      <c r="F406" s="6" t="s">
        <v>114</v>
      </c>
      <c r="G406" s="17" t="s">
        <v>3</v>
      </c>
      <c r="H406" s="17" t="s">
        <v>1916</v>
      </c>
      <c r="I406" s="17" t="s">
        <v>1297</v>
      </c>
    </row>
    <row r="407" spans="1:9" ht="30" customHeight="1" x14ac:dyDescent="0.25">
      <c r="A407" s="6">
        <v>675</v>
      </c>
      <c r="B407" s="14">
        <v>46153</v>
      </c>
      <c r="C407" s="6" t="s">
        <v>1305</v>
      </c>
      <c r="D407" s="6" t="s">
        <v>265</v>
      </c>
      <c r="E407" s="6" t="s">
        <v>1949</v>
      </c>
      <c r="F407" s="6" t="s">
        <v>45</v>
      </c>
      <c r="G407" s="17" t="s">
        <v>3</v>
      </c>
      <c r="H407" s="17" t="s">
        <v>1916</v>
      </c>
      <c r="I407" s="17" t="s">
        <v>3</v>
      </c>
    </row>
    <row r="408" spans="1:9" ht="30" customHeight="1" x14ac:dyDescent="0.25">
      <c r="A408" s="6">
        <v>676</v>
      </c>
      <c r="B408" s="14">
        <v>46153</v>
      </c>
      <c r="C408" s="6" t="s">
        <v>1305</v>
      </c>
      <c r="D408" s="6" t="s">
        <v>265</v>
      </c>
      <c r="E408" s="6" t="s">
        <v>1918</v>
      </c>
      <c r="F408" s="6" t="s">
        <v>137</v>
      </c>
      <c r="G408" s="17" t="s">
        <v>2189</v>
      </c>
      <c r="H408" s="17" t="s">
        <v>1916</v>
      </c>
      <c r="I408" s="17" t="s">
        <v>1307</v>
      </c>
    </row>
    <row r="409" spans="1:9" ht="30" customHeight="1" x14ac:dyDescent="0.25">
      <c r="A409" s="6">
        <v>677</v>
      </c>
      <c r="B409" s="14">
        <v>46153</v>
      </c>
      <c r="C409" s="6" t="s">
        <v>2190</v>
      </c>
      <c r="D409" s="6" t="s">
        <v>265</v>
      </c>
      <c r="E409" s="6" t="s">
        <v>1953</v>
      </c>
      <c r="F409" s="6" t="s">
        <v>45</v>
      </c>
      <c r="G409" s="17" t="s">
        <v>2191</v>
      </c>
      <c r="H409" s="17" t="s">
        <v>1916</v>
      </c>
      <c r="I409" s="17" t="s">
        <v>2192</v>
      </c>
    </row>
    <row r="410" spans="1:9" ht="30" customHeight="1" x14ac:dyDescent="0.25">
      <c r="A410" s="6">
        <v>678</v>
      </c>
      <c r="B410" s="14">
        <v>46153</v>
      </c>
      <c r="C410" s="6" t="s">
        <v>1299</v>
      </c>
      <c r="D410" s="6" t="s">
        <v>228</v>
      </c>
      <c r="E410" s="6" t="s">
        <v>1918</v>
      </c>
      <c r="F410" s="6" t="s">
        <v>49</v>
      </c>
      <c r="G410" s="17" t="s">
        <v>3</v>
      </c>
      <c r="H410" s="17" t="s">
        <v>1916</v>
      </c>
      <c r="I410" s="17" t="s">
        <v>1300</v>
      </c>
    </row>
    <row r="411" spans="1:9" ht="30" customHeight="1" x14ac:dyDescent="0.25">
      <c r="A411" s="6">
        <v>679</v>
      </c>
      <c r="B411" s="14">
        <v>46153</v>
      </c>
      <c r="C411" s="6" t="s">
        <v>1302</v>
      </c>
      <c r="D411" s="6" t="s">
        <v>205</v>
      </c>
      <c r="E411" s="6" t="s">
        <v>1918</v>
      </c>
      <c r="F411" s="6" t="s">
        <v>58</v>
      </c>
      <c r="G411" s="17" t="s">
        <v>3</v>
      </c>
      <c r="H411" s="17" t="s">
        <v>1916</v>
      </c>
      <c r="I411" s="17" t="s">
        <v>1303</v>
      </c>
    </row>
    <row r="412" spans="1:9" ht="30" customHeight="1" x14ac:dyDescent="0.25">
      <c r="A412" s="6">
        <v>680</v>
      </c>
      <c r="B412" s="14">
        <v>46153</v>
      </c>
      <c r="C412" s="6" t="s">
        <v>1313</v>
      </c>
      <c r="D412" s="6" t="s">
        <v>211</v>
      </c>
      <c r="E412" s="6" t="s">
        <v>1918</v>
      </c>
      <c r="F412" s="6" t="s">
        <v>35</v>
      </c>
      <c r="G412" s="17" t="s">
        <v>3</v>
      </c>
      <c r="H412" s="17" t="s">
        <v>1916</v>
      </c>
      <c r="I412" s="17" t="s">
        <v>1314</v>
      </c>
    </row>
    <row r="413" spans="1:9" ht="30" customHeight="1" x14ac:dyDescent="0.25">
      <c r="A413" s="6">
        <v>681</v>
      </c>
      <c r="B413" s="14">
        <v>46154</v>
      </c>
      <c r="C413" s="6" t="s">
        <v>1309</v>
      </c>
      <c r="D413" s="6" t="s">
        <v>313</v>
      </c>
      <c r="E413" s="6" t="s">
        <v>1918</v>
      </c>
      <c r="F413" s="6" t="s">
        <v>77</v>
      </c>
      <c r="G413" s="17" t="s">
        <v>1310</v>
      </c>
      <c r="H413" s="17" t="s">
        <v>1916</v>
      </c>
      <c r="I413" s="17" t="s">
        <v>1311</v>
      </c>
    </row>
    <row r="414" spans="1:9" ht="30" customHeight="1" x14ac:dyDescent="0.25">
      <c r="A414" s="6">
        <v>682</v>
      </c>
      <c r="B414" s="14">
        <v>46154</v>
      </c>
      <c r="C414" s="6" t="s">
        <v>1316</v>
      </c>
      <c r="D414" s="6" t="s">
        <v>228</v>
      </c>
      <c r="E414" s="6" t="s">
        <v>1918</v>
      </c>
      <c r="F414" s="6" t="s">
        <v>49</v>
      </c>
      <c r="G414" s="17" t="s">
        <v>3</v>
      </c>
      <c r="H414" s="17" t="s">
        <v>1916</v>
      </c>
      <c r="I414" s="17" t="s">
        <v>1317</v>
      </c>
    </row>
    <row r="415" spans="1:9" ht="30" customHeight="1" x14ac:dyDescent="0.25">
      <c r="A415" s="6">
        <v>683</v>
      </c>
      <c r="B415" s="14">
        <v>46154</v>
      </c>
      <c r="C415" s="6" t="s">
        <v>1319</v>
      </c>
      <c r="D415" s="6" t="s">
        <v>205</v>
      </c>
      <c r="E415" s="6" t="s">
        <v>1918</v>
      </c>
      <c r="F415" s="6" t="s">
        <v>58</v>
      </c>
      <c r="G415" s="17" t="s">
        <v>3</v>
      </c>
      <c r="H415" s="17" t="s">
        <v>1916</v>
      </c>
      <c r="I415" s="17" t="s">
        <v>1320</v>
      </c>
    </row>
    <row r="416" spans="1:9" ht="30" customHeight="1" x14ac:dyDescent="0.25">
      <c r="A416" s="6">
        <v>684</v>
      </c>
      <c r="B416" s="14">
        <v>46154</v>
      </c>
      <c r="C416" s="6" t="s">
        <v>1322</v>
      </c>
      <c r="D416" s="6" t="s">
        <v>313</v>
      </c>
      <c r="E416" s="6" t="s">
        <v>1918</v>
      </c>
      <c r="F416" s="6" t="s">
        <v>77</v>
      </c>
      <c r="G416" s="17" t="s">
        <v>1323</v>
      </c>
      <c r="H416" s="17" t="s">
        <v>1916</v>
      </c>
      <c r="I416" s="17" t="s">
        <v>1324</v>
      </c>
    </row>
    <row r="417" spans="1:9" ht="30" customHeight="1" x14ac:dyDescent="0.25">
      <c r="A417" s="6">
        <v>685</v>
      </c>
      <c r="B417" s="14">
        <v>46156</v>
      </c>
      <c r="C417" s="6" t="s">
        <v>1330</v>
      </c>
      <c r="D417" s="6" t="s">
        <v>228</v>
      </c>
      <c r="E417" s="6" t="s">
        <v>1918</v>
      </c>
      <c r="F417" s="6" t="s">
        <v>167</v>
      </c>
      <c r="G417" s="17" t="s">
        <v>3</v>
      </c>
      <c r="H417" s="17" t="s">
        <v>1916</v>
      </c>
      <c r="I417" s="17" t="s">
        <v>1331</v>
      </c>
    </row>
    <row r="418" spans="1:9" ht="30" customHeight="1" x14ac:dyDescent="0.25">
      <c r="A418" s="6">
        <v>686</v>
      </c>
      <c r="B418" s="14">
        <v>46156</v>
      </c>
      <c r="C418" s="6" t="s">
        <v>1333</v>
      </c>
      <c r="D418" s="6" t="s">
        <v>211</v>
      </c>
      <c r="E418" s="6" t="s">
        <v>1918</v>
      </c>
      <c r="F418" s="6" t="s">
        <v>35</v>
      </c>
      <c r="G418" s="17" t="s">
        <v>3</v>
      </c>
      <c r="H418" s="17" t="s">
        <v>1916</v>
      </c>
      <c r="I418" s="17" t="s">
        <v>1334</v>
      </c>
    </row>
    <row r="419" spans="1:9" ht="30" customHeight="1" x14ac:dyDescent="0.25">
      <c r="A419" s="6">
        <v>687</v>
      </c>
      <c r="B419" s="14">
        <v>46156</v>
      </c>
      <c r="C419" s="6" t="s">
        <v>1326</v>
      </c>
      <c r="D419" s="6" t="s">
        <v>313</v>
      </c>
      <c r="E419" s="6" t="s">
        <v>1918</v>
      </c>
      <c r="F419" s="6" t="s">
        <v>77</v>
      </c>
      <c r="G419" s="17" t="s">
        <v>1327</v>
      </c>
      <c r="H419" s="17" t="s">
        <v>1916</v>
      </c>
      <c r="I419" s="17" t="s">
        <v>1328</v>
      </c>
    </row>
    <row r="420" spans="1:9" ht="30" customHeight="1" x14ac:dyDescent="0.25">
      <c r="A420" s="6">
        <v>688</v>
      </c>
      <c r="B420" s="14">
        <v>46156</v>
      </c>
      <c r="C420" s="6" t="s">
        <v>1336</v>
      </c>
      <c r="D420" s="6" t="s">
        <v>313</v>
      </c>
      <c r="E420" s="6" t="s">
        <v>1918</v>
      </c>
      <c r="F420" s="6" t="s">
        <v>63</v>
      </c>
      <c r="G420" s="17" t="s">
        <v>3</v>
      </c>
      <c r="H420" s="17" t="s">
        <v>1916</v>
      </c>
      <c r="I420" s="17" t="s">
        <v>1337</v>
      </c>
    </row>
    <row r="421" spans="1:9" ht="30" customHeight="1" x14ac:dyDescent="0.25">
      <c r="A421" s="6">
        <v>689</v>
      </c>
      <c r="B421" s="14">
        <v>46160</v>
      </c>
      <c r="C421" s="6" t="s">
        <v>1342</v>
      </c>
      <c r="D421" s="6" t="s">
        <v>211</v>
      </c>
      <c r="E421" s="6" t="s">
        <v>1918</v>
      </c>
      <c r="F421" s="6" t="s">
        <v>35</v>
      </c>
      <c r="G421" s="17" t="s">
        <v>3</v>
      </c>
      <c r="H421" s="17" t="s">
        <v>1916</v>
      </c>
      <c r="I421" s="17" t="s">
        <v>1343</v>
      </c>
    </row>
    <row r="422" spans="1:9" ht="30" customHeight="1" x14ac:dyDescent="0.25">
      <c r="A422" s="6">
        <v>690</v>
      </c>
      <c r="B422" s="14">
        <v>46160</v>
      </c>
      <c r="C422" s="6" t="s">
        <v>1345</v>
      </c>
      <c r="D422" s="6" t="s">
        <v>228</v>
      </c>
      <c r="E422" s="6" t="s">
        <v>1918</v>
      </c>
      <c r="F422" s="6" t="s">
        <v>49</v>
      </c>
      <c r="G422" s="17" t="s">
        <v>3</v>
      </c>
      <c r="H422" s="17" t="s">
        <v>1916</v>
      </c>
      <c r="I422" s="17" t="s">
        <v>1346</v>
      </c>
    </row>
    <row r="423" spans="1:9" ht="30" customHeight="1" x14ac:dyDescent="0.25">
      <c r="A423" s="6">
        <v>691</v>
      </c>
      <c r="B423" s="14">
        <v>46160</v>
      </c>
      <c r="C423" s="6" t="s">
        <v>1348</v>
      </c>
      <c r="D423" s="6" t="s">
        <v>313</v>
      </c>
      <c r="E423" s="6" t="s">
        <v>1918</v>
      </c>
      <c r="F423" s="6" t="s">
        <v>71</v>
      </c>
      <c r="G423" s="17" t="s">
        <v>1349</v>
      </c>
      <c r="H423" s="17" t="s">
        <v>1916</v>
      </c>
      <c r="I423" s="17" t="s">
        <v>1350</v>
      </c>
    </row>
    <row r="424" spans="1:9" ht="30" customHeight="1" x14ac:dyDescent="0.25">
      <c r="A424" s="6">
        <v>692</v>
      </c>
      <c r="B424" s="14">
        <v>46161</v>
      </c>
      <c r="C424" s="6" t="s">
        <v>1355</v>
      </c>
      <c r="D424" s="6" t="s">
        <v>812</v>
      </c>
      <c r="E424" s="6" t="s">
        <v>1918</v>
      </c>
      <c r="F424" s="6" t="s">
        <v>127</v>
      </c>
      <c r="G424" s="17" t="s">
        <v>3</v>
      </c>
      <c r="H424" s="17" t="s">
        <v>1919</v>
      </c>
      <c r="I424" s="17" t="s">
        <v>1357</v>
      </c>
    </row>
    <row r="425" spans="1:9" ht="30" customHeight="1" x14ac:dyDescent="0.25">
      <c r="A425" s="6">
        <v>693</v>
      </c>
      <c r="B425" s="14">
        <v>46161</v>
      </c>
      <c r="C425" s="6" t="s">
        <v>1364</v>
      </c>
      <c r="D425" s="6" t="s">
        <v>211</v>
      </c>
      <c r="E425" s="6" t="s">
        <v>1918</v>
      </c>
      <c r="F425" s="6" t="s">
        <v>35</v>
      </c>
      <c r="G425" s="17" t="s">
        <v>3</v>
      </c>
      <c r="H425" s="17" t="s">
        <v>1916</v>
      </c>
      <c r="I425" s="17" t="s">
        <v>1365</v>
      </c>
    </row>
    <row r="426" spans="1:9" ht="30" customHeight="1" x14ac:dyDescent="0.25">
      <c r="A426" s="6">
        <v>694</v>
      </c>
      <c r="B426" s="14">
        <v>46161</v>
      </c>
      <c r="C426" s="6" t="s">
        <v>1352</v>
      </c>
      <c r="D426" s="6" t="s">
        <v>228</v>
      </c>
      <c r="E426" s="6" t="s">
        <v>1918</v>
      </c>
      <c r="F426" s="6" t="s">
        <v>49</v>
      </c>
      <c r="G426" s="17" t="s">
        <v>3</v>
      </c>
      <c r="H426" s="17" t="s">
        <v>1916</v>
      </c>
      <c r="I426" s="17" t="s">
        <v>1353</v>
      </c>
    </row>
    <row r="427" spans="1:9" ht="30" customHeight="1" x14ac:dyDescent="0.25">
      <c r="A427" s="6">
        <v>695</v>
      </c>
      <c r="B427" s="14">
        <v>46161</v>
      </c>
      <c r="C427" s="6" t="s">
        <v>1360</v>
      </c>
      <c r="D427" s="6" t="s">
        <v>205</v>
      </c>
      <c r="E427" s="6" t="s">
        <v>1918</v>
      </c>
      <c r="F427" s="6" t="s">
        <v>47</v>
      </c>
      <c r="G427" s="17" t="s">
        <v>3</v>
      </c>
      <c r="H427" s="17" t="s">
        <v>1916</v>
      </c>
      <c r="I427" s="17" t="s">
        <v>1362</v>
      </c>
    </row>
    <row r="428" spans="1:9" ht="30" customHeight="1" x14ac:dyDescent="0.25">
      <c r="A428" s="6">
        <v>696</v>
      </c>
      <c r="B428" s="14">
        <v>46161</v>
      </c>
      <c r="C428" s="6" t="s">
        <v>2193</v>
      </c>
      <c r="D428" s="6" t="s">
        <v>313</v>
      </c>
      <c r="E428" s="6" t="s">
        <v>1924</v>
      </c>
      <c r="F428" s="6" t="s">
        <v>1925</v>
      </c>
      <c r="G428" s="17" t="s">
        <v>3</v>
      </c>
      <c r="H428" s="17" t="s">
        <v>1916</v>
      </c>
      <c r="I428" s="17" t="s">
        <v>1926</v>
      </c>
    </row>
    <row r="429" spans="1:9" ht="30" customHeight="1" x14ac:dyDescent="0.25">
      <c r="A429" s="6">
        <v>697</v>
      </c>
      <c r="B429" s="14">
        <v>46161</v>
      </c>
      <c r="C429" s="6" t="s">
        <v>1374</v>
      </c>
      <c r="D429" s="6" t="s">
        <v>313</v>
      </c>
      <c r="E429" s="6" t="s">
        <v>1918</v>
      </c>
      <c r="F429" s="6" t="s">
        <v>63</v>
      </c>
      <c r="G429" s="17" t="s">
        <v>3</v>
      </c>
      <c r="H429" s="17" t="s">
        <v>1916</v>
      </c>
      <c r="I429" s="17" t="s">
        <v>1375</v>
      </c>
    </row>
    <row r="430" spans="1:9" ht="30" customHeight="1" x14ac:dyDescent="0.25">
      <c r="A430" s="6">
        <v>698</v>
      </c>
      <c r="B430" s="14">
        <v>46162</v>
      </c>
      <c r="C430" s="6" t="s">
        <v>1367</v>
      </c>
      <c r="D430" s="6" t="s">
        <v>812</v>
      </c>
      <c r="E430" s="6" t="s">
        <v>1918</v>
      </c>
      <c r="F430" s="6" t="s">
        <v>35</v>
      </c>
      <c r="G430" s="17" t="s">
        <v>3</v>
      </c>
      <c r="H430" s="17" t="s">
        <v>1919</v>
      </c>
      <c r="I430" s="17" t="s">
        <v>1371</v>
      </c>
    </row>
    <row r="431" spans="1:9" ht="30" customHeight="1" x14ac:dyDescent="0.25">
      <c r="A431" s="6">
        <v>699</v>
      </c>
      <c r="B431" s="14">
        <v>46162</v>
      </c>
      <c r="C431" s="6" t="s">
        <v>1379</v>
      </c>
      <c r="D431" s="6" t="s">
        <v>812</v>
      </c>
      <c r="E431" s="6" t="s">
        <v>1918</v>
      </c>
      <c r="F431" s="6" t="s">
        <v>75</v>
      </c>
      <c r="G431" s="17" t="s">
        <v>3</v>
      </c>
      <c r="H431" s="17" t="s">
        <v>1919</v>
      </c>
      <c r="I431" s="17" t="s">
        <v>1380</v>
      </c>
    </row>
    <row r="432" spans="1:9" ht="30" customHeight="1" x14ac:dyDescent="0.25">
      <c r="A432" s="6">
        <v>700</v>
      </c>
      <c r="B432" s="14">
        <v>46162</v>
      </c>
      <c r="C432" s="6" t="s">
        <v>1382</v>
      </c>
      <c r="D432" s="6" t="s">
        <v>228</v>
      </c>
      <c r="E432" s="6" t="s">
        <v>1918</v>
      </c>
      <c r="F432" s="6" t="s">
        <v>136</v>
      </c>
      <c r="G432" s="17" t="s">
        <v>3</v>
      </c>
      <c r="H432" s="17" t="s">
        <v>1916</v>
      </c>
      <c r="I432" s="17" t="s">
        <v>1383</v>
      </c>
    </row>
    <row r="433" spans="1:9" ht="30" customHeight="1" x14ac:dyDescent="0.25">
      <c r="A433" s="6">
        <v>701</v>
      </c>
      <c r="B433" s="14">
        <v>46162</v>
      </c>
      <c r="C433" s="6" t="s">
        <v>1385</v>
      </c>
      <c r="D433" s="6" t="s">
        <v>205</v>
      </c>
      <c r="E433" s="6" t="s">
        <v>1918</v>
      </c>
      <c r="F433" s="6" t="s">
        <v>35</v>
      </c>
      <c r="G433" s="17" t="s">
        <v>3</v>
      </c>
      <c r="H433" s="17" t="s">
        <v>1916</v>
      </c>
      <c r="I433" s="17" t="s">
        <v>1387</v>
      </c>
    </row>
    <row r="434" spans="1:9" ht="30" customHeight="1" x14ac:dyDescent="0.25">
      <c r="A434" s="6">
        <v>702</v>
      </c>
      <c r="B434" s="14">
        <v>46163</v>
      </c>
      <c r="C434" s="6" t="s">
        <v>1393</v>
      </c>
      <c r="D434" s="6" t="s">
        <v>228</v>
      </c>
      <c r="E434" s="6" t="s">
        <v>1918</v>
      </c>
      <c r="F434" s="6" t="s">
        <v>47</v>
      </c>
      <c r="G434" s="17" t="s">
        <v>3</v>
      </c>
      <c r="H434" s="17" t="s">
        <v>1916</v>
      </c>
      <c r="I434" s="17" t="s">
        <v>1394</v>
      </c>
    </row>
    <row r="435" spans="1:9" ht="30" customHeight="1" x14ac:dyDescent="0.25">
      <c r="A435" s="6">
        <v>703</v>
      </c>
      <c r="B435" s="14">
        <v>46163</v>
      </c>
      <c r="C435" s="6" t="s">
        <v>1389</v>
      </c>
      <c r="D435" s="6" t="s">
        <v>313</v>
      </c>
      <c r="E435" s="6" t="s">
        <v>1918</v>
      </c>
      <c r="F435" s="6" t="s">
        <v>58</v>
      </c>
      <c r="G435" s="17" t="s">
        <v>1390</v>
      </c>
      <c r="H435" s="17" t="s">
        <v>1916</v>
      </c>
      <c r="I435" s="17" t="s">
        <v>1391</v>
      </c>
    </row>
    <row r="436" spans="1:9" ht="30" customHeight="1" x14ac:dyDescent="0.25">
      <c r="A436" s="6">
        <v>704</v>
      </c>
      <c r="B436" s="14">
        <v>46164</v>
      </c>
      <c r="C436" s="6" t="s">
        <v>1396</v>
      </c>
      <c r="D436" s="6" t="s">
        <v>205</v>
      </c>
      <c r="E436" s="6" t="s">
        <v>1918</v>
      </c>
      <c r="F436" s="6" t="s">
        <v>35</v>
      </c>
      <c r="G436" s="17" t="s">
        <v>3</v>
      </c>
      <c r="H436" s="17" t="s">
        <v>1916</v>
      </c>
      <c r="I436" s="17" t="s">
        <v>1397</v>
      </c>
    </row>
    <row r="437" spans="1:9" ht="30" customHeight="1" x14ac:dyDescent="0.25">
      <c r="A437" s="6">
        <v>705</v>
      </c>
      <c r="B437" s="14">
        <v>46164</v>
      </c>
      <c r="C437" s="6" t="s">
        <v>1027</v>
      </c>
      <c r="D437" s="6" t="s">
        <v>228</v>
      </c>
      <c r="E437" s="6" t="s">
        <v>1918</v>
      </c>
      <c r="F437" s="6" t="s">
        <v>47</v>
      </c>
      <c r="G437" s="17" t="s">
        <v>3</v>
      </c>
      <c r="H437" s="17" t="s">
        <v>1916</v>
      </c>
      <c r="I437" s="17" t="s">
        <v>1403</v>
      </c>
    </row>
    <row r="438" spans="1:9" ht="30" customHeight="1" x14ac:dyDescent="0.25">
      <c r="A438" s="6">
        <v>706</v>
      </c>
      <c r="B438" s="14">
        <v>46164</v>
      </c>
      <c r="C438" s="6" t="s">
        <v>1399</v>
      </c>
      <c r="D438" s="6" t="s">
        <v>313</v>
      </c>
      <c r="E438" s="6" t="s">
        <v>1918</v>
      </c>
      <c r="F438" s="6" t="s">
        <v>58</v>
      </c>
      <c r="G438" s="17" t="s">
        <v>1400</v>
      </c>
      <c r="H438" s="17" t="s">
        <v>1916</v>
      </c>
      <c r="I438" s="17" t="s">
        <v>1401</v>
      </c>
    </row>
    <row r="439" spans="1:9" ht="30" customHeight="1" x14ac:dyDescent="0.25">
      <c r="A439" s="6">
        <v>707</v>
      </c>
      <c r="B439" s="14">
        <v>46164</v>
      </c>
      <c r="C439" s="6" t="s">
        <v>1406</v>
      </c>
      <c r="D439" s="6" t="s">
        <v>205</v>
      </c>
      <c r="E439" s="6" t="s">
        <v>1918</v>
      </c>
      <c r="F439" s="6" t="s">
        <v>35</v>
      </c>
      <c r="G439" s="17" t="s">
        <v>3</v>
      </c>
      <c r="H439" s="17" t="s">
        <v>1916</v>
      </c>
      <c r="I439" s="17" t="s">
        <v>1407</v>
      </c>
    </row>
    <row r="440" spans="1:9" ht="30" customHeight="1" x14ac:dyDescent="0.25">
      <c r="A440" s="6">
        <v>708</v>
      </c>
      <c r="B440" s="14">
        <v>46167</v>
      </c>
      <c r="C440" s="6" t="s">
        <v>1409</v>
      </c>
      <c r="D440" s="6" t="s">
        <v>812</v>
      </c>
      <c r="E440" s="6" t="s">
        <v>1918</v>
      </c>
      <c r="F440" s="6" t="s">
        <v>86</v>
      </c>
      <c r="G440" s="17" t="s">
        <v>3</v>
      </c>
      <c r="H440" s="17" t="s">
        <v>1919</v>
      </c>
      <c r="I440" s="17" t="s">
        <v>1412</v>
      </c>
    </row>
    <row r="441" spans="1:9" ht="30" customHeight="1" x14ac:dyDescent="0.25">
      <c r="A441" s="6">
        <v>709</v>
      </c>
      <c r="B441" s="14">
        <v>46167</v>
      </c>
      <c r="C441" s="6" t="s">
        <v>1419</v>
      </c>
      <c r="D441" s="6" t="s">
        <v>313</v>
      </c>
      <c r="E441" s="6" t="s">
        <v>1918</v>
      </c>
      <c r="F441" s="6" t="s">
        <v>45</v>
      </c>
      <c r="G441" s="17" t="s">
        <v>1422</v>
      </c>
      <c r="H441" s="17" t="s">
        <v>1916</v>
      </c>
      <c r="I441" s="17" t="s">
        <v>1423</v>
      </c>
    </row>
    <row r="442" spans="1:9" ht="30" customHeight="1" x14ac:dyDescent="0.25">
      <c r="A442" s="6">
        <v>710</v>
      </c>
      <c r="B442" s="14">
        <v>46167</v>
      </c>
      <c r="C442" s="6" t="s">
        <v>1419</v>
      </c>
      <c r="D442" s="6" t="s">
        <v>313</v>
      </c>
      <c r="E442" s="6" t="s">
        <v>1918</v>
      </c>
      <c r="F442" s="6" t="s">
        <v>45</v>
      </c>
      <c r="G442" s="17" t="s">
        <v>1426</v>
      </c>
      <c r="H442" s="17" t="s">
        <v>1916</v>
      </c>
      <c r="I442" s="17" t="s">
        <v>1427</v>
      </c>
    </row>
    <row r="443" spans="1:9" ht="30" customHeight="1" x14ac:dyDescent="0.25">
      <c r="A443" s="6">
        <v>711</v>
      </c>
      <c r="B443" s="14">
        <v>46167</v>
      </c>
      <c r="C443" s="6" t="s">
        <v>1429</v>
      </c>
      <c r="D443" s="6" t="s">
        <v>313</v>
      </c>
      <c r="E443" s="6" t="s">
        <v>1918</v>
      </c>
      <c r="F443" s="6" t="s">
        <v>92</v>
      </c>
      <c r="G443" s="17" t="s">
        <v>3</v>
      </c>
      <c r="H443" s="17" t="s">
        <v>1916</v>
      </c>
      <c r="I443" s="17" t="s">
        <v>1431</v>
      </c>
    </row>
    <row r="444" spans="1:9" ht="30" customHeight="1" x14ac:dyDescent="0.25">
      <c r="A444" s="6">
        <v>712</v>
      </c>
      <c r="B444" s="14">
        <v>46167</v>
      </c>
      <c r="C444" s="6" t="s">
        <v>1433</v>
      </c>
      <c r="D444" s="6" t="s">
        <v>205</v>
      </c>
      <c r="E444" s="6" t="s">
        <v>1918</v>
      </c>
      <c r="F444" s="6" t="s">
        <v>47</v>
      </c>
      <c r="G444" s="17" t="s">
        <v>3</v>
      </c>
      <c r="H444" s="17" t="s">
        <v>1916</v>
      </c>
      <c r="I444" s="17" t="s">
        <v>1434</v>
      </c>
    </row>
    <row r="445" spans="1:9" ht="30" customHeight="1" x14ac:dyDescent="0.25">
      <c r="A445" s="6">
        <v>713</v>
      </c>
      <c r="B445" s="14">
        <v>46167</v>
      </c>
      <c r="C445" s="6" t="s">
        <v>1436</v>
      </c>
      <c r="D445" s="6" t="s">
        <v>228</v>
      </c>
      <c r="E445" s="6" t="s">
        <v>1918</v>
      </c>
      <c r="F445" s="6" t="s">
        <v>47</v>
      </c>
      <c r="G445" s="17" t="s">
        <v>3</v>
      </c>
      <c r="H445" s="17" t="s">
        <v>1916</v>
      </c>
      <c r="I445" s="17" t="s">
        <v>1437</v>
      </c>
    </row>
    <row r="446" spans="1:9" ht="30" customHeight="1" x14ac:dyDescent="0.25">
      <c r="A446" s="6">
        <v>714</v>
      </c>
      <c r="B446" s="14">
        <v>46167</v>
      </c>
      <c r="C446" s="6" t="s">
        <v>1415</v>
      </c>
      <c r="D446" s="6" t="s">
        <v>313</v>
      </c>
      <c r="E446" s="6" t="s">
        <v>1918</v>
      </c>
      <c r="F446" s="6" t="s">
        <v>35</v>
      </c>
      <c r="G446" s="17" t="s">
        <v>1416</v>
      </c>
      <c r="H446" s="17" t="s">
        <v>1916</v>
      </c>
      <c r="I446" s="17" t="s">
        <v>1417</v>
      </c>
    </row>
    <row r="447" spans="1:9" ht="30" customHeight="1" x14ac:dyDescent="0.25">
      <c r="A447" s="6">
        <v>715</v>
      </c>
      <c r="B447" s="14">
        <v>46168</v>
      </c>
      <c r="C447" s="6" t="s">
        <v>1447</v>
      </c>
      <c r="D447" s="6" t="s">
        <v>228</v>
      </c>
      <c r="E447" s="6" t="s">
        <v>1918</v>
      </c>
      <c r="F447" s="6" t="s">
        <v>47</v>
      </c>
      <c r="G447" s="17" t="s">
        <v>3</v>
      </c>
      <c r="H447" s="17" t="s">
        <v>1916</v>
      </c>
      <c r="I447" s="17" t="s">
        <v>1448</v>
      </c>
    </row>
    <row r="448" spans="1:9" ht="30" customHeight="1" x14ac:dyDescent="0.25">
      <c r="A448" s="6">
        <v>716</v>
      </c>
      <c r="B448" s="14">
        <v>46168</v>
      </c>
      <c r="C448" s="6" t="s">
        <v>1439</v>
      </c>
      <c r="D448" s="6" t="s">
        <v>205</v>
      </c>
      <c r="E448" s="6" t="s">
        <v>1918</v>
      </c>
      <c r="F448" s="6" t="s">
        <v>88</v>
      </c>
      <c r="G448" s="17" t="s">
        <v>3</v>
      </c>
      <c r="H448" s="17" t="s">
        <v>1916</v>
      </c>
      <c r="I448" s="17" t="s">
        <v>1441</v>
      </c>
    </row>
    <row r="449" spans="1:9" ht="30" customHeight="1" x14ac:dyDescent="0.25">
      <c r="A449" s="6">
        <v>717</v>
      </c>
      <c r="B449" s="14">
        <v>46169</v>
      </c>
      <c r="C449" s="6" t="s">
        <v>2194</v>
      </c>
      <c r="D449" s="6" t="s">
        <v>812</v>
      </c>
      <c r="E449" s="6" t="s">
        <v>1924</v>
      </c>
      <c r="F449" s="6" t="s">
        <v>1925</v>
      </c>
      <c r="G449" s="17" t="s">
        <v>3</v>
      </c>
      <c r="H449" s="17" t="s">
        <v>1916</v>
      </c>
      <c r="I449" s="17" t="s">
        <v>1926</v>
      </c>
    </row>
    <row r="450" spans="1:9" ht="30" customHeight="1" x14ac:dyDescent="0.25">
      <c r="A450" s="6">
        <v>718</v>
      </c>
      <c r="B450" s="14">
        <v>46169</v>
      </c>
      <c r="C450" s="6" t="s">
        <v>2195</v>
      </c>
      <c r="D450" s="6" t="s">
        <v>812</v>
      </c>
      <c r="E450" s="6" t="s">
        <v>1931</v>
      </c>
      <c r="F450" s="6" t="s">
        <v>56</v>
      </c>
      <c r="G450" s="17" t="s">
        <v>2196</v>
      </c>
      <c r="H450" s="17" t="s">
        <v>1916</v>
      </c>
      <c r="I450" s="17" t="s">
        <v>2197</v>
      </c>
    </row>
    <row r="451" spans="1:9" ht="30" customHeight="1" x14ac:dyDescent="0.25">
      <c r="A451" s="6">
        <v>719</v>
      </c>
      <c r="B451" s="14">
        <v>46169</v>
      </c>
      <c r="C451" s="6" t="s">
        <v>2198</v>
      </c>
      <c r="D451" s="6" t="s">
        <v>812</v>
      </c>
      <c r="E451" s="6" t="s">
        <v>1949</v>
      </c>
      <c r="F451" s="6" t="s">
        <v>56</v>
      </c>
      <c r="G451" s="17" t="s">
        <v>3</v>
      </c>
      <c r="H451" s="17" t="s">
        <v>1916</v>
      </c>
      <c r="I451" s="17" t="s">
        <v>2199</v>
      </c>
    </row>
    <row r="452" spans="1:9" ht="30" customHeight="1" x14ac:dyDescent="0.25">
      <c r="A452" s="6">
        <v>720</v>
      </c>
      <c r="B452" s="14">
        <v>46169</v>
      </c>
      <c r="C452" s="6" t="s">
        <v>1450</v>
      </c>
      <c r="D452" s="6" t="s">
        <v>228</v>
      </c>
      <c r="E452" s="6" t="s">
        <v>1918</v>
      </c>
      <c r="F452" s="6" t="s">
        <v>71</v>
      </c>
      <c r="G452" s="17" t="s">
        <v>3</v>
      </c>
      <c r="H452" s="17" t="s">
        <v>1916</v>
      </c>
      <c r="I452" s="17" t="s">
        <v>1451</v>
      </c>
    </row>
    <row r="453" spans="1:9" ht="30" customHeight="1" x14ac:dyDescent="0.25">
      <c r="A453" s="6">
        <v>721</v>
      </c>
      <c r="B453" s="14">
        <v>46169</v>
      </c>
      <c r="C453" s="6" t="s">
        <v>1453</v>
      </c>
      <c r="D453" s="6" t="s">
        <v>205</v>
      </c>
      <c r="E453" s="6" t="s">
        <v>1918</v>
      </c>
      <c r="F453" s="6" t="s">
        <v>74</v>
      </c>
      <c r="G453" s="17" t="s">
        <v>3</v>
      </c>
      <c r="H453" s="17" t="s">
        <v>1916</v>
      </c>
      <c r="I453" s="17" t="s">
        <v>1454</v>
      </c>
    </row>
    <row r="454" spans="1:9" ht="30" customHeight="1" x14ac:dyDescent="0.25">
      <c r="A454" s="6">
        <v>722</v>
      </c>
      <c r="B454" s="14">
        <v>46170</v>
      </c>
      <c r="C454" s="6" t="s">
        <v>1456</v>
      </c>
      <c r="D454" s="6" t="s">
        <v>205</v>
      </c>
      <c r="E454" s="6" t="s">
        <v>1918</v>
      </c>
      <c r="F454" s="6" t="s">
        <v>74</v>
      </c>
      <c r="G454" s="17" t="s">
        <v>3</v>
      </c>
      <c r="H454" s="17" t="s">
        <v>1916</v>
      </c>
      <c r="I454" s="17" t="s">
        <v>1457</v>
      </c>
    </row>
    <row r="455" spans="1:9" ht="30" customHeight="1" x14ac:dyDescent="0.25">
      <c r="A455" s="6">
        <v>723</v>
      </c>
      <c r="B455" s="14">
        <v>46171</v>
      </c>
      <c r="C455" s="6" t="s">
        <v>1459</v>
      </c>
      <c r="D455" s="6" t="s">
        <v>205</v>
      </c>
      <c r="E455" s="6" t="s">
        <v>1918</v>
      </c>
      <c r="F455" s="6" t="s">
        <v>74</v>
      </c>
      <c r="G455" s="17" t="s">
        <v>3</v>
      </c>
      <c r="H455" s="17" t="s">
        <v>1916</v>
      </c>
      <c r="I455" s="17" t="s">
        <v>1460</v>
      </c>
    </row>
    <row r="456" spans="1:9" ht="30" customHeight="1" x14ac:dyDescent="0.25">
      <c r="A456" s="6">
        <v>724</v>
      </c>
      <c r="B456" s="14">
        <v>46172</v>
      </c>
      <c r="C456" s="6" t="s">
        <v>1462</v>
      </c>
      <c r="D456" s="6" t="s">
        <v>313</v>
      </c>
      <c r="E456" s="6" t="s">
        <v>1918</v>
      </c>
      <c r="F456" s="6" t="s">
        <v>49</v>
      </c>
      <c r="G456" s="17" t="s">
        <v>1463</v>
      </c>
      <c r="H456" s="17" t="s">
        <v>1916</v>
      </c>
      <c r="I456" s="17" t="s">
        <v>1464</v>
      </c>
    </row>
    <row r="457" spans="1:9" ht="30" customHeight="1" x14ac:dyDescent="0.25">
      <c r="A457" s="6">
        <v>725</v>
      </c>
      <c r="B457" s="14">
        <v>46173</v>
      </c>
      <c r="C457" s="6" t="s">
        <v>1466</v>
      </c>
      <c r="D457" s="6" t="s">
        <v>313</v>
      </c>
      <c r="E457" s="6" t="s">
        <v>1918</v>
      </c>
      <c r="F457" s="6" t="s">
        <v>153</v>
      </c>
      <c r="G457" s="17" t="s">
        <v>3</v>
      </c>
      <c r="H457" s="17" t="s">
        <v>1916</v>
      </c>
      <c r="I457" s="17" t="s">
        <v>1467</v>
      </c>
    </row>
    <row r="458" spans="1:9" ht="30" customHeight="1" x14ac:dyDescent="0.25">
      <c r="A458" s="6">
        <v>726</v>
      </c>
      <c r="B458" s="14">
        <v>46174</v>
      </c>
      <c r="C458" s="6" t="s">
        <v>2200</v>
      </c>
      <c r="D458" s="6" t="s">
        <v>265</v>
      </c>
      <c r="E458" s="6" t="s">
        <v>1949</v>
      </c>
      <c r="F458" s="6" t="s">
        <v>45</v>
      </c>
      <c r="G458" s="17" t="s">
        <v>3</v>
      </c>
      <c r="H458" s="17" t="s">
        <v>1916</v>
      </c>
      <c r="I458" s="17" t="s">
        <v>3</v>
      </c>
    </row>
    <row r="459" spans="1:9" ht="30" customHeight="1" x14ac:dyDescent="0.25">
      <c r="A459" s="6">
        <v>727</v>
      </c>
      <c r="B459" s="14">
        <v>46174</v>
      </c>
      <c r="C459" s="6" t="s">
        <v>2200</v>
      </c>
      <c r="D459" s="6" t="s">
        <v>265</v>
      </c>
      <c r="E459" s="6" t="s">
        <v>1931</v>
      </c>
      <c r="F459" s="6" t="s">
        <v>49</v>
      </c>
      <c r="G459" s="17" t="s">
        <v>2201</v>
      </c>
      <c r="H459" s="17" t="s">
        <v>1916</v>
      </c>
      <c r="I459" s="17" t="s">
        <v>2202</v>
      </c>
    </row>
    <row r="460" spans="1:9" ht="30" customHeight="1" x14ac:dyDescent="0.25">
      <c r="A460" s="6">
        <v>728</v>
      </c>
      <c r="B460" s="14">
        <v>46174</v>
      </c>
      <c r="C460" s="6" t="s">
        <v>2200</v>
      </c>
      <c r="D460" s="6" t="s">
        <v>265</v>
      </c>
      <c r="E460" s="6" t="s">
        <v>1931</v>
      </c>
      <c r="F460" s="6" t="s">
        <v>45</v>
      </c>
      <c r="G460" s="17" t="s">
        <v>2203</v>
      </c>
      <c r="H460" s="17" t="s">
        <v>1916</v>
      </c>
      <c r="I460" s="17" t="s">
        <v>2204</v>
      </c>
    </row>
    <row r="461" spans="1:9" ht="30" customHeight="1" x14ac:dyDescent="0.25">
      <c r="A461" s="6">
        <v>729</v>
      </c>
      <c r="B461" s="14">
        <v>46174</v>
      </c>
      <c r="C461" s="6" t="s">
        <v>1469</v>
      </c>
      <c r="D461" s="6" t="s">
        <v>205</v>
      </c>
      <c r="E461" s="6" t="s">
        <v>1918</v>
      </c>
      <c r="F461" s="6" t="s">
        <v>58</v>
      </c>
      <c r="G461" s="17" t="s">
        <v>3</v>
      </c>
      <c r="H461" s="17" t="s">
        <v>1916</v>
      </c>
      <c r="I461" s="17" t="s">
        <v>1470</v>
      </c>
    </row>
    <row r="462" spans="1:9" ht="30" customHeight="1" x14ac:dyDescent="0.25">
      <c r="A462" s="6">
        <v>730</v>
      </c>
      <c r="B462" s="14">
        <v>46174</v>
      </c>
      <c r="C462" s="6" t="s">
        <v>1443</v>
      </c>
      <c r="D462" s="6" t="s">
        <v>313</v>
      </c>
      <c r="E462" s="6" t="s">
        <v>1918</v>
      </c>
      <c r="F462" s="6" t="s">
        <v>92</v>
      </c>
      <c r="G462" s="17" t="s">
        <v>1444</v>
      </c>
      <c r="H462" s="17" t="s">
        <v>1916</v>
      </c>
      <c r="I462" s="17" t="s">
        <v>1445</v>
      </c>
    </row>
    <row r="463" spans="1:9" ht="30" customHeight="1" x14ac:dyDescent="0.25">
      <c r="A463" s="6">
        <v>731</v>
      </c>
      <c r="B463" s="14">
        <v>46175</v>
      </c>
      <c r="C463" s="6" t="s">
        <v>1472</v>
      </c>
      <c r="D463" s="6" t="s">
        <v>812</v>
      </c>
      <c r="E463" s="6" t="s">
        <v>1918</v>
      </c>
      <c r="F463" s="6" t="s">
        <v>56</v>
      </c>
      <c r="G463" s="17" t="s">
        <v>3</v>
      </c>
      <c r="H463" s="17" t="s">
        <v>1916</v>
      </c>
      <c r="I463" s="17" t="s">
        <v>1475</v>
      </c>
    </row>
    <row r="464" spans="1:9" ht="30" customHeight="1" x14ac:dyDescent="0.25">
      <c r="A464" s="6">
        <v>732</v>
      </c>
      <c r="B464" s="14">
        <v>46175</v>
      </c>
      <c r="C464" s="6" t="s">
        <v>1477</v>
      </c>
      <c r="D464" s="6" t="s">
        <v>812</v>
      </c>
      <c r="E464" s="6" t="s">
        <v>1918</v>
      </c>
      <c r="F464" s="6" t="s">
        <v>104</v>
      </c>
      <c r="G464" s="17" t="s">
        <v>1479</v>
      </c>
      <c r="H464" s="17" t="s">
        <v>1916</v>
      </c>
      <c r="I464" s="17" t="s">
        <v>1480</v>
      </c>
    </row>
    <row r="465" spans="1:9" ht="30" customHeight="1" x14ac:dyDescent="0.25">
      <c r="A465" s="6">
        <v>733</v>
      </c>
      <c r="B465" s="14">
        <v>46175</v>
      </c>
      <c r="C465" s="6" t="s">
        <v>1482</v>
      </c>
      <c r="D465" s="6" t="s">
        <v>205</v>
      </c>
      <c r="E465" s="6" t="s">
        <v>1918</v>
      </c>
      <c r="F465" s="6" t="s">
        <v>42</v>
      </c>
      <c r="G465" s="17" t="s">
        <v>3</v>
      </c>
      <c r="H465" s="17" t="s">
        <v>1916</v>
      </c>
      <c r="I465" s="17" t="s">
        <v>1484</v>
      </c>
    </row>
    <row r="466" spans="1:9" ht="30" customHeight="1" x14ac:dyDescent="0.25">
      <c r="A466" s="6">
        <v>734</v>
      </c>
      <c r="B466" s="14">
        <v>46176</v>
      </c>
      <c r="C466" s="6" t="s">
        <v>2205</v>
      </c>
      <c r="D466" s="6" t="s">
        <v>812</v>
      </c>
      <c r="E466" s="6" t="s">
        <v>1949</v>
      </c>
      <c r="F466" s="6" t="s">
        <v>45</v>
      </c>
      <c r="G466" s="17" t="s">
        <v>3</v>
      </c>
      <c r="H466" s="17" t="s">
        <v>1916</v>
      </c>
      <c r="I466" s="17" t="s">
        <v>3</v>
      </c>
    </row>
    <row r="467" spans="1:9" ht="30" customHeight="1" x14ac:dyDescent="0.25">
      <c r="A467" s="6">
        <v>735</v>
      </c>
      <c r="B467" s="14">
        <v>46176</v>
      </c>
      <c r="C467" s="6" t="s">
        <v>2206</v>
      </c>
      <c r="D467" s="6" t="s">
        <v>812</v>
      </c>
      <c r="E467" s="6" t="s">
        <v>1931</v>
      </c>
      <c r="F467" s="6" t="s">
        <v>45</v>
      </c>
      <c r="G467" s="17" t="s">
        <v>2207</v>
      </c>
      <c r="H467" s="17" t="s">
        <v>1916</v>
      </c>
      <c r="I467" s="17" t="s">
        <v>2208</v>
      </c>
    </row>
    <row r="468" spans="1:9" ht="30" customHeight="1" x14ac:dyDescent="0.25">
      <c r="A468" s="6">
        <v>736</v>
      </c>
      <c r="B468" s="14">
        <v>46176</v>
      </c>
      <c r="C468" s="6" t="s">
        <v>2209</v>
      </c>
      <c r="D468" s="6" t="s">
        <v>812</v>
      </c>
      <c r="E468" s="6" t="s">
        <v>1931</v>
      </c>
      <c r="F468" s="6" t="s">
        <v>45</v>
      </c>
      <c r="G468" s="17" t="s">
        <v>2210</v>
      </c>
      <c r="H468" s="17" t="s">
        <v>1916</v>
      </c>
      <c r="I468" s="17" t="s">
        <v>2211</v>
      </c>
    </row>
    <row r="469" spans="1:9" ht="30" customHeight="1" x14ac:dyDescent="0.25">
      <c r="A469" s="6">
        <v>737</v>
      </c>
      <c r="B469" s="14">
        <v>46176</v>
      </c>
      <c r="C469" s="6" t="s">
        <v>2212</v>
      </c>
      <c r="D469" s="6" t="s">
        <v>812</v>
      </c>
      <c r="E469" s="6" t="s">
        <v>1949</v>
      </c>
      <c r="F469" s="6" t="s">
        <v>56</v>
      </c>
      <c r="G469" s="17" t="s">
        <v>3</v>
      </c>
      <c r="H469" s="17" t="s">
        <v>1916</v>
      </c>
      <c r="I469" s="17" t="s">
        <v>2213</v>
      </c>
    </row>
    <row r="470" spans="1:9" ht="30" customHeight="1" x14ac:dyDescent="0.25">
      <c r="A470" s="6">
        <v>738</v>
      </c>
      <c r="B470" s="14">
        <v>46176</v>
      </c>
      <c r="C470" s="6" t="s">
        <v>1490</v>
      </c>
      <c r="D470" s="6" t="s">
        <v>205</v>
      </c>
      <c r="E470" s="6" t="s">
        <v>1918</v>
      </c>
      <c r="F470" s="6" t="s">
        <v>42</v>
      </c>
      <c r="G470" s="17" t="s">
        <v>3</v>
      </c>
      <c r="H470" s="17" t="s">
        <v>1916</v>
      </c>
      <c r="I470" s="17" t="s">
        <v>1491</v>
      </c>
    </row>
    <row r="471" spans="1:9" ht="30" customHeight="1" x14ac:dyDescent="0.25">
      <c r="A471" s="6">
        <v>739</v>
      </c>
      <c r="B471" s="14">
        <v>46176</v>
      </c>
      <c r="C471" s="6" t="s">
        <v>1486</v>
      </c>
      <c r="D471" s="6" t="s">
        <v>313</v>
      </c>
      <c r="E471" s="6" t="s">
        <v>1918</v>
      </c>
      <c r="F471" s="6" t="s">
        <v>78</v>
      </c>
      <c r="G471" s="17" t="s">
        <v>1487</v>
      </c>
      <c r="H471" s="17" t="s">
        <v>1916</v>
      </c>
      <c r="I471" s="17" t="s">
        <v>1488</v>
      </c>
    </row>
    <row r="472" spans="1:9" ht="30" customHeight="1" x14ac:dyDescent="0.25">
      <c r="A472" s="6">
        <v>740</v>
      </c>
      <c r="B472" s="14">
        <v>46178</v>
      </c>
      <c r="C472" s="6" t="s">
        <v>1493</v>
      </c>
      <c r="D472" s="6" t="s">
        <v>205</v>
      </c>
      <c r="E472" s="6" t="s">
        <v>1918</v>
      </c>
      <c r="F472" s="6" t="s">
        <v>42</v>
      </c>
      <c r="G472" s="17" t="s">
        <v>3</v>
      </c>
      <c r="H472" s="17" t="s">
        <v>1916</v>
      </c>
      <c r="I472" s="17" t="s">
        <v>1495</v>
      </c>
    </row>
    <row r="473" spans="1:9" ht="30" customHeight="1" x14ac:dyDescent="0.25">
      <c r="A473" s="6">
        <v>741</v>
      </c>
      <c r="B473" s="14">
        <v>46178</v>
      </c>
      <c r="C473" s="6" t="s">
        <v>2214</v>
      </c>
      <c r="D473" s="6" t="s">
        <v>205</v>
      </c>
      <c r="E473" s="6" t="s">
        <v>1924</v>
      </c>
      <c r="F473" s="6" t="s">
        <v>1925</v>
      </c>
      <c r="G473" s="17" t="s">
        <v>3</v>
      </c>
      <c r="H473" s="17" t="s">
        <v>1916</v>
      </c>
      <c r="I473" s="17" t="s">
        <v>1926</v>
      </c>
    </row>
    <row r="474" spans="1:9" ht="30" customHeight="1" x14ac:dyDescent="0.25">
      <c r="A474" s="6">
        <v>742</v>
      </c>
      <c r="B474" s="14">
        <v>46178</v>
      </c>
      <c r="C474" s="6" t="s">
        <v>1501</v>
      </c>
      <c r="D474" s="6" t="s">
        <v>205</v>
      </c>
      <c r="E474" s="6" t="s">
        <v>1918</v>
      </c>
      <c r="F474" s="6" t="s">
        <v>42</v>
      </c>
      <c r="G474" s="17" t="s">
        <v>3</v>
      </c>
      <c r="H474" s="17" t="s">
        <v>1916</v>
      </c>
      <c r="I474" s="17" t="s">
        <v>1502</v>
      </c>
    </row>
    <row r="475" spans="1:9" ht="30" customHeight="1" x14ac:dyDescent="0.25">
      <c r="A475" s="6">
        <v>743</v>
      </c>
      <c r="B475" s="14">
        <v>46179</v>
      </c>
      <c r="C475" s="6" t="s">
        <v>1497</v>
      </c>
      <c r="D475" s="6" t="s">
        <v>313</v>
      </c>
      <c r="E475" s="6" t="s">
        <v>1918</v>
      </c>
      <c r="F475" s="6" t="s">
        <v>78</v>
      </c>
      <c r="G475" s="17" t="s">
        <v>1498</v>
      </c>
      <c r="H475" s="17" t="s">
        <v>1916</v>
      </c>
      <c r="I475" s="17" t="s">
        <v>1499</v>
      </c>
    </row>
    <row r="476" spans="1:9" ht="30" customHeight="1" x14ac:dyDescent="0.25">
      <c r="A476" s="6">
        <v>744</v>
      </c>
      <c r="B476" s="14">
        <v>46179</v>
      </c>
      <c r="C476" s="6" t="s">
        <v>1504</v>
      </c>
      <c r="D476" s="6" t="s">
        <v>313</v>
      </c>
      <c r="E476" s="6" t="s">
        <v>1918</v>
      </c>
      <c r="F476" s="6" t="s">
        <v>107</v>
      </c>
      <c r="G476" s="17" t="s">
        <v>3</v>
      </c>
      <c r="H476" s="17" t="s">
        <v>1916</v>
      </c>
      <c r="I476" s="17" t="s">
        <v>1505</v>
      </c>
    </row>
    <row r="477" spans="1:9" ht="30" customHeight="1" x14ac:dyDescent="0.25">
      <c r="A477" s="6">
        <v>745</v>
      </c>
      <c r="B477" s="14">
        <v>46182</v>
      </c>
      <c r="C477" s="6" t="s">
        <v>1507</v>
      </c>
      <c r="D477" s="6" t="s">
        <v>205</v>
      </c>
      <c r="E477" s="6" t="s">
        <v>1918</v>
      </c>
      <c r="F477" s="6" t="s">
        <v>35</v>
      </c>
      <c r="G477" s="17" t="s">
        <v>3</v>
      </c>
      <c r="H477" s="17" t="s">
        <v>1916</v>
      </c>
      <c r="I477" s="17" t="s">
        <v>1508</v>
      </c>
    </row>
    <row r="478" spans="1:9" ht="30" customHeight="1" x14ac:dyDescent="0.25">
      <c r="A478" s="6">
        <v>746</v>
      </c>
      <c r="B478" s="14">
        <v>46182</v>
      </c>
      <c r="C478" s="6" t="s">
        <v>1510</v>
      </c>
      <c r="D478" s="6" t="s">
        <v>313</v>
      </c>
      <c r="E478" s="6" t="s">
        <v>1918</v>
      </c>
      <c r="F478" s="6" t="s">
        <v>78</v>
      </c>
      <c r="G478" s="17" t="s">
        <v>1511</v>
      </c>
      <c r="H478" s="17" t="s">
        <v>1916</v>
      </c>
      <c r="I478" s="17" t="s">
        <v>1512</v>
      </c>
    </row>
    <row r="479" spans="1:9" ht="30" customHeight="1" x14ac:dyDescent="0.25">
      <c r="A479" s="6">
        <v>747</v>
      </c>
      <c r="B479" s="14">
        <v>46183</v>
      </c>
      <c r="C479" s="6" t="s">
        <v>1514</v>
      </c>
      <c r="D479" s="6" t="s">
        <v>205</v>
      </c>
      <c r="E479" s="6" t="s">
        <v>1918</v>
      </c>
      <c r="F479" s="6" t="s">
        <v>42</v>
      </c>
      <c r="G479" s="17" t="s">
        <v>3</v>
      </c>
      <c r="H479" s="17" t="s">
        <v>1916</v>
      </c>
      <c r="I479" s="17" t="s">
        <v>1516</v>
      </c>
    </row>
    <row r="480" spans="1:9" ht="30" customHeight="1" x14ac:dyDescent="0.25">
      <c r="A480" s="6">
        <v>748</v>
      </c>
      <c r="B480" s="14">
        <v>46184</v>
      </c>
      <c r="C480" s="6" t="s">
        <v>1518</v>
      </c>
      <c r="D480" s="6" t="s">
        <v>205</v>
      </c>
      <c r="E480" s="6" t="s">
        <v>1918</v>
      </c>
      <c r="F480" s="6" t="s">
        <v>42</v>
      </c>
      <c r="G480" s="17" t="s">
        <v>3</v>
      </c>
      <c r="H480" s="17" t="s">
        <v>1916</v>
      </c>
      <c r="I480" s="17" t="s">
        <v>1519</v>
      </c>
    </row>
    <row r="481" spans="1:9" ht="30" customHeight="1" x14ac:dyDescent="0.25">
      <c r="A481" s="6">
        <v>749</v>
      </c>
      <c r="B481" s="14">
        <v>46184</v>
      </c>
      <c r="C481" s="6" t="s">
        <v>1524</v>
      </c>
      <c r="D481" s="6" t="s">
        <v>205</v>
      </c>
      <c r="E481" s="6" t="s">
        <v>1918</v>
      </c>
      <c r="F481" s="6" t="s">
        <v>42</v>
      </c>
      <c r="G481" s="17" t="s">
        <v>3</v>
      </c>
      <c r="H481" s="17" t="s">
        <v>1916</v>
      </c>
      <c r="I481" s="17" t="s">
        <v>1525</v>
      </c>
    </row>
    <row r="482" spans="1:9" ht="30" customHeight="1" x14ac:dyDescent="0.25">
      <c r="A482" s="6">
        <v>750</v>
      </c>
      <c r="B482" s="14">
        <v>46184</v>
      </c>
      <c r="C482" s="6" t="s">
        <v>1521</v>
      </c>
      <c r="D482" s="6" t="s">
        <v>313</v>
      </c>
      <c r="E482" s="6" t="s">
        <v>1918</v>
      </c>
      <c r="F482" s="6" t="s">
        <v>105</v>
      </c>
      <c r="G482" s="17" t="s">
        <v>3</v>
      </c>
      <c r="H482" s="17" t="s">
        <v>1916</v>
      </c>
      <c r="I482" s="17" t="s">
        <v>1522</v>
      </c>
    </row>
    <row r="483" spans="1:9" ht="30" customHeight="1" x14ac:dyDescent="0.25">
      <c r="A483" s="6">
        <v>751</v>
      </c>
      <c r="B483" s="14">
        <v>46185</v>
      </c>
      <c r="C483" s="6" t="s">
        <v>2215</v>
      </c>
      <c r="D483" s="6" t="s">
        <v>2216</v>
      </c>
      <c r="E483" s="6" t="s">
        <v>1949</v>
      </c>
      <c r="F483" s="6" t="s">
        <v>45</v>
      </c>
      <c r="G483" s="17" t="s">
        <v>3</v>
      </c>
      <c r="H483" s="17" t="s">
        <v>1916</v>
      </c>
      <c r="I483" s="17" t="s">
        <v>2217</v>
      </c>
    </row>
    <row r="484" spans="1:9" ht="30" customHeight="1" x14ac:dyDescent="0.25">
      <c r="A484" s="6">
        <v>752</v>
      </c>
      <c r="B484" s="14">
        <v>46185</v>
      </c>
      <c r="C484" s="6" t="s">
        <v>1527</v>
      </c>
      <c r="D484" s="6" t="s">
        <v>1528</v>
      </c>
      <c r="E484" s="6" t="s">
        <v>1918</v>
      </c>
      <c r="F484" s="6" t="s">
        <v>45</v>
      </c>
      <c r="G484" s="17" t="s">
        <v>3</v>
      </c>
      <c r="H484" s="17" t="s">
        <v>1916</v>
      </c>
      <c r="I484" s="17" t="s">
        <v>1529</v>
      </c>
    </row>
    <row r="485" spans="1:9" ht="30" customHeight="1" x14ac:dyDescent="0.25">
      <c r="A485" s="6">
        <v>753</v>
      </c>
      <c r="B485" s="14">
        <v>46185</v>
      </c>
      <c r="C485" s="6" t="s">
        <v>2218</v>
      </c>
      <c r="D485" s="6" t="s">
        <v>313</v>
      </c>
      <c r="E485" s="6" t="s">
        <v>1924</v>
      </c>
      <c r="F485" s="6" t="s">
        <v>1925</v>
      </c>
      <c r="G485" s="17" t="s">
        <v>3</v>
      </c>
      <c r="H485" s="17" t="s">
        <v>1916</v>
      </c>
      <c r="I485" s="17" t="s">
        <v>1926</v>
      </c>
    </row>
    <row r="486" spans="1:9" ht="30" customHeight="1" x14ac:dyDescent="0.25">
      <c r="A486" s="6">
        <v>754</v>
      </c>
      <c r="B486" s="14">
        <v>46185</v>
      </c>
      <c r="C486" s="6" t="s">
        <v>2219</v>
      </c>
      <c r="D486" s="6" t="s">
        <v>313</v>
      </c>
      <c r="E486" s="6" t="s">
        <v>1924</v>
      </c>
      <c r="F486" s="6" t="s">
        <v>1925</v>
      </c>
      <c r="G486" s="17" t="s">
        <v>3</v>
      </c>
      <c r="H486" s="17" t="s">
        <v>1916</v>
      </c>
      <c r="I486" s="17" t="s">
        <v>1926</v>
      </c>
    </row>
    <row r="487" spans="1:9" ht="30" customHeight="1" x14ac:dyDescent="0.25">
      <c r="A487" s="6">
        <v>755</v>
      </c>
      <c r="B487" s="14">
        <v>46185</v>
      </c>
      <c r="C487" s="6" t="s">
        <v>1534</v>
      </c>
      <c r="D487" s="6" t="s">
        <v>313</v>
      </c>
      <c r="E487" s="6" t="s">
        <v>1918</v>
      </c>
      <c r="F487" s="6" t="s">
        <v>84</v>
      </c>
      <c r="G487" s="17" t="s">
        <v>3</v>
      </c>
      <c r="H487" s="17" t="s">
        <v>1916</v>
      </c>
      <c r="I487" s="17" t="s">
        <v>1535</v>
      </c>
    </row>
    <row r="488" spans="1:9" ht="30" customHeight="1" x14ac:dyDescent="0.25">
      <c r="A488" s="6">
        <v>756</v>
      </c>
      <c r="B488" s="14">
        <v>46187</v>
      </c>
      <c r="C488" s="6" t="s">
        <v>1539</v>
      </c>
      <c r="D488" s="6" t="s">
        <v>313</v>
      </c>
      <c r="E488" s="6" t="s">
        <v>1918</v>
      </c>
      <c r="F488" s="6" t="s">
        <v>35</v>
      </c>
      <c r="G488" s="17" t="s">
        <v>3</v>
      </c>
      <c r="H488" s="17" t="s">
        <v>1919</v>
      </c>
      <c r="I488" s="17" t="s">
        <v>1541</v>
      </c>
    </row>
    <row r="489" spans="1:9" ht="30" customHeight="1" x14ac:dyDescent="0.25">
      <c r="A489" s="6">
        <v>757</v>
      </c>
      <c r="B489" s="14">
        <v>46187</v>
      </c>
      <c r="C489" s="6" t="s">
        <v>1531</v>
      </c>
      <c r="D489" s="6" t="s">
        <v>205</v>
      </c>
      <c r="E489" s="6" t="s">
        <v>1918</v>
      </c>
      <c r="F489" s="6" t="s">
        <v>143</v>
      </c>
      <c r="G489" s="17" t="s">
        <v>3</v>
      </c>
      <c r="H489" s="17" t="s">
        <v>1916</v>
      </c>
      <c r="I489" s="17" t="s">
        <v>1532</v>
      </c>
    </row>
    <row r="490" spans="1:9" ht="30" customHeight="1" x14ac:dyDescent="0.25">
      <c r="A490" s="6">
        <v>758</v>
      </c>
      <c r="B490" s="14">
        <v>46189</v>
      </c>
      <c r="C490" s="6" t="s">
        <v>1543</v>
      </c>
      <c r="D490" s="6" t="s">
        <v>205</v>
      </c>
      <c r="E490" s="6" t="s">
        <v>1918</v>
      </c>
      <c r="F490" s="6" t="s">
        <v>97</v>
      </c>
      <c r="G490" s="17" t="s">
        <v>3</v>
      </c>
      <c r="H490" s="17" t="s">
        <v>1916</v>
      </c>
      <c r="I490" s="17" t="s">
        <v>1544</v>
      </c>
    </row>
    <row r="491" spans="1:9" ht="30" customHeight="1" x14ac:dyDescent="0.25">
      <c r="A491" s="6">
        <v>759</v>
      </c>
      <c r="B491" s="14">
        <v>46189</v>
      </c>
      <c r="C491" s="6" t="s">
        <v>1549</v>
      </c>
      <c r="D491" s="6" t="s">
        <v>313</v>
      </c>
      <c r="E491" s="6" t="s">
        <v>1918</v>
      </c>
      <c r="F491" s="6" t="s">
        <v>170</v>
      </c>
      <c r="G491" s="17" t="s">
        <v>3</v>
      </c>
      <c r="H491" s="17" t="s">
        <v>1916</v>
      </c>
      <c r="I491" s="17" t="s">
        <v>1550</v>
      </c>
    </row>
    <row r="492" spans="1:9" ht="30" customHeight="1" x14ac:dyDescent="0.25">
      <c r="A492" s="6">
        <v>760</v>
      </c>
      <c r="B492" s="14">
        <v>46189</v>
      </c>
      <c r="C492" s="6" t="s">
        <v>1546</v>
      </c>
      <c r="D492" s="6" t="s">
        <v>205</v>
      </c>
      <c r="E492" s="6" t="s">
        <v>1918</v>
      </c>
      <c r="F492" s="6" t="s">
        <v>97</v>
      </c>
      <c r="G492" s="17" t="s">
        <v>3</v>
      </c>
      <c r="H492" s="17" t="s">
        <v>1916</v>
      </c>
      <c r="I492" s="17" t="s">
        <v>1547</v>
      </c>
    </row>
    <row r="493" spans="1:9" ht="30" customHeight="1" x14ac:dyDescent="0.25">
      <c r="A493" s="6">
        <v>761</v>
      </c>
      <c r="B493" s="14">
        <v>46190</v>
      </c>
      <c r="C493" s="6" t="s">
        <v>1552</v>
      </c>
      <c r="D493" s="6" t="s">
        <v>313</v>
      </c>
      <c r="E493" s="6" t="s">
        <v>1918</v>
      </c>
      <c r="F493" s="6" t="s">
        <v>35</v>
      </c>
      <c r="G493" s="17" t="s">
        <v>3</v>
      </c>
      <c r="H493" s="17" t="s">
        <v>1916</v>
      </c>
      <c r="I493" s="17" t="s">
        <v>1553</v>
      </c>
    </row>
    <row r="494" spans="1:9" ht="30" customHeight="1" x14ac:dyDescent="0.25">
      <c r="A494" s="6">
        <v>762</v>
      </c>
      <c r="B494" s="14">
        <v>46191</v>
      </c>
      <c r="C494" s="6" t="s">
        <v>1556</v>
      </c>
      <c r="D494" s="6" t="s">
        <v>205</v>
      </c>
      <c r="E494" s="6" t="s">
        <v>1918</v>
      </c>
      <c r="F494" s="6" t="s">
        <v>161</v>
      </c>
      <c r="G494" s="17" t="s">
        <v>3</v>
      </c>
      <c r="H494" s="17" t="s">
        <v>1916</v>
      </c>
      <c r="I494" s="17" t="s">
        <v>1557</v>
      </c>
    </row>
    <row r="495" spans="1:9" ht="30" customHeight="1" x14ac:dyDescent="0.25">
      <c r="A495" s="6">
        <v>763</v>
      </c>
      <c r="B495" s="14">
        <v>46193</v>
      </c>
      <c r="C495" s="6" t="s">
        <v>1559</v>
      </c>
      <c r="D495" s="6" t="s">
        <v>205</v>
      </c>
      <c r="E495" s="6" t="s">
        <v>1918</v>
      </c>
      <c r="F495" s="6" t="s">
        <v>47</v>
      </c>
      <c r="G495" s="17" t="s">
        <v>3</v>
      </c>
      <c r="H495" s="17" t="s">
        <v>1916</v>
      </c>
      <c r="I495" s="17" t="s">
        <v>1561</v>
      </c>
    </row>
    <row r="496" spans="1:9" ht="30" customHeight="1" x14ac:dyDescent="0.25">
      <c r="A496" s="6">
        <v>764</v>
      </c>
      <c r="B496" s="14">
        <v>46193</v>
      </c>
      <c r="C496" s="6" t="s">
        <v>1563</v>
      </c>
      <c r="D496" s="6" t="s">
        <v>205</v>
      </c>
      <c r="E496" s="6" t="s">
        <v>1918</v>
      </c>
      <c r="F496" s="6" t="s">
        <v>42</v>
      </c>
      <c r="G496" s="17" t="s">
        <v>3</v>
      </c>
      <c r="H496" s="17" t="s">
        <v>1916</v>
      </c>
      <c r="I496" s="17" t="s">
        <v>1564</v>
      </c>
    </row>
    <row r="497" spans="1:9" ht="30" customHeight="1" x14ac:dyDescent="0.25">
      <c r="A497" s="6">
        <v>765</v>
      </c>
      <c r="B497" s="14">
        <v>46196</v>
      </c>
      <c r="C497" s="6" t="s">
        <v>1570</v>
      </c>
      <c r="D497" s="6" t="s">
        <v>313</v>
      </c>
      <c r="E497" s="6" t="s">
        <v>1918</v>
      </c>
      <c r="F497" s="6" t="s">
        <v>164</v>
      </c>
      <c r="G497" s="17" t="s">
        <v>3</v>
      </c>
      <c r="H497" s="17" t="s">
        <v>1916</v>
      </c>
      <c r="I497" s="17" t="s">
        <v>1571</v>
      </c>
    </row>
    <row r="498" spans="1:9" ht="30" customHeight="1" x14ac:dyDescent="0.25">
      <c r="A498" s="6">
        <v>766</v>
      </c>
      <c r="B498" s="14">
        <v>46198</v>
      </c>
      <c r="C498" s="6" t="s">
        <v>1573</v>
      </c>
      <c r="D498" s="6" t="s">
        <v>205</v>
      </c>
      <c r="E498" s="6" t="s">
        <v>1918</v>
      </c>
      <c r="F498" s="6" t="s">
        <v>42</v>
      </c>
      <c r="G498" s="17" t="s">
        <v>3</v>
      </c>
      <c r="H498" s="17" t="s">
        <v>1916</v>
      </c>
      <c r="I498" s="17" t="s">
        <v>1574</v>
      </c>
    </row>
    <row r="499" spans="1:9" ht="30" customHeight="1" x14ac:dyDescent="0.25">
      <c r="A499" s="6">
        <v>767</v>
      </c>
      <c r="B499" s="14">
        <v>46199</v>
      </c>
      <c r="C499" s="6" t="s">
        <v>1580</v>
      </c>
      <c r="D499" s="6" t="s">
        <v>313</v>
      </c>
      <c r="E499" s="6" t="s">
        <v>1918</v>
      </c>
      <c r="F499" s="6" t="s">
        <v>35</v>
      </c>
      <c r="G499" s="17" t="s">
        <v>1582</v>
      </c>
      <c r="H499" s="17" t="s">
        <v>1916</v>
      </c>
      <c r="I499" s="17" t="s">
        <v>1583</v>
      </c>
    </row>
    <row r="500" spans="1:9" ht="30" customHeight="1" x14ac:dyDescent="0.25">
      <c r="A500" s="6">
        <v>768</v>
      </c>
      <c r="B500" s="14">
        <v>46200</v>
      </c>
      <c r="C500" s="6" t="s">
        <v>1576</v>
      </c>
      <c r="D500" s="6" t="s">
        <v>205</v>
      </c>
      <c r="E500" s="6" t="s">
        <v>1918</v>
      </c>
      <c r="F500" s="6" t="s">
        <v>42</v>
      </c>
      <c r="G500" s="17" t="s">
        <v>3</v>
      </c>
      <c r="H500" s="17" t="s">
        <v>1916</v>
      </c>
      <c r="I500" s="17" t="s">
        <v>1578</v>
      </c>
    </row>
    <row r="501" spans="1:9" ht="30" customHeight="1" x14ac:dyDescent="0.25">
      <c r="A501" s="6">
        <v>769</v>
      </c>
      <c r="B501" s="14">
        <v>46202</v>
      </c>
      <c r="C501" s="6" t="s">
        <v>1586</v>
      </c>
      <c r="D501" s="6" t="s">
        <v>205</v>
      </c>
      <c r="E501" s="6" t="s">
        <v>1918</v>
      </c>
      <c r="F501" s="6" t="s">
        <v>119</v>
      </c>
      <c r="G501" s="17" t="s">
        <v>3</v>
      </c>
      <c r="H501" s="17" t="s">
        <v>1916</v>
      </c>
      <c r="I501" s="17" t="s">
        <v>1588</v>
      </c>
    </row>
    <row r="502" spans="1:9" ht="30" customHeight="1" x14ac:dyDescent="0.25">
      <c r="A502" s="6">
        <v>770</v>
      </c>
      <c r="B502" s="14">
        <v>46204</v>
      </c>
      <c r="C502" s="6" t="s">
        <v>1590</v>
      </c>
      <c r="D502" s="6" t="s">
        <v>205</v>
      </c>
      <c r="E502" s="6" t="s">
        <v>1918</v>
      </c>
      <c r="F502" s="6" t="s">
        <v>88</v>
      </c>
      <c r="G502" s="17" t="s">
        <v>3</v>
      </c>
      <c r="H502" s="17" t="s">
        <v>1916</v>
      </c>
      <c r="I502" s="17" t="s">
        <v>1591</v>
      </c>
    </row>
    <row r="503" spans="1:9" ht="30" customHeight="1" x14ac:dyDescent="0.25">
      <c r="A503" s="6">
        <v>771</v>
      </c>
      <c r="B503" s="14">
        <v>46204</v>
      </c>
      <c r="C503" s="6" t="s">
        <v>1813</v>
      </c>
      <c r="D503" s="6" t="s">
        <v>812</v>
      </c>
      <c r="E503" s="6" t="s">
        <v>1931</v>
      </c>
      <c r="F503" s="6" t="s">
        <v>2220</v>
      </c>
      <c r="G503" s="17" t="s">
        <v>2221</v>
      </c>
      <c r="H503" s="17" t="s">
        <v>1916</v>
      </c>
      <c r="I503" s="17" t="s">
        <v>2222</v>
      </c>
    </row>
    <row r="504" spans="1:9" ht="30" customHeight="1" x14ac:dyDescent="0.25">
      <c r="A504" s="6">
        <v>772</v>
      </c>
      <c r="B504" s="14">
        <v>46204</v>
      </c>
      <c r="C504" s="6" t="s">
        <v>2223</v>
      </c>
      <c r="D504" s="6" t="s">
        <v>812</v>
      </c>
      <c r="E504" s="6" t="s">
        <v>1931</v>
      </c>
      <c r="F504" s="6" t="s">
        <v>2220</v>
      </c>
      <c r="G504" s="17" t="s">
        <v>2224</v>
      </c>
      <c r="H504" s="17" t="s">
        <v>1916</v>
      </c>
      <c r="I504" s="17" t="s">
        <v>2225</v>
      </c>
    </row>
    <row r="505" spans="1:9" ht="30" customHeight="1" x14ac:dyDescent="0.25">
      <c r="A505" s="6">
        <v>773</v>
      </c>
      <c r="B505" s="14">
        <v>46204</v>
      </c>
      <c r="C505" s="6" t="s">
        <v>2226</v>
      </c>
      <c r="D505" s="6" t="s">
        <v>812</v>
      </c>
      <c r="E505" s="6" t="s">
        <v>1931</v>
      </c>
      <c r="F505" s="6" t="s">
        <v>2227</v>
      </c>
      <c r="G505" s="17" t="s">
        <v>2228</v>
      </c>
      <c r="H505" s="17" t="s">
        <v>1916</v>
      </c>
      <c r="I505" s="17" t="s">
        <v>2229</v>
      </c>
    </row>
    <row r="506" spans="1:9" ht="30" customHeight="1" x14ac:dyDescent="0.25">
      <c r="A506" s="6">
        <v>774</v>
      </c>
      <c r="B506" s="14">
        <v>46204</v>
      </c>
      <c r="C506" s="6" t="s">
        <v>2230</v>
      </c>
      <c r="D506" s="6" t="s">
        <v>812</v>
      </c>
      <c r="E506" s="6" t="s">
        <v>1931</v>
      </c>
      <c r="F506" s="6" t="s">
        <v>2227</v>
      </c>
      <c r="G506" s="17" t="s">
        <v>2231</v>
      </c>
      <c r="H506" s="17" t="s">
        <v>1916</v>
      </c>
      <c r="I506" s="17" t="s">
        <v>2232</v>
      </c>
    </row>
    <row r="507" spans="1:9" ht="30" customHeight="1" x14ac:dyDescent="0.25">
      <c r="A507" s="6">
        <v>775</v>
      </c>
      <c r="B507" s="14">
        <v>46205</v>
      </c>
      <c r="C507" s="6" t="s">
        <v>1600</v>
      </c>
      <c r="D507" s="6" t="s">
        <v>205</v>
      </c>
      <c r="E507" s="6" t="s">
        <v>1918</v>
      </c>
      <c r="F507" s="6" t="s">
        <v>152</v>
      </c>
      <c r="G507" s="17" t="s">
        <v>3</v>
      </c>
      <c r="H507" s="17" t="s">
        <v>1916</v>
      </c>
      <c r="I507" s="17" t="s">
        <v>1601</v>
      </c>
    </row>
    <row r="508" spans="1:9" ht="30" customHeight="1" x14ac:dyDescent="0.25">
      <c r="A508" s="6">
        <v>776</v>
      </c>
      <c r="B508" s="14">
        <v>46206</v>
      </c>
      <c r="C508" s="6" t="s">
        <v>1603</v>
      </c>
      <c r="D508" s="6" t="s">
        <v>313</v>
      </c>
      <c r="E508" s="6" t="s">
        <v>1918</v>
      </c>
      <c r="F508" s="6" t="s">
        <v>165</v>
      </c>
      <c r="G508" s="17" t="s">
        <v>1604</v>
      </c>
      <c r="H508" s="17" t="s">
        <v>1916</v>
      </c>
      <c r="I508" s="17" t="s">
        <v>1605</v>
      </c>
    </row>
    <row r="509" spans="1:9" ht="30" customHeight="1" x14ac:dyDescent="0.25">
      <c r="A509" s="6">
        <v>777</v>
      </c>
      <c r="B509" s="14">
        <v>46206</v>
      </c>
      <c r="C509" s="6" t="s">
        <v>1593</v>
      </c>
      <c r="D509" s="6" t="s">
        <v>313</v>
      </c>
      <c r="E509" s="6" t="s">
        <v>1918</v>
      </c>
      <c r="F509" s="6" t="s">
        <v>35</v>
      </c>
      <c r="G509" s="17" t="s">
        <v>3</v>
      </c>
      <c r="H509" s="17" t="s">
        <v>1916</v>
      </c>
      <c r="I509" s="17" t="s">
        <v>1595</v>
      </c>
    </row>
    <row r="510" spans="1:9" ht="30" customHeight="1" x14ac:dyDescent="0.25">
      <c r="A510" s="6">
        <v>778</v>
      </c>
      <c r="B510" s="14">
        <v>46206</v>
      </c>
      <c r="C510" s="6" t="s">
        <v>1607</v>
      </c>
      <c r="D510" s="6" t="s">
        <v>205</v>
      </c>
      <c r="E510" s="6" t="s">
        <v>1918</v>
      </c>
      <c r="F510" s="6" t="s">
        <v>168</v>
      </c>
      <c r="G510" s="17" t="s">
        <v>3</v>
      </c>
      <c r="H510" s="17" t="s">
        <v>1916</v>
      </c>
      <c r="I510" s="17" t="s">
        <v>1608</v>
      </c>
    </row>
    <row r="511" spans="1:9" ht="30" customHeight="1" x14ac:dyDescent="0.25">
      <c r="A511" s="6">
        <v>779</v>
      </c>
      <c r="B511" s="14">
        <v>46206</v>
      </c>
      <c r="C511" s="6" t="s">
        <v>2233</v>
      </c>
      <c r="D511" s="6" t="s">
        <v>812</v>
      </c>
      <c r="E511" s="6" t="s">
        <v>1949</v>
      </c>
      <c r="F511" s="6" t="s">
        <v>45</v>
      </c>
      <c r="G511" s="17" t="s">
        <v>3</v>
      </c>
      <c r="H511" s="17" t="s">
        <v>1916</v>
      </c>
      <c r="I511" s="17" t="s">
        <v>3</v>
      </c>
    </row>
    <row r="512" spans="1:9" ht="30" customHeight="1" x14ac:dyDescent="0.25">
      <c r="A512" s="6">
        <v>780</v>
      </c>
      <c r="B512" s="14">
        <v>46206</v>
      </c>
      <c r="C512" s="6" t="s">
        <v>2234</v>
      </c>
      <c r="D512" s="6" t="s">
        <v>812</v>
      </c>
      <c r="E512" s="6" t="s">
        <v>1931</v>
      </c>
      <c r="F512" s="6" t="s">
        <v>45</v>
      </c>
      <c r="G512" s="17" t="s">
        <v>2235</v>
      </c>
      <c r="H512" s="17" t="s">
        <v>1916</v>
      </c>
      <c r="I512" s="17" t="s">
        <v>2236</v>
      </c>
    </row>
    <row r="513" spans="1:9" ht="30" customHeight="1" x14ac:dyDescent="0.25">
      <c r="A513" s="6">
        <v>781</v>
      </c>
      <c r="B513" s="14">
        <v>46206</v>
      </c>
      <c r="C513" s="6" t="s">
        <v>2234</v>
      </c>
      <c r="D513" s="6" t="s">
        <v>812</v>
      </c>
      <c r="E513" s="6" t="s">
        <v>1931</v>
      </c>
      <c r="F513" s="6" t="s">
        <v>45</v>
      </c>
      <c r="G513" s="17" t="s">
        <v>2237</v>
      </c>
      <c r="H513" s="17" t="s">
        <v>1916</v>
      </c>
      <c r="I513" s="17" t="s">
        <v>2238</v>
      </c>
    </row>
    <row r="514" spans="1:9" ht="30" customHeight="1" x14ac:dyDescent="0.25">
      <c r="A514" s="6">
        <v>782</v>
      </c>
      <c r="B514" s="14">
        <v>46206</v>
      </c>
      <c r="C514" s="6" t="s">
        <v>2239</v>
      </c>
      <c r="D514" s="6" t="s">
        <v>812</v>
      </c>
      <c r="E514" s="6" t="s">
        <v>1949</v>
      </c>
      <c r="F514" s="6" t="s">
        <v>35</v>
      </c>
      <c r="G514" s="17" t="s">
        <v>3</v>
      </c>
      <c r="H514" s="17" t="s">
        <v>1916</v>
      </c>
      <c r="I514" s="17" t="s">
        <v>2240</v>
      </c>
    </row>
    <row r="515" spans="1:9" ht="30" customHeight="1" x14ac:dyDescent="0.25">
      <c r="A515" s="6">
        <v>783</v>
      </c>
      <c r="B515" s="14">
        <v>46207</v>
      </c>
      <c r="C515" s="6" t="s">
        <v>2241</v>
      </c>
      <c r="D515" s="6" t="s">
        <v>812</v>
      </c>
      <c r="E515" s="6" t="s">
        <v>1949</v>
      </c>
      <c r="F515" s="6" t="s">
        <v>45</v>
      </c>
      <c r="G515" s="17" t="s">
        <v>3</v>
      </c>
      <c r="H515" s="17" t="s">
        <v>1916</v>
      </c>
      <c r="I515" s="17" t="s">
        <v>3</v>
      </c>
    </row>
    <row r="516" spans="1:9" ht="30" customHeight="1" x14ac:dyDescent="0.25">
      <c r="A516" s="6">
        <v>784</v>
      </c>
      <c r="B516" s="14">
        <v>46207</v>
      </c>
      <c r="C516" s="6" t="s">
        <v>2242</v>
      </c>
      <c r="D516" s="6" t="s">
        <v>812</v>
      </c>
      <c r="E516" s="6" t="s">
        <v>1931</v>
      </c>
      <c r="F516" s="6" t="s">
        <v>45</v>
      </c>
      <c r="G516" s="17" t="s">
        <v>2243</v>
      </c>
      <c r="H516" s="17" t="s">
        <v>1916</v>
      </c>
      <c r="I516" s="17" t="s">
        <v>2244</v>
      </c>
    </row>
    <row r="517" spans="1:9" ht="30" customHeight="1" x14ac:dyDescent="0.25">
      <c r="A517" s="6">
        <v>785</v>
      </c>
      <c r="B517" s="14">
        <v>46207</v>
      </c>
      <c r="C517" s="6" t="s">
        <v>2245</v>
      </c>
      <c r="D517" s="6" t="s">
        <v>812</v>
      </c>
      <c r="E517" s="6" t="s">
        <v>1931</v>
      </c>
      <c r="F517" s="6" t="s">
        <v>45</v>
      </c>
      <c r="G517" s="17" t="s">
        <v>2246</v>
      </c>
      <c r="H517" s="17" t="s">
        <v>1916</v>
      </c>
      <c r="I517" s="17" t="s">
        <v>2247</v>
      </c>
    </row>
    <row r="518" spans="1:9" ht="30" customHeight="1" x14ac:dyDescent="0.25">
      <c r="A518" s="6">
        <v>786</v>
      </c>
      <c r="B518" s="14">
        <v>46207</v>
      </c>
      <c r="C518" s="6" t="s">
        <v>2248</v>
      </c>
      <c r="D518" s="6" t="s">
        <v>812</v>
      </c>
      <c r="E518" s="6" t="s">
        <v>1949</v>
      </c>
      <c r="F518" s="6" t="s">
        <v>35</v>
      </c>
      <c r="G518" s="17" t="s">
        <v>3</v>
      </c>
      <c r="H518" s="17" t="s">
        <v>1916</v>
      </c>
      <c r="I518" s="17" t="s">
        <v>2249</v>
      </c>
    </row>
    <row r="519" spans="1:9" ht="30" customHeight="1" x14ac:dyDescent="0.25">
      <c r="A519" s="6">
        <v>787</v>
      </c>
      <c r="B519" s="14">
        <v>46208</v>
      </c>
      <c r="C519" s="6" t="s">
        <v>2250</v>
      </c>
      <c r="D519" s="6" t="s">
        <v>812</v>
      </c>
      <c r="E519" s="6" t="s">
        <v>1949</v>
      </c>
      <c r="F519" s="6" t="s">
        <v>45</v>
      </c>
      <c r="G519" s="17" t="s">
        <v>3</v>
      </c>
      <c r="H519" s="17" t="s">
        <v>1916</v>
      </c>
      <c r="I519" s="17" t="s">
        <v>3</v>
      </c>
    </row>
    <row r="520" spans="1:9" ht="30" customHeight="1" x14ac:dyDescent="0.25">
      <c r="A520" s="6">
        <v>788</v>
      </c>
      <c r="B520" s="14">
        <v>46208</v>
      </c>
      <c r="C520" s="6" t="s">
        <v>2251</v>
      </c>
      <c r="D520" s="6" t="s">
        <v>812</v>
      </c>
      <c r="E520" s="6" t="s">
        <v>1931</v>
      </c>
      <c r="F520" s="6" t="s">
        <v>45</v>
      </c>
      <c r="G520" s="17" t="s">
        <v>2252</v>
      </c>
      <c r="H520" s="17" t="s">
        <v>1916</v>
      </c>
      <c r="I520" s="17" t="s">
        <v>2253</v>
      </c>
    </row>
    <row r="521" spans="1:9" ht="30" customHeight="1" x14ac:dyDescent="0.25">
      <c r="A521" s="6">
        <v>789</v>
      </c>
      <c r="B521" s="14">
        <v>46208</v>
      </c>
      <c r="C521" s="6" t="s">
        <v>2254</v>
      </c>
      <c r="D521" s="6" t="s">
        <v>812</v>
      </c>
      <c r="E521" s="6" t="s">
        <v>1931</v>
      </c>
      <c r="F521" s="6" t="s">
        <v>45</v>
      </c>
      <c r="G521" s="17" t="s">
        <v>2255</v>
      </c>
      <c r="H521" s="17" t="s">
        <v>1916</v>
      </c>
      <c r="I521" s="17" t="s">
        <v>2256</v>
      </c>
    </row>
    <row r="522" spans="1:9" ht="30" customHeight="1" x14ac:dyDescent="0.25">
      <c r="A522" s="6">
        <v>790</v>
      </c>
      <c r="B522" s="14">
        <v>46208</v>
      </c>
      <c r="C522" s="6" t="s">
        <v>2257</v>
      </c>
      <c r="D522" s="6" t="s">
        <v>812</v>
      </c>
      <c r="E522" s="6" t="s">
        <v>1949</v>
      </c>
      <c r="F522" s="6" t="s">
        <v>35</v>
      </c>
      <c r="G522" s="17" t="s">
        <v>3</v>
      </c>
      <c r="H522" s="17" t="s">
        <v>1916</v>
      </c>
      <c r="I522" s="17" t="s">
        <v>2258</v>
      </c>
    </row>
    <row r="523" spans="1:9" ht="30" customHeight="1" x14ac:dyDescent="0.25">
      <c r="A523" s="6">
        <v>791</v>
      </c>
      <c r="B523" s="14">
        <v>46208</v>
      </c>
      <c r="C523" s="6" t="s">
        <v>2259</v>
      </c>
      <c r="D523" s="6" t="s">
        <v>205</v>
      </c>
      <c r="E523" s="6" t="s">
        <v>1924</v>
      </c>
      <c r="F523" s="6" t="s">
        <v>1925</v>
      </c>
      <c r="G523" s="17" t="s">
        <v>3</v>
      </c>
      <c r="H523" s="17" t="s">
        <v>1916</v>
      </c>
      <c r="I523" s="17" t="s">
        <v>1926</v>
      </c>
    </row>
    <row r="524" spans="1:9" ht="30" customHeight="1" x14ac:dyDescent="0.25">
      <c r="A524" s="6">
        <v>792</v>
      </c>
      <c r="B524" s="14">
        <v>46208</v>
      </c>
      <c r="C524" s="6" t="s">
        <v>2259</v>
      </c>
      <c r="D524" s="6" t="s">
        <v>205</v>
      </c>
      <c r="E524" s="6" t="s">
        <v>1924</v>
      </c>
      <c r="F524" s="6" t="s">
        <v>1925</v>
      </c>
      <c r="G524" s="17" t="s">
        <v>3</v>
      </c>
      <c r="H524" s="17" t="s">
        <v>1916</v>
      </c>
      <c r="I524" s="17" t="s">
        <v>1926</v>
      </c>
    </row>
    <row r="525" spans="1:9" ht="30" customHeight="1" x14ac:dyDescent="0.25">
      <c r="A525" s="6">
        <v>793</v>
      </c>
      <c r="B525" s="14">
        <v>46209</v>
      </c>
      <c r="C525" s="6" t="s">
        <v>1615</v>
      </c>
      <c r="D525" s="6" t="s">
        <v>205</v>
      </c>
      <c r="E525" s="6" t="s">
        <v>1918</v>
      </c>
      <c r="F525" s="6" t="s">
        <v>99</v>
      </c>
      <c r="G525" s="17" t="s">
        <v>3</v>
      </c>
      <c r="H525" s="17" t="s">
        <v>1916</v>
      </c>
      <c r="I525" s="17" t="s">
        <v>1616</v>
      </c>
    </row>
    <row r="526" spans="1:9" ht="30" customHeight="1" x14ac:dyDescent="0.25">
      <c r="A526" s="6">
        <v>794</v>
      </c>
      <c r="B526" s="14">
        <v>46209</v>
      </c>
      <c r="C526" s="6" t="s">
        <v>1610</v>
      </c>
      <c r="D526" s="6" t="s">
        <v>313</v>
      </c>
      <c r="E526" s="6" t="s">
        <v>1949</v>
      </c>
      <c r="F526" s="6" t="s">
        <v>45</v>
      </c>
      <c r="G526" s="17" t="s">
        <v>3</v>
      </c>
      <c r="H526" s="17" t="s">
        <v>1916</v>
      </c>
      <c r="I526" s="17" t="s">
        <v>3</v>
      </c>
    </row>
    <row r="527" spans="1:9" ht="30" customHeight="1" x14ac:dyDescent="0.25">
      <c r="A527" s="6">
        <v>795</v>
      </c>
      <c r="B527" s="14">
        <v>46209</v>
      </c>
      <c r="C527" s="6" t="s">
        <v>1610</v>
      </c>
      <c r="D527" s="6" t="s">
        <v>313</v>
      </c>
      <c r="E527" s="6" t="s">
        <v>1918</v>
      </c>
      <c r="F527" s="6" t="s">
        <v>98</v>
      </c>
      <c r="G527" s="17" t="s">
        <v>2260</v>
      </c>
      <c r="H527" s="17" t="s">
        <v>1916</v>
      </c>
      <c r="I527" s="17" t="s">
        <v>1612</v>
      </c>
    </row>
    <row r="528" spans="1:9" ht="30" customHeight="1" x14ac:dyDescent="0.25">
      <c r="A528" s="6">
        <v>796</v>
      </c>
      <c r="B528" s="14">
        <v>46209</v>
      </c>
      <c r="C528" s="6" t="s">
        <v>1610</v>
      </c>
      <c r="D528" s="6" t="s">
        <v>313</v>
      </c>
      <c r="E528" s="6" t="s">
        <v>1953</v>
      </c>
      <c r="F528" s="6" t="s">
        <v>45</v>
      </c>
      <c r="G528" s="17" t="s">
        <v>2261</v>
      </c>
      <c r="H528" s="17" t="s">
        <v>1916</v>
      </c>
      <c r="I528" s="17" t="s">
        <v>2262</v>
      </c>
    </row>
    <row r="529" spans="1:9" ht="30" customHeight="1" x14ac:dyDescent="0.25">
      <c r="A529" s="6">
        <v>797</v>
      </c>
      <c r="B529" s="14">
        <v>46210</v>
      </c>
      <c r="C529" s="6" t="s">
        <v>1624</v>
      </c>
      <c r="D529" s="6" t="s">
        <v>205</v>
      </c>
      <c r="E529" s="6" t="s">
        <v>1918</v>
      </c>
      <c r="F529" s="6" t="s">
        <v>99</v>
      </c>
      <c r="G529" s="17" t="s">
        <v>3</v>
      </c>
      <c r="H529" s="17" t="s">
        <v>1916</v>
      </c>
      <c r="I529" s="17" t="s">
        <v>1625</v>
      </c>
    </row>
    <row r="530" spans="1:9" ht="30" customHeight="1" x14ac:dyDescent="0.25">
      <c r="A530" s="6">
        <v>798</v>
      </c>
      <c r="B530" s="14">
        <v>46211</v>
      </c>
      <c r="C530" s="6" t="s">
        <v>2263</v>
      </c>
      <c r="D530" s="6" t="s">
        <v>2264</v>
      </c>
      <c r="E530" s="6" t="s">
        <v>1949</v>
      </c>
      <c r="F530" s="6" t="s">
        <v>2265</v>
      </c>
      <c r="G530" s="17" t="s">
        <v>3</v>
      </c>
      <c r="H530" s="17" t="s">
        <v>1916</v>
      </c>
      <c r="I530" s="17" t="s">
        <v>2265</v>
      </c>
    </row>
    <row r="531" spans="1:9" ht="30" customHeight="1" x14ac:dyDescent="0.25">
      <c r="A531" s="6">
        <v>799</v>
      </c>
      <c r="B531" s="14">
        <v>46211</v>
      </c>
      <c r="C531" s="6" t="s">
        <v>2266</v>
      </c>
      <c r="D531" s="6" t="s">
        <v>313</v>
      </c>
      <c r="E531" s="6" t="s">
        <v>1949</v>
      </c>
      <c r="F531" s="6" t="s">
        <v>45</v>
      </c>
      <c r="G531" s="17" t="s">
        <v>3</v>
      </c>
      <c r="H531" s="17" t="s">
        <v>1916</v>
      </c>
      <c r="I531" s="17" t="s">
        <v>3</v>
      </c>
    </row>
    <row r="532" spans="1:9" ht="30" customHeight="1" x14ac:dyDescent="0.25">
      <c r="A532" s="6">
        <v>800</v>
      </c>
      <c r="B532" s="14">
        <v>46211</v>
      </c>
      <c r="C532" s="6" t="s">
        <v>1618</v>
      </c>
      <c r="D532" s="6" t="s">
        <v>313</v>
      </c>
      <c r="E532" s="6" t="s">
        <v>1918</v>
      </c>
      <c r="F532" s="6" t="s">
        <v>81</v>
      </c>
      <c r="G532" s="17" t="s">
        <v>2267</v>
      </c>
      <c r="H532" s="17" t="s">
        <v>1916</v>
      </c>
      <c r="I532" s="17" t="s">
        <v>1620</v>
      </c>
    </row>
    <row r="533" spans="1:9" ht="30" customHeight="1" x14ac:dyDescent="0.25">
      <c r="A533" s="6">
        <v>801</v>
      </c>
      <c r="B533" s="14">
        <v>46211</v>
      </c>
      <c r="C533" s="6" t="s">
        <v>1618</v>
      </c>
      <c r="D533" s="6" t="s">
        <v>313</v>
      </c>
      <c r="E533" s="6" t="s">
        <v>1953</v>
      </c>
      <c r="F533" s="6" t="s">
        <v>45</v>
      </c>
      <c r="G533" s="17" t="s">
        <v>2268</v>
      </c>
      <c r="H533" s="17" t="s">
        <v>1916</v>
      </c>
      <c r="I533" s="17" t="s">
        <v>2269</v>
      </c>
    </row>
    <row r="534" spans="1:9" ht="30" customHeight="1" x14ac:dyDescent="0.25">
      <c r="A534" s="6">
        <v>802</v>
      </c>
      <c r="B534" s="14">
        <v>46211</v>
      </c>
      <c r="C534" s="6" t="s">
        <v>2270</v>
      </c>
      <c r="D534" s="6" t="s">
        <v>313</v>
      </c>
      <c r="E534" s="6" t="s">
        <v>1953</v>
      </c>
      <c r="F534" s="6" t="s">
        <v>45</v>
      </c>
      <c r="G534" s="17" t="s">
        <v>2271</v>
      </c>
      <c r="H534" s="17" t="s">
        <v>1916</v>
      </c>
      <c r="I534" s="17" t="s">
        <v>2272</v>
      </c>
    </row>
    <row r="535" spans="1:9" ht="30" customHeight="1" x14ac:dyDescent="0.25">
      <c r="A535" s="6">
        <v>803</v>
      </c>
      <c r="B535" s="14">
        <v>46211</v>
      </c>
      <c r="C535" s="6" t="s">
        <v>2273</v>
      </c>
      <c r="D535" s="6" t="s">
        <v>220</v>
      </c>
      <c r="E535" s="6" t="s">
        <v>1949</v>
      </c>
      <c r="F535" s="6" t="s">
        <v>2274</v>
      </c>
      <c r="G535" s="17" t="s">
        <v>3</v>
      </c>
      <c r="H535" s="17" t="s">
        <v>1916</v>
      </c>
      <c r="I535" s="17" t="s">
        <v>2274</v>
      </c>
    </row>
    <row r="536" spans="1:9" ht="30" customHeight="1" x14ac:dyDescent="0.25">
      <c r="A536" s="6">
        <v>804</v>
      </c>
      <c r="B536" s="14">
        <v>46211</v>
      </c>
      <c r="C536" s="6" t="s">
        <v>2275</v>
      </c>
      <c r="D536" s="6" t="s">
        <v>2276</v>
      </c>
      <c r="E536" s="6" t="s">
        <v>1949</v>
      </c>
      <c r="F536" s="6" t="s">
        <v>2277</v>
      </c>
      <c r="G536" s="17" t="s">
        <v>3</v>
      </c>
      <c r="H536" s="17" t="s">
        <v>1916</v>
      </c>
      <c r="I536" s="17" t="s">
        <v>2278</v>
      </c>
    </row>
    <row r="537" spans="1:9" ht="30" customHeight="1" x14ac:dyDescent="0.25">
      <c r="A537" s="6">
        <v>805</v>
      </c>
      <c r="B537" s="14">
        <v>46211</v>
      </c>
      <c r="C537" s="6" t="s">
        <v>2279</v>
      </c>
      <c r="D537" s="6" t="s">
        <v>211</v>
      </c>
      <c r="E537" s="6" t="s">
        <v>1949</v>
      </c>
      <c r="F537" s="6" t="s">
        <v>45</v>
      </c>
      <c r="G537" s="17" t="s">
        <v>3</v>
      </c>
      <c r="H537" s="17" t="s">
        <v>1916</v>
      </c>
      <c r="I537" s="17" t="s">
        <v>2280</v>
      </c>
    </row>
    <row r="538" spans="1:9" ht="30" customHeight="1" x14ac:dyDescent="0.25">
      <c r="A538" s="6">
        <v>806</v>
      </c>
      <c r="B538" s="14">
        <v>46211</v>
      </c>
      <c r="C538" s="6" t="s">
        <v>2281</v>
      </c>
      <c r="D538" s="6" t="s">
        <v>1631</v>
      </c>
      <c r="E538" s="6" t="s">
        <v>1949</v>
      </c>
      <c r="F538" s="6" t="s">
        <v>45</v>
      </c>
      <c r="G538" s="17" t="s">
        <v>3</v>
      </c>
      <c r="H538" s="17" t="s">
        <v>1916</v>
      </c>
      <c r="I538" s="17" t="s">
        <v>2282</v>
      </c>
    </row>
    <row r="539" spans="1:9" ht="30" customHeight="1" x14ac:dyDescent="0.25">
      <c r="A539" s="6">
        <v>807</v>
      </c>
      <c r="B539" s="14">
        <v>46211</v>
      </c>
      <c r="C539" s="6" t="s">
        <v>1627</v>
      </c>
      <c r="D539" s="6" t="s">
        <v>205</v>
      </c>
      <c r="E539" s="6" t="s">
        <v>1918</v>
      </c>
      <c r="F539" s="6" t="s">
        <v>123</v>
      </c>
      <c r="G539" s="17" t="s">
        <v>3</v>
      </c>
      <c r="H539" s="17" t="s">
        <v>1916</v>
      </c>
      <c r="I539" s="17" t="s">
        <v>1628</v>
      </c>
    </row>
    <row r="540" spans="1:9" ht="30" customHeight="1" x14ac:dyDescent="0.25">
      <c r="A540" s="6">
        <v>808</v>
      </c>
      <c r="B540" s="14">
        <v>46211</v>
      </c>
      <c r="C540" s="6" t="s">
        <v>1630</v>
      </c>
      <c r="D540" s="6" t="s">
        <v>1631</v>
      </c>
      <c r="E540" s="6" t="s">
        <v>1918</v>
      </c>
      <c r="F540" s="6" t="s">
        <v>169</v>
      </c>
      <c r="G540" s="17" t="s">
        <v>3</v>
      </c>
      <c r="H540" s="17" t="s">
        <v>1919</v>
      </c>
      <c r="I540" s="17" t="s">
        <v>1632</v>
      </c>
    </row>
    <row r="541" spans="1:9" ht="30" customHeight="1" x14ac:dyDescent="0.25">
      <c r="A541" s="6">
        <v>809</v>
      </c>
      <c r="B541" s="14">
        <v>46212</v>
      </c>
      <c r="C541" s="6" t="s">
        <v>1637</v>
      </c>
      <c r="D541" s="6" t="s">
        <v>205</v>
      </c>
      <c r="E541" s="6" t="s">
        <v>1918</v>
      </c>
      <c r="F541" s="6" t="s">
        <v>42</v>
      </c>
      <c r="G541" s="17" t="s">
        <v>3</v>
      </c>
      <c r="H541" s="17" t="s">
        <v>1916</v>
      </c>
      <c r="I541" s="17" t="s">
        <v>1639</v>
      </c>
    </row>
    <row r="542" spans="1:9" ht="30" customHeight="1" x14ac:dyDescent="0.25">
      <c r="A542" s="6">
        <v>810</v>
      </c>
      <c r="B542" s="14">
        <v>46212</v>
      </c>
      <c r="C542" s="6" t="s">
        <v>1634</v>
      </c>
      <c r="D542" s="6" t="s">
        <v>1631</v>
      </c>
      <c r="E542" s="6" t="s">
        <v>1918</v>
      </c>
      <c r="F542" s="6" t="s">
        <v>45</v>
      </c>
      <c r="G542" s="17" t="s">
        <v>3</v>
      </c>
      <c r="H542" s="17" t="s">
        <v>1916</v>
      </c>
      <c r="I542" s="17" t="s">
        <v>1635</v>
      </c>
    </row>
    <row r="543" spans="1:9" ht="30" customHeight="1" x14ac:dyDescent="0.25">
      <c r="A543" s="6">
        <v>811</v>
      </c>
      <c r="B543" s="14">
        <v>46212</v>
      </c>
      <c r="C543" s="6" t="s">
        <v>2283</v>
      </c>
      <c r="D543" s="6" t="s">
        <v>1631</v>
      </c>
      <c r="E543" s="6" t="s">
        <v>1949</v>
      </c>
      <c r="F543" s="6" t="s">
        <v>2284</v>
      </c>
      <c r="G543" s="17" t="s">
        <v>3</v>
      </c>
      <c r="H543" s="17" t="s">
        <v>1916</v>
      </c>
      <c r="I543" s="17" t="s">
        <v>2285</v>
      </c>
    </row>
    <row r="544" spans="1:9" ht="30" customHeight="1" x14ac:dyDescent="0.25">
      <c r="A544" s="6">
        <v>812</v>
      </c>
      <c r="B544" s="14">
        <v>46213</v>
      </c>
      <c r="C544" s="6" t="s">
        <v>2286</v>
      </c>
      <c r="D544" s="6" t="s">
        <v>1631</v>
      </c>
      <c r="E544" s="6" t="s">
        <v>1931</v>
      </c>
      <c r="F544" s="6" t="s">
        <v>45</v>
      </c>
      <c r="G544" s="17" t="s">
        <v>2287</v>
      </c>
      <c r="H544" s="17" t="s">
        <v>1916</v>
      </c>
      <c r="I544" s="17" t="s">
        <v>2288</v>
      </c>
    </row>
    <row r="545" spans="1:9" ht="30" customHeight="1" x14ac:dyDescent="0.25">
      <c r="A545" s="6">
        <v>813</v>
      </c>
      <c r="B545" s="14">
        <v>46213</v>
      </c>
      <c r="C545" s="6" t="s">
        <v>1641</v>
      </c>
      <c r="D545" s="6" t="s">
        <v>205</v>
      </c>
      <c r="E545" s="6" t="s">
        <v>1918</v>
      </c>
      <c r="F545" s="6" t="s">
        <v>42</v>
      </c>
      <c r="G545" s="17" t="s">
        <v>3</v>
      </c>
      <c r="H545" s="17" t="s">
        <v>1916</v>
      </c>
      <c r="I545" s="17" t="s">
        <v>1643</v>
      </c>
    </row>
    <row r="546" spans="1:9" ht="30" customHeight="1" x14ac:dyDescent="0.25">
      <c r="A546" s="6">
        <v>814</v>
      </c>
      <c r="B546" s="14">
        <v>46213</v>
      </c>
      <c r="C546" s="6" t="s">
        <v>2289</v>
      </c>
      <c r="D546" s="6" t="s">
        <v>1631</v>
      </c>
      <c r="E546" s="6" t="s">
        <v>1949</v>
      </c>
      <c r="F546" s="6" t="s">
        <v>45</v>
      </c>
      <c r="G546" s="17" t="s">
        <v>3</v>
      </c>
      <c r="H546" s="17" t="s">
        <v>1916</v>
      </c>
      <c r="I546" s="17" t="s">
        <v>2290</v>
      </c>
    </row>
    <row r="547" spans="1:9" ht="30" customHeight="1" x14ac:dyDescent="0.25">
      <c r="A547" s="6">
        <v>815</v>
      </c>
      <c r="B547" s="14">
        <v>46217</v>
      </c>
      <c r="C547" s="6" t="s">
        <v>1645</v>
      </c>
      <c r="D547" s="6" t="s">
        <v>205</v>
      </c>
      <c r="E547" s="6" t="s">
        <v>1918</v>
      </c>
      <c r="F547" s="6" t="s">
        <v>145</v>
      </c>
      <c r="G547" s="17" t="s">
        <v>3</v>
      </c>
      <c r="H547" s="17" t="s">
        <v>1916</v>
      </c>
      <c r="I547" s="17" t="s">
        <v>1646</v>
      </c>
    </row>
    <row r="548" spans="1:9" ht="30" customHeight="1" x14ac:dyDescent="0.25">
      <c r="A548" s="6">
        <v>816</v>
      </c>
      <c r="B548" s="14">
        <v>46218</v>
      </c>
      <c r="C548" s="6" t="s">
        <v>1651</v>
      </c>
      <c r="D548" s="6" t="s">
        <v>205</v>
      </c>
      <c r="E548" s="6" t="s">
        <v>1918</v>
      </c>
      <c r="F548" s="6" t="s">
        <v>42</v>
      </c>
      <c r="G548" s="17" t="s">
        <v>3</v>
      </c>
      <c r="H548" s="17" t="s">
        <v>1916</v>
      </c>
      <c r="I548" s="17" t="s">
        <v>1653</v>
      </c>
    </row>
    <row r="549" spans="1:9" ht="30" customHeight="1" x14ac:dyDescent="0.25">
      <c r="A549" s="6">
        <v>817</v>
      </c>
      <c r="B549" s="14">
        <v>46218</v>
      </c>
      <c r="C549" s="6" t="s">
        <v>1655</v>
      </c>
      <c r="D549" s="6" t="s">
        <v>205</v>
      </c>
      <c r="E549" s="6" t="s">
        <v>1918</v>
      </c>
      <c r="F549" s="6" t="s">
        <v>42</v>
      </c>
      <c r="G549" s="17" t="s">
        <v>3</v>
      </c>
      <c r="H549" s="17" t="s">
        <v>1916</v>
      </c>
      <c r="I549" s="17" t="s">
        <v>1656</v>
      </c>
    </row>
    <row r="550" spans="1:9" ht="30" customHeight="1" x14ac:dyDescent="0.25">
      <c r="A550" s="6">
        <v>818</v>
      </c>
      <c r="B550" s="14">
        <v>46219</v>
      </c>
      <c r="C550" s="6" t="s">
        <v>1648</v>
      </c>
      <c r="D550" s="6" t="s">
        <v>313</v>
      </c>
      <c r="E550" s="6" t="s">
        <v>1918</v>
      </c>
      <c r="F550" s="6" t="s">
        <v>147</v>
      </c>
      <c r="G550" s="17" t="s">
        <v>3</v>
      </c>
      <c r="H550" s="17" t="s">
        <v>1916</v>
      </c>
      <c r="I550" s="17" t="s">
        <v>1649</v>
      </c>
    </row>
    <row r="551" spans="1:9" ht="30" customHeight="1" x14ac:dyDescent="0.25">
      <c r="A551" s="6">
        <v>819</v>
      </c>
      <c r="B551" s="14">
        <v>46219</v>
      </c>
      <c r="C551" s="6" t="s">
        <v>1658</v>
      </c>
      <c r="D551" s="6" t="s">
        <v>313</v>
      </c>
      <c r="E551" s="6" t="s">
        <v>1918</v>
      </c>
      <c r="F551" s="6" t="s">
        <v>106</v>
      </c>
      <c r="G551" s="17" t="s">
        <v>3</v>
      </c>
      <c r="H551" s="17" t="s">
        <v>1916</v>
      </c>
      <c r="I551" s="17" t="s">
        <v>1659</v>
      </c>
    </row>
    <row r="552" spans="1:9" ht="30" customHeight="1" x14ac:dyDescent="0.25">
      <c r="A552" s="6">
        <v>820</v>
      </c>
      <c r="B552" s="14">
        <v>46219</v>
      </c>
      <c r="C552" s="6" t="s">
        <v>1661</v>
      </c>
      <c r="D552" s="6" t="s">
        <v>205</v>
      </c>
      <c r="E552" s="6" t="s">
        <v>1918</v>
      </c>
      <c r="F552" s="6" t="s">
        <v>51</v>
      </c>
      <c r="G552" s="17" t="s">
        <v>3</v>
      </c>
      <c r="H552" s="17" t="s">
        <v>1916</v>
      </c>
      <c r="I552" s="17" t="s">
        <v>1664</v>
      </c>
    </row>
    <row r="553" spans="1:9" ht="30" customHeight="1" x14ac:dyDescent="0.25">
      <c r="A553" s="6">
        <v>821</v>
      </c>
      <c r="B553" s="14">
        <v>46220</v>
      </c>
      <c r="C553" s="6" t="s">
        <v>1666</v>
      </c>
      <c r="D553" s="6" t="s">
        <v>205</v>
      </c>
      <c r="E553" s="6" t="s">
        <v>1918</v>
      </c>
      <c r="F553" s="6" t="s">
        <v>51</v>
      </c>
      <c r="G553" s="17" t="s">
        <v>3</v>
      </c>
      <c r="H553" s="17" t="s">
        <v>1916</v>
      </c>
      <c r="I553" s="17" t="s">
        <v>1667</v>
      </c>
    </row>
    <row r="554" spans="1:9" ht="30" customHeight="1" x14ac:dyDescent="0.25">
      <c r="A554" s="6">
        <v>822</v>
      </c>
      <c r="B554" s="14">
        <v>46223</v>
      </c>
      <c r="C554" s="6" t="s">
        <v>1669</v>
      </c>
      <c r="D554" s="6" t="s">
        <v>205</v>
      </c>
      <c r="E554" s="6" t="s">
        <v>1918</v>
      </c>
      <c r="F554" s="6" t="s">
        <v>42</v>
      </c>
      <c r="G554" s="17" t="s">
        <v>3</v>
      </c>
      <c r="H554" s="17" t="s">
        <v>1916</v>
      </c>
      <c r="I554" s="17" t="s">
        <v>1670</v>
      </c>
    </row>
    <row r="555" spans="1:9" ht="30" customHeight="1" x14ac:dyDescent="0.25">
      <c r="A555" s="6">
        <v>823</v>
      </c>
      <c r="B555" s="14">
        <v>46224</v>
      </c>
      <c r="C555" s="6" t="s">
        <v>1566</v>
      </c>
      <c r="D555" s="6" t="s">
        <v>313</v>
      </c>
      <c r="E555" s="6" t="s">
        <v>1918</v>
      </c>
      <c r="F555" s="6" t="s">
        <v>80</v>
      </c>
      <c r="G555" s="17" t="s">
        <v>1567</v>
      </c>
      <c r="H555" s="17" t="s">
        <v>1916</v>
      </c>
      <c r="I555" s="17" t="s">
        <v>1568</v>
      </c>
    </row>
    <row r="556" spans="1:9" ht="30" customHeight="1" x14ac:dyDescent="0.25">
      <c r="A556" s="6">
        <v>824</v>
      </c>
      <c r="B556" s="14">
        <v>46224</v>
      </c>
      <c r="C556" s="6" t="s">
        <v>1672</v>
      </c>
      <c r="D556" s="6" t="s">
        <v>205</v>
      </c>
      <c r="E556" s="6" t="s">
        <v>1918</v>
      </c>
      <c r="F556" s="6" t="s">
        <v>42</v>
      </c>
      <c r="G556" s="17" t="s">
        <v>3</v>
      </c>
      <c r="H556" s="17" t="s">
        <v>1916</v>
      </c>
      <c r="I556" s="17" t="s">
        <v>1674</v>
      </c>
    </row>
    <row r="557" spans="1:9" ht="30" customHeight="1" x14ac:dyDescent="0.25">
      <c r="A557" s="6">
        <v>825</v>
      </c>
      <c r="B557" s="14">
        <v>46225</v>
      </c>
      <c r="C557" s="6" t="s">
        <v>2291</v>
      </c>
      <c r="D557" s="6" t="s">
        <v>2292</v>
      </c>
      <c r="E557" s="6" t="s">
        <v>1949</v>
      </c>
      <c r="F557" s="6" t="s">
        <v>45</v>
      </c>
      <c r="G557" s="17" t="s">
        <v>3</v>
      </c>
      <c r="H557" s="17" t="s">
        <v>1916</v>
      </c>
      <c r="I557" s="17" t="s">
        <v>2293</v>
      </c>
    </row>
    <row r="558" spans="1:9" ht="30" customHeight="1" x14ac:dyDescent="0.25">
      <c r="A558" s="6">
        <v>826</v>
      </c>
      <c r="B558" s="14">
        <v>46225</v>
      </c>
      <c r="C558" s="6" t="s">
        <v>2294</v>
      </c>
      <c r="D558" s="6" t="s">
        <v>1631</v>
      </c>
      <c r="E558" s="6" t="s">
        <v>1949</v>
      </c>
      <c r="F558" s="6" t="s">
        <v>45</v>
      </c>
      <c r="G558" s="17" t="s">
        <v>3</v>
      </c>
      <c r="H558" s="17" t="s">
        <v>1916</v>
      </c>
      <c r="I558" s="17" t="s">
        <v>2295</v>
      </c>
    </row>
    <row r="559" spans="1:9" ht="30" customHeight="1" x14ac:dyDescent="0.25">
      <c r="A559" s="6">
        <v>827</v>
      </c>
      <c r="B559" s="14">
        <v>46225</v>
      </c>
      <c r="C559" s="6" t="s">
        <v>1676</v>
      </c>
      <c r="D559" s="6" t="s">
        <v>205</v>
      </c>
      <c r="E559" s="6" t="s">
        <v>1918</v>
      </c>
      <c r="F559" s="6" t="s">
        <v>51</v>
      </c>
      <c r="G559" s="17" t="s">
        <v>3</v>
      </c>
      <c r="H559" s="17" t="s">
        <v>1916</v>
      </c>
      <c r="I559" s="17" t="s">
        <v>1678</v>
      </c>
    </row>
    <row r="560" spans="1:9" ht="30" customHeight="1" x14ac:dyDescent="0.25">
      <c r="A560" s="6">
        <v>828</v>
      </c>
      <c r="B560" s="14">
        <v>46225</v>
      </c>
      <c r="C560" s="6" t="s">
        <v>1680</v>
      </c>
      <c r="D560" s="6" t="s">
        <v>313</v>
      </c>
      <c r="E560" s="6" t="s">
        <v>1918</v>
      </c>
      <c r="F560" s="6" t="s">
        <v>115</v>
      </c>
      <c r="G560" s="17" t="s">
        <v>3</v>
      </c>
      <c r="H560" s="17" t="s">
        <v>1916</v>
      </c>
      <c r="I560" s="17" t="s">
        <v>1681</v>
      </c>
    </row>
    <row r="561" spans="1:9" ht="30" customHeight="1" x14ac:dyDescent="0.25">
      <c r="A561" s="6">
        <v>829</v>
      </c>
      <c r="B561" s="14">
        <v>46226</v>
      </c>
      <c r="C561" s="6" t="s">
        <v>1683</v>
      </c>
      <c r="D561" s="6" t="s">
        <v>205</v>
      </c>
      <c r="E561" s="6" t="s">
        <v>1918</v>
      </c>
      <c r="F561" s="6" t="s">
        <v>51</v>
      </c>
      <c r="G561" s="17" t="s">
        <v>3</v>
      </c>
      <c r="H561" s="17" t="s">
        <v>1916</v>
      </c>
      <c r="I561" s="17" t="s">
        <v>1686</v>
      </c>
    </row>
    <row r="562" spans="1:9" ht="30" customHeight="1" x14ac:dyDescent="0.25">
      <c r="A562" s="6">
        <v>830</v>
      </c>
      <c r="B562" s="14">
        <v>46228</v>
      </c>
      <c r="C562" s="6" t="s">
        <v>1691</v>
      </c>
      <c r="D562" s="6" t="s">
        <v>205</v>
      </c>
      <c r="E562" s="6" t="s">
        <v>1918</v>
      </c>
      <c r="F562" s="6" t="s">
        <v>51</v>
      </c>
      <c r="G562" s="17" t="s">
        <v>3</v>
      </c>
      <c r="H562" s="17" t="s">
        <v>1916</v>
      </c>
      <c r="I562" s="17" t="s">
        <v>1692</v>
      </c>
    </row>
    <row r="563" spans="1:9" ht="30" customHeight="1" x14ac:dyDescent="0.25">
      <c r="A563" s="6">
        <v>831</v>
      </c>
      <c r="B563" s="14">
        <v>46230</v>
      </c>
      <c r="C563" s="6" t="s">
        <v>2296</v>
      </c>
      <c r="D563" s="6" t="s">
        <v>812</v>
      </c>
      <c r="E563" s="6" t="s">
        <v>1949</v>
      </c>
      <c r="F563" s="6" t="s">
        <v>2297</v>
      </c>
      <c r="G563" s="17" t="s">
        <v>3</v>
      </c>
      <c r="H563" s="17" t="s">
        <v>1916</v>
      </c>
      <c r="I563" s="17" t="s">
        <v>2298</v>
      </c>
    </row>
    <row r="564" spans="1:9" ht="30" customHeight="1" x14ac:dyDescent="0.25">
      <c r="A564" s="6">
        <v>832</v>
      </c>
      <c r="B564" s="14">
        <v>46230</v>
      </c>
      <c r="C564" s="6" t="s">
        <v>1688</v>
      </c>
      <c r="D564" s="6" t="s">
        <v>313</v>
      </c>
      <c r="E564" s="6" t="s">
        <v>1918</v>
      </c>
      <c r="F564" s="6" t="s">
        <v>120</v>
      </c>
      <c r="G564" s="17" t="s">
        <v>3</v>
      </c>
      <c r="H564" s="17" t="s">
        <v>1916</v>
      </c>
      <c r="I564" s="17" t="s">
        <v>1689</v>
      </c>
    </row>
    <row r="565" spans="1:9" ht="30" customHeight="1" x14ac:dyDescent="0.25">
      <c r="A565" s="6">
        <v>833</v>
      </c>
      <c r="B565" s="14">
        <v>46230</v>
      </c>
      <c r="C565" s="6" t="s">
        <v>1694</v>
      </c>
      <c r="D565" s="6" t="s">
        <v>313</v>
      </c>
      <c r="E565" s="6" t="s">
        <v>1918</v>
      </c>
      <c r="F565" s="6" t="s">
        <v>79</v>
      </c>
      <c r="G565" s="17" t="s">
        <v>3</v>
      </c>
      <c r="H565" s="17" t="s">
        <v>1916</v>
      </c>
      <c r="I565" s="17" t="s">
        <v>1695</v>
      </c>
    </row>
    <row r="566" spans="1:9" ht="30" customHeight="1" x14ac:dyDescent="0.25">
      <c r="A566" s="6">
        <v>834</v>
      </c>
      <c r="B566" s="14">
        <v>46231</v>
      </c>
      <c r="C566" s="6" t="s">
        <v>2299</v>
      </c>
      <c r="D566" s="6" t="s">
        <v>313</v>
      </c>
      <c r="E566" s="6" t="s">
        <v>1949</v>
      </c>
      <c r="F566" s="6" t="s">
        <v>79</v>
      </c>
      <c r="G566" s="17" t="s">
        <v>3</v>
      </c>
      <c r="H566" s="17" t="s">
        <v>1916</v>
      </c>
      <c r="I566" s="17" t="s">
        <v>2300</v>
      </c>
    </row>
    <row r="567" spans="1:9" ht="30" customHeight="1" x14ac:dyDescent="0.25">
      <c r="A567" s="6">
        <v>835</v>
      </c>
      <c r="B567" s="14">
        <v>46231</v>
      </c>
      <c r="C567" s="6" t="s">
        <v>1700</v>
      </c>
      <c r="D567" s="6" t="s">
        <v>313</v>
      </c>
      <c r="E567" s="6" t="s">
        <v>1918</v>
      </c>
      <c r="F567" s="6" t="s">
        <v>61</v>
      </c>
      <c r="G567" s="17" t="s">
        <v>3</v>
      </c>
      <c r="H567" s="17" t="s">
        <v>1916</v>
      </c>
      <c r="I567" s="17" t="s">
        <v>1701</v>
      </c>
    </row>
    <row r="568" spans="1:9" ht="30" customHeight="1" x14ac:dyDescent="0.25">
      <c r="A568" s="6">
        <v>836</v>
      </c>
      <c r="B568" s="14">
        <v>46231</v>
      </c>
      <c r="C568" s="6" t="s">
        <v>1697</v>
      </c>
      <c r="D568" s="6" t="s">
        <v>205</v>
      </c>
      <c r="E568" s="6" t="s">
        <v>1918</v>
      </c>
      <c r="F568" s="6" t="s">
        <v>42</v>
      </c>
      <c r="G568" s="17" t="s">
        <v>3</v>
      </c>
      <c r="H568" s="17" t="s">
        <v>1916</v>
      </c>
      <c r="I568" s="17" t="s">
        <v>1698</v>
      </c>
    </row>
    <row r="569" spans="1:9" ht="30" customHeight="1" x14ac:dyDescent="0.25">
      <c r="A569" s="6">
        <v>837</v>
      </c>
      <c r="B569" s="14">
        <v>46231</v>
      </c>
      <c r="C569" s="6" t="s">
        <v>1705</v>
      </c>
      <c r="D569" s="6" t="s">
        <v>205</v>
      </c>
      <c r="E569" s="6" t="s">
        <v>1918</v>
      </c>
      <c r="F569" s="6" t="s">
        <v>42</v>
      </c>
      <c r="G569" s="17" t="s">
        <v>3</v>
      </c>
      <c r="H569" s="17" t="s">
        <v>1916</v>
      </c>
      <c r="I569" s="17" t="s">
        <v>1706</v>
      </c>
    </row>
    <row r="570" spans="1:9" ht="30" customHeight="1" x14ac:dyDescent="0.25">
      <c r="A570" s="6">
        <v>838</v>
      </c>
      <c r="B570" s="14">
        <v>46232</v>
      </c>
      <c r="C570" s="6" t="s">
        <v>1708</v>
      </c>
      <c r="D570" s="6" t="s">
        <v>313</v>
      </c>
      <c r="E570" s="6" t="s">
        <v>1918</v>
      </c>
      <c r="F570" s="6" t="s">
        <v>85</v>
      </c>
      <c r="G570" s="17" t="s">
        <v>3</v>
      </c>
      <c r="H570" s="17" t="s">
        <v>1916</v>
      </c>
      <c r="I570" s="17" t="s">
        <v>1709</v>
      </c>
    </row>
    <row r="571" spans="1:9" ht="30" customHeight="1" x14ac:dyDescent="0.25">
      <c r="A571" s="6">
        <v>839</v>
      </c>
      <c r="B571" s="14">
        <v>46232</v>
      </c>
      <c r="C571" s="6" t="s">
        <v>2301</v>
      </c>
      <c r="D571" s="6" t="s">
        <v>265</v>
      </c>
      <c r="E571" s="6" t="s">
        <v>1949</v>
      </c>
      <c r="F571" s="6" t="s">
        <v>2302</v>
      </c>
      <c r="G571" s="17" t="s">
        <v>3</v>
      </c>
      <c r="H571" s="17" t="s">
        <v>1916</v>
      </c>
      <c r="I571" s="17" t="s">
        <v>2302</v>
      </c>
    </row>
    <row r="572" spans="1:9" ht="30" customHeight="1" x14ac:dyDescent="0.25">
      <c r="A572" s="6">
        <v>840</v>
      </c>
      <c r="B572" s="14">
        <v>46232</v>
      </c>
      <c r="C572" s="6" t="s">
        <v>2303</v>
      </c>
      <c r="D572" s="6" t="s">
        <v>313</v>
      </c>
      <c r="E572" s="6" t="s">
        <v>1949</v>
      </c>
      <c r="F572" s="6" t="s">
        <v>2304</v>
      </c>
      <c r="G572" s="17" t="s">
        <v>3</v>
      </c>
      <c r="H572" s="17" t="s">
        <v>1916</v>
      </c>
      <c r="I572" s="17" t="s">
        <v>2304</v>
      </c>
    </row>
    <row r="573" spans="1:9" ht="30" customHeight="1" x14ac:dyDescent="0.25">
      <c r="A573" s="6">
        <v>841</v>
      </c>
      <c r="B573" s="14">
        <v>46233</v>
      </c>
      <c r="C573" s="6" t="s">
        <v>1711</v>
      </c>
      <c r="D573" s="6" t="s">
        <v>205</v>
      </c>
      <c r="E573" s="6" t="s">
        <v>1918</v>
      </c>
      <c r="F573" s="6" t="s">
        <v>42</v>
      </c>
      <c r="G573" s="17" t="s">
        <v>3</v>
      </c>
      <c r="H573" s="17" t="s">
        <v>1916</v>
      </c>
      <c r="I573" s="17" t="s">
        <v>1712</v>
      </c>
    </row>
    <row r="574" spans="1:9" ht="30" customHeight="1" x14ac:dyDescent="0.25">
      <c r="A574" s="6">
        <v>842</v>
      </c>
      <c r="B574" s="14">
        <v>46233</v>
      </c>
      <c r="C574" s="6" t="s">
        <v>2305</v>
      </c>
      <c r="D574" s="6" t="s">
        <v>205</v>
      </c>
      <c r="E574" s="6" t="s">
        <v>1949</v>
      </c>
      <c r="F574" s="6" t="s">
        <v>2306</v>
      </c>
      <c r="G574" s="17" t="s">
        <v>3</v>
      </c>
      <c r="H574" s="17" t="s">
        <v>1916</v>
      </c>
      <c r="I574" s="17" t="s">
        <v>2306</v>
      </c>
    </row>
    <row r="575" spans="1:9" ht="30" customHeight="1" x14ac:dyDescent="0.25">
      <c r="A575" s="6">
        <v>843</v>
      </c>
      <c r="B575" s="14">
        <v>46233</v>
      </c>
      <c r="C575" s="6" t="s">
        <v>1714</v>
      </c>
      <c r="D575" s="6" t="s">
        <v>205</v>
      </c>
      <c r="E575" s="6" t="s">
        <v>1918</v>
      </c>
      <c r="F575" s="6" t="s">
        <v>42</v>
      </c>
      <c r="G575" s="17" t="s">
        <v>3</v>
      </c>
      <c r="H575" s="17" t="s">
        <v>1916</v>
      </c>
      <c r="I575" s="17" t="s">
        <v>1716</v>
      </c>
    </row>
    <row r="576" spans="1:9" ht="30" customHeight="1" x14ac:dyDescent="0.25">
      <c r="A576" s="6">
        <v>844</v>
      </c>
      <c r="B576" s="14">
        <v>46233</v>
      </c>
      <c r="C576" s="6" t="s">
        <v>2307</v>
      </c>
      <c r="D576" s="6" t="s">
        <v>205</v>
      </c>
      <c r="E576" s="6" t="s">
        <v>1949</v>
      </c>
      <c r="F576" s="6" t="s">
        <v>2308</v>
      </c>
      <c r="G576" s="17" t="s">
        <v>3</v>
      </c>
      <c r="H576" s="17" t="s">
        <v>1916</v>
      </c>
      <c r="I576" s="17" t="s">
        <v>2308</v>
      </c>
    </row>
    <row r="577" spans="1:9" ht="30" customHeight="1" x14ac:dyDescent="0.25">
      <c r="A577" s="6">
        <v>845</v>
      </c>
      <c r="B577" s="14">
        <v>46234</v>
      </c>
      <c r="C577" s="6" t="s">
        <v>1721</v>
      </c>
      <c r="D577" s="6" t="s">
        <v>313</v>
      </c>
      <c r="E577" s="6" t="s">
        <v>1918</v>
      </c>
      <c r="F577" s="6" t="s">
        <v>79</v>
      </c>
      <c r="G577" s="17" t="s">
        <v>3</v>
      </c>
      <c r="H577" s="17" t="s">
        <v>1916</v>
      </c>
      <c r="I577" s="17" t="s">
        <v>1722</v>
      </c>
    </row>
    <row r="578" spans="1:9" ht="30" customHeight="1" x14ac:dyDescent="0.25">
      <c r="A578" s="6">
        <v>846</v>
      </c>
      <c r="B578" s="14">
        <v>46234</v>
      </c>
      <c r="C578" s="6" t="s">
        <v>1718</v>
      </c>
      <c r="D578" s="6" t="s">
        <v>205</v>
      </c>
      <c r="E578" s="6" t="s">
        <v>1918</v>
      </c>
      <c r="F578" s="6" t="s">
        <v>96</v>
      </c>
      <c r="G578" s="17" t="s">
        <v>3</v>
      </c>
      <c r="H578" s="17" t="s">
        <v>1916</v>
      </c>
      <c r="I578" s="17" t="s">
        <v>1719</v>
      </c>
    </row>
    <row r="579" spans="1:9" ht="30" customHeight="1" x14ac:dyDescent="0.25">
      <c r="A579" s="6">
        <v>847</v>
      </c>
      <c r="B579" s="14">
        <v>46237</v>
      </c>
      <c r="C579" s="6" t="s">
        <v>1726</v>
      </c>
      <c r="D579" s="6" t="s">
        <v>205</v>
      </c>
      <c r="E579" s="6" t="s">
        <v>1918</v>
      </c>
      <c r="F579" s="6" t="s">
        <v>96</v>
      </c>
      <c r="G579" s="17" t="s">
        <v>3</v>
      </c>
      <c r="H579" s="17" t="s">
        <v>1916</v>
      </c>
      <c r="I579" s="17" t="s">
        <v>1727</v>
      </c>
    </row>
    <row r="580" spans="1:9" ht="30" customHeight="1" x14ac:dyDescent="0.25">
      <c r="A580" s="6">
        <v>848</v>
      </c>
      <c r="B580" s="14">
        <v>46237</v>
      </c>
      <c r="C580" s="6" t="s">
        <v>1027</v>
      </c>
      <c r="D580" s="6" t="s">
        <v>313</v>
      </c>
      <c r="E580" s="6" t="s">
        <v>1918</v>
      </c>
      <c r="F580" s="6" t="s">
        <v>85</v>
      </c>
      <c r="G580" s="17" t="s">
        <v>3</v>
      </c>
      <c r="H580" s="17" t="s">
        <v>1916</v>
      </c>
      <c r="I580" s="17" t="s">
        <v>1724</v>
      </c>
    </row>
    <row r="581" spans="1:9" ht="30" customHeight="1" x14ac:dyDescent="0.25">
      <c r="A581" s="6">
        <v>849</v>
      </c>
      <c r="B581" s="14">
        <v>46237</v>
      </c>
      <c r="C581" s="6" t="s">
        <v>2309</v>
      </c>
      <c r="D581" s="6" t="s">
        <v>265</v>
      </c>
      <c r="E581" s="6" t="s">
        <v>1949</v>
      </c>
      <c r="F581" s="6" t="s">
        <v>45</v>
      </c>
      <c r="G581" s="17" t="s">
        <v>3</v>
      </c>
      <c r="H581" s="17" t="s">
        <v>1916</v>
      </c>
      <c r="I581" s="17" t="s">
        <v>2310</v>
      </c>
    </row>
    <row r="582" spans="1:9" ht="30" customHeight="1" x14ac:dyDescent="0.25">
      <c r="A582" s="6">
        <v>850</v>
      </c>
      <c r="B582" s="14">
        <v>46237</v>
      </c>
      <c r="C582" s="6" t="s">
        <v>2311</v>
      </c>
      <c r="D582" s="6" t="s">
        <v>313</v>
      </c>
      <c r="E582" s="6" t="s">
        <v>1949</v>
      </c>
      <c r="F582" s="6" t="s">
        <v>2312</v>
      </c>
      <c r="G582" s="17" t="s">
        <v>3</v>
      </c>
      <c r="H582" s="17" t="s">
        <v>1916</v>
      </c>
      <c r="I582" s="17" t="s">
        <v>2312</v>
      </c>
    </row>
    <row r="583" spans="1:9" ht="30" customHeight="1" x14ac:dyDescent="0.25">
      <c r="A583" s="6">
        <v>851</v>
      </c>
      <c r="B583" s="14">
        <v>46238</v>
      </c>
      <c r="C583" s="6" t="s">
        <v>1729</v>
      </c>
      <c r="D583" s="6" t="s">
        <v>205</v>
      </c>
      <c r="E583" s="6" t="s">
        <v>1918</v>
      </c>
      <c r="F583" s="6" t="s">
        <v>42</v>
      </c>
      <c r="G583" s="17" t="s">
        <v>3</v>
      </c>
      <c r="H583" s="17" t="s">
        <v>1916</v>
      </c>
      <c r="I583" s="17" t="s">
        <v>1730</v>
      </c>
    </row>
    <row r="584" spans="1:9" ht="30" customHeight="1" x14ac:dyDescent="0.25">
      <c r="A584" s="6">
        <v>852</v>
      </c>
      <c r="B584" s="14">
        <v>46239</v>
      </c>
      <c r="C584" s="6" t="s">
        <v>1732</v>
      </c>
      <c r="D584" s="6" t="s">
        <v>205</v>
      </c>
      <c r="E584" s="6" t="s">
        <v>1918</v>
      </c>
      <c r="F584" s="6" t="s">
        <v>42</v>
      </c>
      <c r="G584" s="17" t="s">
        <v>3</v>
      </c>
      <c r="H584" s="17" t="s">
        <v>1916</v>
      </c>
      <c r="I584" s="17" t="s">
        <v>1733</v>
      </c>
    </row>
    <row r="585" spans="1:9" ht="30" customHeight="1" x14ac:dyDescent="0.25">
      <c r="A585" s="6">
        <v>853</v>
      </c>
      <c r="B585" s="14">
        <v>46239</v>
      </c>
      <c r="C585" s="6" t="s">
        <v>2313</v>
      </c>
      <c r="D585" s="6" t="s">
        <v>205</v>
      </c>
      <c r="E585" s="6" t="s">
        <v>1949</v>
      </c>
      <c r="F585" s="6" t="s">
        <v>2314</v>
      </c>
      <c r="G585" s="17" t="s">
        <v>3</v>
      </c>
      <c r="H585" s="17" t="s">
        <v>1916</v>
      </c>
      <c r="I585" s="17" t="s">
        <v>2315</v>
      </c>
    </row>
    <row r="586" spans="1:9" ht="30" customHeight="1" x14ac:dyDescent="0.25">
      <c r="A586" s="6">
        <v>854</v>
      </c>
      <c r="B586" s="14">
        <v>46240</v>
      </c>
      <c r="C586" s="6" t="s">
        <v>1742</v>
      </c>
      <c r="D586" s="6" t="s">
        <v>812</v>
      </c>
      <c r="E586" s="6" t="s">
        <v>1918</v>
      </c>
      <c r="F586" s="6" t="s">
        <v>139</v>
      </c>
      <c r="G586" s="17" t="s">
        <v>1744</v>
      </c>
      <c r="H586" s="17" t="s">
        <v>1916</v>
      </c>
      <c r="I586" s="17" t="s">
        <v>1745</v>
      </c>
    </row>
    <row r="587" spans="1:9" ht="30" customHeight="1" x14ac:dyDescent="0.25">
      <c r="A587" s="6">
        <v>855</v>
      </c>
      <c r="B587" s="14">
        <v>46240</v>
      </c>
      <c r="C587" s="6" t="s">
        <v>1739</v>
      </c>
      <c r="D587" s="6" t="s">
        <v>313</v>
      </c>
      <c r="E587" s="6" t="s">
        <v>1918</v>
      </c>
      <c r="F587" s="6" t="s">
        <v>132</v>
      </c>
      <c r="G587" s="17" t="s">
        <v>3</v>
      </c>
      <c r="H587" s="17" t="s">
        <v>1919</v>
      </c>
      <c r="I587" s="17" t="s">
        <v>1740</v>
      </c>
    </row>
    <row r="588" spans="1:9" ht="30" customHeight="1" x14ac:dyDescent="0.25">
      <c r="A588" s="6">
        <v>856</v>
      </c>
      <c r="B588" s="14">
        <v>46240</v>
      </c>
      <c r="C588" s="6" t="s">
        <v>1735</v>
      </c>
      <c r="D588" s="6" t="s">
        <v>265</v>
      </c>
      <c r="E588" s="6" t="s">
        <v>1918</v>
      </c>
      <c r="F588" s="6" t="s">
        <v>45</v>
      </c>
      <c r="G588" s="17" t="s">
        <v>1736</v>
      </c>
      <c r="H588" s="17" t="s">
        <v>1916</v>
      </c>
      <c r="I588" s="17" t="s">
        <v>1737</v>
      </c>
    </row>
    <row r="589" spans="1:9" ht="30" customHeight="1" x14ac:dyDescent="0.25">
      <c r="A589" s="6">
        <v>857</v>
      </c>
      <c r="B589" s="14">
        <v>46241</v>
      </c>
      <c r="C589" s="6" t="s">
        <v>1747</v>
      </c>
      <c r="D589" s="6" t="s">
        <v>205</v>
      </c>
      <c r="E589" s="6" t="s">
        <v>1918</v>
      </c>
      <c r="F589" s="6" t="s">
        <v>125</v>
      </c>
      <c r="G589" s="17" t="s">
        <v>3</v>
      </c>
      <c r="H589" s="17" t="s">
        <v>1916</v>
      </c>
      <c r="I589" s="17" t="s">
        <v>1748</v>
      </c>
    </row>
    <row r="590" spans="1:9" ht="30" customHeight="1" x14ac:dyDescent="0.25">
      <c r="A590" s="6">
        <v>858</v>
      </c>
      <c r="B590" s="14">
        <v>46241</v>
      </c>
      <c r="C590" s="6" t="s">
        <v>1753</v>
      </c>
      <c r="D590" s="6" t="s">
        <v>812</v>
      </c>
      <c r="E590" s="6" t="s">
        <v>1918</v>
      </c>
      <c r="F590" s="6" t="s">
        <v>174</v>
      </c>
      <c r="G590" s="17" t="s">
        <v>3</v>
      </c>
      <c r="H590" s="17" t="s">
        <v>1916</v>
      </c>
      <c r="I590" s="17" t="s">
        <v>1755</v>
      </c>
    </row>
    <row r="591" spans="1:9" ht="30" customHeight="1" x14ac:dyDescent="0.25">
      <c r="A591" s="6">
        <v>859</v>
      </c>
      <c r="B591" s="14">
        <v>46241</v>
      </c>
      <c r="C591" s="6" t="s">
        <v>1750</v>
      </c>
      <c r="D591" s="6" t="s">
        <v>205</v>
      </c>
      <c r="E591" s="6" t="s">
        <v>1918</v>
      </c>
      <c r="F591" s="6" t="s">
        <v>149</v>
      </c>
      <c r="G591" s="17" t="s">
        <v>3</v>
      </c>
      <c r="H591" s="17" t="s">
        <v>1916</v>
      </c>
      <c r="I591" s="17" t="s">
        <v>1751</v>
      </c>
    </row>
    <row r="592" spans="1:9" ht="30" customHeight="1" x14ac:dyDescent="0.25">
      <c r="A592" s="6">
        <v>860</v>
      </c>
      <c r="B592" s="14">
        <v>46244</v>
      </c>
      <c r="C592" s="6" t="s">
        <v>1757</v>
      </c>
      <c r="D592" s="6" t="s">
        <v>265</v>
      </c>
      <c r="E592" s="6" t="s">
        <v>1918</v>
      </c>
      <c r="F592" s="6" t="s">
        <v>171</v>
      </c>
      <c r="G592" s="17" t="s">
        <v>1758</v>
      </c>
      <c r="H592" s="17" t="s">
        <v>1916</v>
      </c>
      <c r="I592" s="17" t="s">
        <v>1759</v>
      </c>
    </row>
    <row r="593" spans="1:9" ht="30" customHeight="1" x14ac:dyDescent="0.25">
      <c r="A593" s="6">
        <v>861</v>
      </c>
      <c r="B593" s="14">
        <v>46244</v>
      </c>
      <c r="C593" s="6" t="s">
        <v>1761</v>
      </c>
      <c r="D593" s="6" t="s">
        <v>313</v>
      </c>
      <c r="E593" s="6" t="s">
        <v>1918</v>
      </c>
      <c r="F593" s="6" t="s">
        <v>61</v>
      </c>
      <c r="G593" s="17" t="s">
        <v>3</v>
      </c>
      <c r="H593" s="17" t="s">
        <v>1916</v>
      </c>
      <c r="I593" s="17" t="s">
        <v>1762</v>
      </c>
    </row>
    <row r="594" spans="1:9" ht="30" customHeight="1" x14ac:dyDescent="0.25">
      <c r="A594" s="6">
        <v>862</v>
      </c>
      <c r="B594" s="14">
        <v>46244</v>
      </c>
      <c r="C594" s="6" t="s">
        <v>1764</v>
      </c>
      <c r="D594" s="6" t="s">
        <v>205</v>
      </c>
      <c r="E594" s="6" t="s">
        <v>1918</v>
      </c>
      <c r="F594" s="6" t="s">
        <v>144</v>
      </c>
      <c r="G594" s="17" t="s">
        <v>3</v>
      </c>
      <c r="H594" s="17" t="s">
        <v>1916</v>
      </c>
      <c r="I594" s="17" t="s">
        <v>1765</v>
      </c>
    </row>
    <row r="595" spans="1:9" ht="30" customHeight="1" x14ac:dyDescent="0.25">
      <c r="A595" s="6">
        <v>863</v>
      </c>
      <c r="B595" s="14">
        <v>46245</v>
      </c>
      <c r="C595" s="6" t="s">
        <v>1767</v>
      </c>
      <c r="D595" s="6" t="s">
        <v>205</v>
      </c>
      <c r="E595" s="6" t="s">
        <v>1918</v>
      </c>
      <c r="F595" s="6" t="s">
        <v>42</v>
      </c>
      <c r="G595" s="17" t="s">
        <v>3</v>
      </c>
      <c r="H595" s="17" t="s">
        <v>1916</v>
      </c>
      <c r="I595" s="17" t="s">
        <v>1768</v>
      </c>
    </row>
    <row r="596" spans="1:9" ht="30" customHeight="1" x14ac:dyDescent="0.25">
      <c r="A596" s="6">
        <v>864</v>
      </c>
      <c r="B596" s="14">
        <v>46246</v>
      </c>
      <c r="C596" s="6" t="s">
        <v>1770</v>
      </c>
      <c r="D596" s="6" t="s">
        <v>205</v>
      </c>
      <c r="E596" s="6" t="s">
        <v>1918</v>
      </c>
      <c r="F596" s="6" t="s">
        <v>42</v>
      </c>
      <c r="G596" s="17" t="s">
        <v>3</v>
      </c>
      <c r="H596" s="17" t="s">
        <v>1916</v>
      </c>
      <c r="I596" s="17" t="s">
        <v>1771</v>
      </c>
    </row>
    <row r="597" spans="1:9" ht="30" customHeight="1" x14ac:dyDescent="0.25">
      <c r="A597" s="6">
        <v>865</v>
      </c>
      <c r="B597" s="14">
        <v>46247</v>
      </c>
      <c r="C597" s="6" t="s">
        <v>1773</v>
      </c>
      <c r="D597" s="6" t="s">
        <v>313</v>
      </c>
      <c r="E597" s="6" t="s">
        <v>1918</v>
      </c>
      <c r="F597" s="6" t="s">
        <v>42</v>
      </c>
      <c r="G597" s="17" t="s">
        <v>3</v>
      </c>
      <c r="H597" s="17" t="s">
        <v>1916</v>
      </c>
      <c r="I597" s="17" t="s">
        <v>1775</v>
      </c>
    </row>
    <row r="598" spans="1:9" ht="30" customHeight="1" x14ac:dyDescent="0.25">
      <c r="A598" s="6">
        <v>866</v>
      </c>
      <c r="B598" s="14">
        <v>46248</v>
      </c>
      <c r="C598" s="6" t="s">
        <v>1778</v>
      </c>
      <c r="D598" s="6" t="s">
        <v>205</v>
      </c>
      <c r="E598" s="6" t="s">
        <v>1918</v>
      </c>
      <c r="F598" s="6" t="s">
        <v>51</v>
      </c>
      <c r="G598" s="17" t="s">
        <v>3</v>
      </c>
      <c r="H598" s="17" t="s">
        <v>1916</v>
      </c>
      <c r="I598" s="17" t="s">
        <v>1780</v>
      </c>
    </row>
    <row r="599" spans="1:9" ht="30" customHeight="1" x14ac:dyDescent="0.25">
      <c r="A599" s="6">
        <v>867</v>
      </c>
      <c r="B599" s="14">
        <v>46251</v>
      </c>
      <c r="C599" s="6" t="s">
        <v>1786</v>
      </c>
      <c r="D599" s="6" t="s">
        <v>313</v>
      </c>
      <c r="E599" s="6" t="s">
        <v>1918</v>
      </c>
      <c r="F599" s="6" t="s">
        <v>79</v>
      </c>
      <c r="G599" s="17" t="s">
        <v>3</v>
      </c>
      <c r="H599" s="17" t="s">
        <v>1916</v>
      </c>
      <c r="I599" s="17" t="s">
        <v>1788</v>
      </c>
    </row>
    <row r="600" spans="1:9" ht="30" customHeight="1" x14ac:dyDescent="0.25">
      <c r="A600" s="6">
        <v>868</v>
      </c>
      <c r="B600" s="14">
        <v>46251</v>
      </c>
      <c r="C600" s="6" t="s">
        <v>1782</v>
      </c>
      <c r="D600" s="6" t="s">
        <v>313</v>
      </c>
      <c r="E600" s="6" t="s">
        <v>1918</v>
      </c>
      <c r="F600" s="6" t="s">
        <v>133</v>
      </c>
      <c r="G600" s="17" t="s">
        <v>3</v>
      </c>
      <c r="H600" s="17" t="s">
        <v>1916</v>
      </c>
      <c r="I600" s="17" t="s">
        <v>1784</v>
      </c>
    </row>
    <row r="601" spans="1:9" ht="30" customHeight="1" x14ac:dyDescent="0.25">
      <c r="A601" s="6">
        <v>869</v>
      </c>
      <c r="B601" s="14">
        <v>46251</v>
      </c>
      <c r="C601" s="6" t="s">
        <v>2316</v>
      </c>
      <c r="D601" s="6" t="s">
        <v>205</v>
      </c>
      <c r="E601" s="6" t="s">
        <v>1924</v>
      </c>
      <c r="F601" s="6" t="s">
        <v>1925</v>
      </c>
      <c r="G601" s="17" t="s">
        <v>3</v>
      </c>
      <c r="H601" s="17" t="s">
        <v>1916</v>
      </c>
      <c r="I601" s="17" t="s">
        <v>1926</v>
      </c>
    </row>
    <row r="602" spans="1:9" ht="30" customHeight="1" x14ac:dyDescent="0.25">
      <c r="A602" s="6">
        <v>870</v>
      </c>
      <c r="B602" s="14">
        <v>46251</v>
      </c>
      <c r="C602" s="6" t="s">
        <v>1790</v>
      </c>
      <c r="D602" s="6" t="s">
        <v>313</v>
      </c>
      <c r="E602" s="6" t="s">
        <v>1918</v>
      </c>
      <c r="F602" s="6" t="s">
        <v>65</v>
      </c>
      <c r="G602" s="17" t="s">
        <v>3</v>
      </c>
      <c r="H602" s="17" t="s">
        <v>1916</v>
      </c>
      <c r="I602" s="17" t="s">
        <v>1791</v>
      </c>
    </row>
    <row r="603" spans="1:9" ht="30" customHeight="1" x14ac:dyDescent="0.25">
      <c r="A603" s="6">
        <v>871</v>
      </c>
      <c r="B603" s="14">
        <v>46251</v>
      </c>
      <c r="C603" s="6" t="s">
        <v>1793</v>
      </c>
      <c r="D603" s="6" t="s">
        <v>205</v>
      </c>
      <c r="E603" s="6" t="s">
        <v>1918</v>
      </c>
      <c r="F603" s="6" t="s">
        <v>51</v>
      </c>
      <c r="G603" s="17" t="s">
        <v>3</v>
      </c>
      <c r="H603" s="17" t="s">
        <v>1916</v>
      </c>
      <c r="I603" s="17" t="s">
        <v>1795</v>
      </c>
    </row>
    <row r="604" spans="1:9" ht="30" customHeight="1" x14ac:dyDescent="0.25">
      <c r="A604" s="6">
        <v>872</v>
      </c>
      <c r="B604" s="14">
        <v>46252</v>
      </c>
      <c r="C604" s="6" t="s">
        <v>1797</v>
      </c>
      <c r="D604" s="6" t="s">
        <v>313</v>
      </c>
      <c r="E604" s="6" t="s">
        <v>1918</v>
      </c>
      <c r="F604" s="6" t="s">
        <v>42</v>
      </c>
      <c r="G604" s="17" t="s">
        <v>3</v>
      </c>
      <c r="H604" s="17" t="s">
        <v>1916</v>
      </c>
      <c r="I604" s="17" t="s">
        <v>1798</v>
      </c>
    </row>
    <row r="605" spans="1:9" ht="30" customHeight="1" x14ac:dyDescent="0.25">
      <c r="A605" s="6">
        <v>873</v>
      </c>
      <c r="B605" s="14">
        <v>46253</v>
      </c>
      <c r="C605" s="6" t="s">
        <v>1800</v>
      </c>
      <c r="D605" s="6" t="s">
        <v>205</v>
      </c>
      <c r="E605" s="6" t="s">
        <v>1918</v>
      </c>
      <c r="F605" s="6" t="s">
        <v>42</v>
      </c>
      <c r="G605" s="17" t="s">
        <v>3</v>
      </c>
      <c r="H605" s="17" t="s">
        <v>1916</v>
      </c>
      <c r="I605" s="17" t="s">
        <v>1801</v>
      </c>
    </row>
    <row r="606" spans="1:9" ht="30" customHeight="1" x14ac:dyDescent="0.25">
      <c r="A606" s="6">
        <v>874</v>
      </c>
      <c r="B606" s="14">
        <v>46253</v>
      </c>
      <c r="C606" s="6" t="s">
        <v>1807</v>
      </c>
      <c r="D606" s="6" t="s">
        <v>313</v>
      </c>
      <c r="E606" s="6" t="s">
        <v>1918</v>
      </c>
      <c r="F606" s="6" t="s">
        <v>42</v>
      </c>
      <c r="G606" s="17" t="s">
        <v>3</v>
      </c>
      <c r="H606" s="17" t="s">
        <v>1919</v>
      </c>
      <c r="I606" s="17" t="s">
        <v>1808</v>
      </c>
    </row>
    <row r="607" spans="1:9" ht="30" customHeight="1" x14ac:dyDescent="0.25">
      <c r="A607" s="6">
        <v>875</v>
      </c>
      <c r="B607" s="14">
        <v>46253</v>
      </c>
      <c r="C607" s="6" t="s">
        <v>1803</v>
      </c>
      <c r="D607" s="6" t="s">
        <v>265</v>
      </c>
      <c r="E607" s="6" t="s">
        <v>1918</v>
      </c>
      <c r="F607" s="6" t="s">
        <v>45</v>
      </c>
      <c r="G607" s="17" t="s">
        <v>2317</v>
      </c>
      <c r="H607" s="17" t="s">
        <v>1916</v>
      </c>
      <c r="I607" s="17" t="s">
        <v>1805</v>
      </c>
    </row>
    <row r="608" spans="1:9" ht="30" customHeight="1" x14ac:dyDescent="0.25">
      <c r="A608" s="6">
        <v>876</v>
      </c>
      <c r="B608" s="14">
        <v>46253</v>
      </c>
      <c r="C608" s="6" t="s">
        <v>2318</v>
      </c>
      <c r="D608" s="6" t="s">
        <v>265</v>
      </c>
      <c r="E608" s="6" t="s">
        <v>1953</v>
      </c>
      <c r="F608" s="6" t="s">
        <v>45</v>
      </c>
      <c r="G608" s="17" t="s">
        <v>2319</v>
      </c>
      <c r="H608" s="17" t="s">
        <v>1916</v>
      </c>
      <c r="I608" s="17" t="s">
        <v>2320</v>
      </c>
    </row>
    <row r="609" spans="1:9" ht="30" customHeight="1" x14ac:dyDescent="0.25">
      <c r="A609" s="6">
        <v>877</v>
      </c>
      <c r="B609" s="14">
        <v>46253</v>
      </c>
      <c r="C609" s="6" t="s">
        <v>1810</v>
      </c>
      <c r="D609" s="6" t="s">
        <v>205</v>
      </c>
      <c r="E609" s="6" t="s">
        <v>1918</v>
      </c>
      <c r="F609" s="6" t="s">
        <v>42</v>
      </c>
      <c r="G609" s="17" t="s">
        <v>3</v>
      </c>
      <c r="H609" s="17" t="s">
        <v>1916</v>
      </c>
      <c r="I609" s="17" t="s">
        <v>1811</v>
      </c>
    </row>
    <row r="610" spans="1:9" ht="30" customHeight="1" x14ac:dyDescent="0.25">
      <c r="A610" s="6">
        <v>878</v>
      </c>
      <c r="B610" s="14">
        <v>46254</v>
      </c>
      <c r="C610" s="6" t="s">
        <v>1813</v>
      </c>
      <c r="D610" s="6" t="s">
        <v>265</v>
      </c>
      <c r="E610" s="6" t="s">
        <v>1949</v>
      </c>
      <c r="F610" s="6" t="s">
        <v>45</v>
      </c>
      <c r="G610" s="17" t="s">
        <v>3</v>
      </c>
      <c r="H610" s="17" t="s">
        <v>1916</v>
      </c>
      <c r="I610" s="17" t="s">
        <v>3</v>
      </c>
    </row>
    <row r="611" spans="1:9" ht="30" customHeight="1" x14ac:dyDescent="0.25">
      <c r="A611" s="6">
        <v>879</v>
      </c>
      <c r="B611" s="14">
        <v>46254</v>
      </c>
      <c r="C611" s="6" t="s">
        <v>1813</v>
      </c>
      <c r="D611" s="6" t="s">
        <v>265</v>
      </c>
      <c r="E611" s="6" t="s">
        <v>1918</v>
      </c>
      <c r="F611" s="6" t="s">
        <v>128</v>
      </c>
      <c r="G611" s="17" t="s">
        <v>2321</v>
      </c>
      <c r="H611" s="17" t="s">
        <v>1916</v>
      </c>
      <c r="I611" s="17" t="s">
        <v>1815</v>
      </c>
    </row>
    <row r="612" spans="1:9" ht="30" customHeight="1" x14ac:dyDescent="0.25">
      <c r="A612" s="6">
        <v>880</v>
      </c>
      <c r="B612" s="14">
        <v>46254</v>
      </c>
      <c r="C612" s="6" t="s">
        <v>1813</v>
      </c>
      <c r="D612" s="6" t="s">
        <v>265</v>
      </c>
      <c r="E612" s="6" t="s">
        <v>1953</v>
      </c>
      <c r="F612" s="6" t="s">
        <v>45</v>
      </c>
      <c r="G612" s="17" t="s">
        <v>2322</v>
      </c>
      <c r="H612" s="17" t="s">
        <v>1916</v>
      </c>
      <c r="I612" s="17" t="s">
        <v>2323</v>
      </c>
    </row>
    <row r="613" spans="1:9" ht="30" customHeight="1" x14ac:dyDescent="0.25">
      <c r="A613" s="6">
        <v>881</v>
      </c>
      <c r="B613" s="14">
        <v>46254</v>
      </c>
      <c r="C613" s="6" t="s">
        <v>2324</v>
      </c>
      <c r="D613" s="6" t="s">
        <v>265</v>
      </c>
      <c r="E613" s="6" t="s">
        <v>1953</v>
      </c>
      <c r="F613" s="6" t="s">
        <v>45</v>
      </c>
      <c r="G613" s="17" t="s">
        <v>2325</v>
      </c>
      <c r="H613" s="17" t="s">
        <v>1916</v>
      </c>
      <c r="I613" s="17" t="s">
        <v>2326</v>
      </c>
    </row>
    <row r="614" spans="1:9" ht="30" customHeight="1" x14ac:dyDescent="0.25">
      <c r="A614" s="6">
        <v>882</v>
      </c>
      <c r="B614" s="14">
        <v>46255</v>
      </c>
      <c r="C614" s="6" t="s">
        <v>1817</v>
      </c>
      <c r="D614" s="6" t="s">
        <v>313</v>
      </c>
      <c r="E614" s="6" t="s">
        <v>1918</v>
      </c>
      <c r="F614" s="6" t="s">
        <v>61</v>
      </c>
      <c r="G614" s="17" t="s">
        <v>3</v>
      </c>
      <c r="H614" s="17" t="s">
        <v>1916</v>
      </c>
      <c r="I614" s="17" t="s">
        <v>1818</v>
      </c>
    </row>
    <row r="615" spans="1:9" ht="30" customHeight="1" x14ac:dyDescent="0.25">
      <c r="A615" s="6">
        <v>883</v>
      </c>
      <c r="B615" s="14">
        <v>46255</v>
      </c>
      <c r="C615" s="6" t="s">
        <v>2327</v>
      </c>
      <c r="D615" s="6" t="s">
        <v>265</v>
      </c>
      <c r="E615" s="6" t="s">
        <v>1949</v>
      </c>
      <c r="F615" s="6" t="s">
        <v>45</v>
      </c>
      <c r="G615" s="17" t="s">
        <v>3</v>
      </c>
      <c r="H615" s="17" t="s">
        <v>1916</v>
      </c>
      <c r="I615" s="17" t="s">
        <v>2328</v>
      </c>
    </row>
    <row r="616" spans="1:9" ht="30" customHeight="1" x14ac:dyDescent="0.25">
      <c r="A616" s="6">
        <v>884</v>
      </c>
      <c r="B616" s="14">
        <v>46255</v>
      </c>
      <c r="C616" s="6" t="s">
        <v>2329</v>
      </c>
      <c r="D616" s="6" t="s">
        <v>313</v>
      </c>
      <c r="E616" s="6" t="s">
        <v>1949</v>
      </c>
      <c r="F616" s="6" t="s">
        <v>2330</v>
      </c>
      <c r="G616" s="17" t="s">
        <v>3</v>
      </c>
      <c r="H616" s="17" t="s">
        <v>1916</v>
      </c>
      <c r="I616" s="17" t="s">
        <v>2330</v>
      </c>
    </row>
    <row r="617" spans="1:9" ht="30" customHeight="1" x14ac:dyDescent="0.25">
      <c r="A617" s="6">
        <v>885</v>
      </c>
      <c r="B617" s="14">
        <v>46256</v>
      </c>
      <c r="C617" s="6" t="s">
        <v>1820</v>
      </c>
      <c r="D617" s="6" t="s">
        <v>205</v>
      </c>
      <c r="E617" s="6" t="s">
        <v>1918</v>
      </c>
      <c r="F617" s="6" t="s">
        <v>101</v>
      </c>
      <c r="G617" s="17" t="s">
        <v>3</v>
      </c>
      <c r="H617" s="17" t="s">
        <v>1916</v>
      </c>
      <c r="I617" s="17" t="s">
        <v>1821</v>
      </c>
    </row>
    <row r="618" spans="1:9" ht="30" customHeight="1" x14ac:dyDescent="0.25">
      <c r="A618" s="6">
        <v>886</v>
      </c>
      <c r="B618" s="14">
        <v>46256</v>
      </c>
      <c r="C618" s="6" t="s">
        <v>1823</v>
      </c>
      <c r="D618" s="6" t="s">
        <v>313</v>
      </c>
      <c r="E618" s="6" t="s">
        <v>1918</v>
      </c>
      <c r="F618" s="6" t="s">
        <v>160</v>
      </c>
      <c r="G618" s="17" t="s">
        <v>3</v>
      </c>
      <c r="H618" s="17" t="s">
        <v>1916</v>
      </c>
      <c r="I618" s="17" t="s">
        <v>1824</v>
      </c>
    </row>
    <row r="619" spans="1:9" ht="30" customHeight="1" x14ac:dyDescent="0.25">
      <c r="A619" s="6">
        <v>887</v>
      </c>
      <c r="B619" s="14">
        <v>46258</v>
      </c>
      <c r="C619" s="6" t="s">
        <v>1829</v>
      </c>
      <c r="D619" s="6" t="s">
        <v>205</v>
      </c>
      <c r="E619" s="6" t="s">
        <v>1918</v>
      </c>
      <c r="F619" s="6" t="s">
        <v>51</v>
      </c>
      <c r="G619" s="17" t="s">
        <v>3</v>
      </c>
      <c r="H619" s="17" t="s">
        <v>1916</v>
      </c>
      <c r="I619" s="17" t="s">
        <v>1830</v>
      </c>
    </row>
    <row r="620" spans="1:9" ht="30" customHeight="1" x14ac:dyDescent="0.25">
      <c r="A620" s="6">
        <v>888</v>
      </c>
      <c r="B620" s="14">
        <v>46258</v>
      </c>
      <c r="C620" s="6" t="s">
        <v>1826</v>
      </c>
      <c r="D620" s="6" t="s">
        <v>313</v>
      </c>
      <c r="E620" s="6" t="s">
        <v>1918</v>
      </c>
      <c r="F620" s="6" t="s">
        <v>65</v>
      </c>
      <c r="G620" s="17" t="s">
        <v>3</v>
      </c>
      <c r="H620" s="17" t="s">
        <v>1916</v>
      </c>
      <c r="I620" s="17" t="s">
        <v>1827</v>
      </c>
    </row>
    <row r="621" spans="1:9" ht="30" customHeight="1" x14ac:dyDescent="0.25">
      <c r="A621" s="6">
        <v>889</v>
      </c>
      <c r="B621" s="14">
        <v>46259</v>
      </c>
      <c r="C621" s="6" t="s">
        <v>1832</v>
      </c>
      <c r="D621" s="6" t="s">
        <v>313</v>
      </c>
      <c r="E621" s="6" t="s">
        <v>1918</v>
      </c>
      <c r="F621" s="6" t="s">
        <v>65</v>
      </c>
      <c r="G621" s="17" t="s">
        <v>1833</v>
      </c>
      <c r="H621" s="17" t="s">
        <v>1916</v>
      </c>
      <c r="I621" s="17" t="s">
        <v>1834</v>
      </c>
    </row>
    <row r="622" spans="1:9" ht="30" customHeight="1" x14ac:dyDescent="0.25">
      <c r="A622" s="6">
        <v>890</v>
      </c>
      <c r="B622" s="14">
        <v>46259</v>
      </c>
      <c r="C622" s="6" t="s">
        <v>1836</v>
      </c>
      <c r="D622" s="6" t="s">
        <v>205</v>
      </c>
      <c r="E622" s="6" t="s">
        <v>1918</v>
      </c>
      <c r="F622" s="6" t="s">
        <v>51</v>
      </c>
      <c r="G622" s="17" t="s">
        <v>3</v>
      </c>
      <c r="H622" s="17" t="s">
        <v>1916</v>
      </c>
      <c r="I622" s="17" t="s">
        <v>1837</v>
      </c>
    </row>
    <row r="623" spans="1:9" ht="30" customHeight="1" x14ac:dyDescent="0.25">
      <c r="A623" s="6">
        <v>891</v>
      </c>
      <c r="B623" s="14">
        <v>46260</v>
      </c>
      <c r="C623" s="6" t="s">
        <v>1839</v>
      </c>
      <c r="D623" s="6" t="s">
        <v>313</v>
      </c>
      <c r="E623" s="6" t="s">
        <v>1918</v>
      </c>
      <c r="F623" s="6" t="s">
        <v>42</v>
      </c>
      <c r="G623" s="17" t="s">
        <v>1840</v>
      </c>
      <c r="H623" s="17" t="s">
        <v>1916</v>
      </c>
      <c r="I623" s="17" t="s">
        <v>1841</v>
      </c>
    </row>
    <row r="624" spans="1:9" ht="30" customHeight="1" x14ac:dyDescent="0.25">
      <c r="A624" s="6">
        <v>892</v>
      </c>
      <c r="B624" s="14">
        <v>46260</v>
      </c>
      <c r="C624" s="6" t="s">
        <v>2331</v>
      </c>
      <c r="D624" s="6" t="s">
        <v>265</v>
      </c>
      <c r="E624" s="6" t="s">
        <v>1949</v>
      </c>
      <c r="F624" s="6" t="s">
        <v>2332</v>
      </c>
      <c r="G624" s="17" t="s">
        <v>3</v>
      </c>
      <c r="H624" s="17" t="s">
        <v>1916</v>
      </c>
      <c r="I624" s="17" t="s">
        <v>2332</v>
      </c>
    </row>
    <row r="625" spans="1:9" ht="30" customHeight="1" x14ac:dyDescent="0.25">
      <c r="A625" s="6">
        <v>893</v>
      </c>
      <c r="B625" s="14">
        <v>46260</v>
      </c>
      <c r="C625" s="6" t="s">
        <v>2333</v>
      </c>
      <c r="D625" s="6" t="s">
        <v>313</v>
      </c>
      <c r="E625" s="6" t="s">
        <v>1949</v>
      </c>
      <c r="F625" s="6" t="s">
        <v>2334</v>
      </c>
      <c r="G625" s="17" t="s">
        <v>3</v>
      </c>
      <c r="H625" s="17" t="s">
        <v>1919</v>
      </c>
      <c r="I625" s="17" t="s">
        <v>2335</v>
      </c>
    </row>
    <row r="626" spans="1:9" ht="30" customHeight="1" x14ac:dyDescent="0.25">
      <c r="A626" s="6">
        <v>894</v>
      </c>
      <c r="B626" s="14">
        <v>46260</v>
      </c>
      <c r="C626" s="6" t="s">
        <v>2336</v>
      </c>
      <c r="D626" s="6" t="s">
        <v>1877</v>
      </c>
      <c r="E626" s="6" t="s">
        <v>1949</v>
      </c>
      <c r="F626" s="6" t="s">
        <v>45</v>
      </c>
      <c r="G626" s="17" t="s">
        <v>3</v>
      </c>
      <c r="H626" s="17" t="s">
        <v>1916</v>
      </c>
      <c r="I626" s="17" t="s">
        <v>2337</v>
      </c>
    </row>
    <row r="627" spans="1:9" ht="30" customHeight="1" x14ac:dyDescent="0.25">
      <c r="A627" s="6">
        <v>895</v>
      </c>
      <c r="B627" s="14">
        <v>46260</v>
      </c>
      <c r="C627" s="6" t="s">
        <v>2338</v>
      </c>
      <c r="D627" s="6" t="s">
        <v>1528</v>
      </c>
      <c r="E627" s="6" t="s">
        <v>1949</v>
      </c>
      <c r="F627" s="6" t="s">
        <v>45</v>
      </c>
      <c r="G627" s="17" t="s">
        <v>3</v>
      </c>
      <c r="H627" s="17" t="s">
        <v>1916</v>
      </c>
      <c r="I627" s="17" t="s">
        <v>3</v>
      </c>
    </row>
    <row r="628" spans="1:9" ht="30" customHeight="1" x14ac:dyDescent="0.25">
      <c r="A628" s="6">
        <v>896</v>
      </c>
      <c r="B628" s="14">
        <v>46260</v>
      </c>
      <c r="C628" s="6" t="s">
        <v>1846</v>
      </c>
      <c r="D628" s="6" t="s">
        <v>205</v>
      </c>
      <c r="E628" s="6" t="s">
        <v>1918</v>
      </c>
      <c r="F628" s="6" t="s">
        <v>101</v>
      </c>
      <c r="G628" s="17" t="s">
        <v>3</v>
      </c>
      <c r="H628" s="17" t="s">
        <v>1916</v>
      </c>
      <c r="I628" s="17" t="s">
        <v>1847</v>
      </c>
    </row>
    <row r="629" spans="1:9" ht="30" customHeight="1" x14ac:dyDescent="0.25">
      <c r="A629" s="6">
        <v>897</v>
      </c>
      <c r="B629" s="14">
        <v>46260</v>
      </c>
      <c r="C629" s="6" t="s">
        <v>1843</v>
      </c>
      <c r="D629" s="6" t="s">
        <v>205</v>
      </c>
      <c r="E629" s="6" t="s">
        <v>1918</v>
      </c>
      <c r="F629" s="6" t="s">
        <v>42</v>
      </c>
      <c r="G629" s="17" t="s">
        <v>3</v>
      </c>
      <c r="H629" s="17" t="s">
        <v>1916</v>
      </c>
      <c r="I629" s="17" t="s">
        <v>1844</v>
      </c>
    </row>
    <row r="630" spans="1:9" ht="30" customHeight="1" x14ac:dyDescent="0.25">
      <c r="A630" s="6">
        <v>898</v>
      </c>
      <c r="B630" s="14">
        <v>46260</v>
      </c>
      <c r="C630" s="6" t="s">
        <v>2339</v>
      </c>
      <c r="D630" s="6" t="s">
        <v>265</v>
      </c>
      <c r="E630" s="6" t="s">
        <v>1949</v>
      </c>
      <c r="F630" s="6" t="s">
        <v>45</v>
      </c>
      <c r="G630" s="17" t="s">
        <v>3</v>
      </c>
      <c r="H630" s="17" t="s">
        <v>1916</v>
      </c>
      <c r="I630" s="17" t="s">
        <v>2340</v>
      </c>
    </row>
    <row r="631" spans="1:9" ht="30" customHeight="1" x14ac:dyDescent="0.25">
      <c r="A631" s="6">
        <v>899</v>
      </c>
      <c r="B631" s="14">
        <v>46261</v>
      </c>
      <c r="C631" s="6" t="s">
        <v>1852</v>
      </c>
      <c r="D631" s="6" t="s">
        <v>313</v>
      </c>
      <c r="E631" s="6" t="s">
        <v>1918</v>
      </c>
      <c r="F631" s="6" t="s">
        <v>173</v>
      </c>
      <c r="G631" s="17" t="s">
        <v>3</v>
      </c>
      <c r="H631" s="17" t="s">
        <v>1916</v>
      </c>
      <c r="I631" s="17" t="s">
        <v>1853</v>
      </c>
    </row>
    <row r="632" spans="1:9" ht="30" customHeight="1" x14ac:dyDescent="0.25">
      <c r="A632" s="6">
        <v>900</v>
      </c>
      <c r="B632" s="14">
        <v>46262</v>
      </c>
      <c r="C632" s="6" t="s">
        <v>1849</v>
      </c>
      <c r="D632" s="6" t="s">
        <v>205</v>
      </c>
      <c r="E632" s="6" t="s">
        <v>1918</v>
      </c>
      <c r="F632" s="6" t="s">
        <v>154</v>
      </c>
      <c r="G632" s="17" t="s">
        <v>3</v>
      </c>
      <c r="H632" s="17" t="s">
        <v>1916</v>
      </c>
      <c r="I632" s="17" t="s">
        <v>1850</v>
      </c>
    </row>
    <row r="633" spans="1:9" ht="30" customHeight="1" x14ac:dyDescent="0.25">
      <c r="A633" s="6">
        <v>901</v>
      </c>
      <c r="B633" s="14">
        <v>46263</v>
      </c>
      <c r="C633" s="6" t="s">
        <v>1855</v>
      </c>
      <c r="D633" s="6" t="s">
        <v>205</v>
      </c>
      <c r="E633" s="6" t="s">
        <v>1918</v>
      </c>
      <c r="F633" s="6" t="s">
        <v>51</v>
      </c>
      <c r="G633" s="17" t="s">
        <v>3</v>
      </c>
      <c r="H633" s="17" t="s">
        <v>1916</v>
      </c>
      <c r="I633" s="17" t="s">
        <v>1857</v>
      </c>
    </row>
    <row r="634" spans="1:9" ht="30" customHeight="1" x14ac:dyDescent="0.25">
      <c r="A634" s="6">
        <v>902</v>
      </c>
      <c r="B634" s="14">
        <v>46263</v>
      </c>
      <c r="C634" s="6" t="s">
        <v>1859</v>
      </c>
      <c r="D634" s="6" t="s">
        <v>313</v>
      </c>
      <c r="E634" s="6" t="s">
        <v>1918</v>
      </c>
      <c r="F634" s="6" t="s">
        <v>89</v>
      </c>
      <c r="G634" s="17" t="s">
        <v>3</v>
      </c>
      <c r="H634" s="17" t="s">
        <v>1916</v>
      </c>
      <c r="I634" s="17" t="s">
        <v>1860</v>
      </c>
    </row>
    <row r="635" spans="1:9" ht="30" customHeight="1" x14ac:dyDescent="0.25">
      <c r="A635" s="6">
        <v>903</v>
      </c>
      <c r="B635" s="14">
        <v>46263</v>
      </c>
      <c r="C635" s="6" t="s">
        <v>1865</v>
      </c>
      <c r="D635" s="6" t="s">
        <v>265</v>
      </c>
      <c r="E635" s="6" t="s">
        <v>1918</v>
      </c>
      <c r="F635" s="6" t="s">
        <v>42</v>
      </c>
      <c r="G635" s="17" t="s">
        <v>3</v>
      </c>
      <c r="H635" s="17" t="s">
        <v>1916</v>
      </c>
      <c r="I635" s="17" t="s">
        <v>1867</v>
      </c>
    </row>
    <row r="636" spans="1:9" ht="30" customHeight="1" x14ac:dyDescent="0.25">
      <c r="A636" s="6">
        <v>904</v>
      </c>
      <c r="B636" s="14">
        <v>46263</v>
      </c>
      <c r="C636" s="6" t="s">
        <v>1862</v>
      </c>
      <c r="D636" s="6" t="s">
        <v>265</v>
      </c>
      <c r="E636" s="6" t="s">
        <v>1918</v>
      </c>
      <c r="F636" s="6" t="s">
        <v>90</v>
      </c>
      <c r="G636" s="17" t="s">
        <v>3</v>
      </c>
      <c r="H636" s="17" t="s">
        <v>1916</v>
      </c>
      <c r="I636" s="17" t="s">
        <v>1863</v>
      </c>
    </row>
    <row r="637" spans="1:9" ht="30" customHeight="1" x14ac:dyDescent="0.25">
      <c r="A637" s="6">
        <v>905</v>
      </c>
      <c r="B637" s="14">
        <v>46264</v>
      </c>
      <c r="C637" s="6" t="s">
        <v>2341</v>
      </c>
      <c r="D637" s="6" t="s">
        <v>313</v>
      </c>
      <c r="E637" s="6" t="s">
        <v>1924</v>
      </c>
      <c r="F637" s="6" t="s">
        <v>1925</v>
      </c>
      <c r="G637" s="17" t="s">
        <v>3</v>
      </c>
      <c r="H637" s="17" t="s">
        <v>1916</v>
      </c>
      <c r="I637" s="17" t="s">
        <v>1926</v>
      </c>
    </row>
    <row r="638" spans="1:9" ht="30" customHeight="1" x14ac:dyDescent="0.25">
      <c r="A638" s="6">
        <v>906</v>
      </c>
      <c r="B638" s="14">
        <v>46264</v>
      </c>
      <c r="C638" s="6" t="s">
        <v>1869</v>
      </c>
      <c r="D638" s="6" t="s">
        <v>313</v>
      </c>
      <c r="E638" s="6" t="s">
        <v>1918</v>
      </c>
      <c r="F638" s="6" t="s">
        <v>65</v>
      </c>
      <c r="G638" s="17" t="s">
        <v>1870</v>
      </c>
      <c r="H638" s="17" t="s">
        <v>1916</v>
      </c>
      <c r="I638" s="17" t="s">
        <v>1871</v>
      </c>
    </row>
    <row r="639" spans="1:9" ht="30" customHeight="1" x14ac:dyDescent="0.25">
      <c r="A639" s="6">
        <v>907</v>
      </c>
      <c r="B639" s="14">
        <v>46265</v>
      </c>
      <c r="C639" s="6" t="s">
        <v>1873</v>
      </c>
      <c r="D639" s="6" t="s">
        <v>313</v>
      </c>
      <c r="E639" s="6" t="s">
        <v>1918</v>
      </c>
      <c r="F639" s="6" t="s">
        <v>89</v>
      </c>
      <c r="G639" s="17" t="s">
        <v>3</v>
      </c>
      <c r="H639" s="17" t="s">
        <v>1916</v>
      </c>
      <c r="I639" s="17" t="s">
        <v>1874</v>
      </c>
    </row>
    <row r="640" spans="1:9" ht="30" customHeight="1" x14ac:dyDescent="0.25">
      <c r="A640" s="6">
        <v>908</v>
      </c>
      <c r="B640" s="14">
        <v>46265</v>
      </c>
      <c r="C640" s="6" t="s">
        <v>2342</v>
      </c>
      <c r="D640" s="6" t="s">
        <v>2343</v>
      </c>
      <c r="E640" s="6" t="s">
        <v>1949</v>
      </c>
      <c r="F640" s="6" t="s">
        <v>2344</v>
      </c>
      <c r="G640" s="17" t="s">
        <v>3</v>
      </c>
      <c r="H640" s="17" t="s">
        <v>1916</v>
      </c>
      <c r="I640" s="17" t="s">
        <v>2344</v>
      </c>
    </row>
    <row r="641" spans="1:9" ht="30" customHeight="1" x14ac:dyDescent="0.25">
      <c r="A641" s="6">
        <v>909</v>
      </c>
      <c r="B641" s="14">
        <v>46265</v>
      </c>
      <c r="C641" s="6" t="s">
        <v>1880</v>
      </c>
      <c r="D641" s="6" t="s">
        <v>265</v>
      </c>
      <c r="E641" s="6" t="s">
        <v>1918</v>
      </c>
      <c r="F641" s="6" t="s">
        <v>146</v>
      </c>
      <c r="G641" s="17" t="s">
        <v>3</v>
      </c>
      <c r="H641" s="17" t="s">
        <v>1916</v>
      </c>
      <c r="I641" s="17" t="s">
        <v>1882</v>
      </c>
    </row>
    <row r="642" spans="1:9" ht="30" customHeight="1" x14ac:dyDescent="0.25">
      <c r="A642" s="6">
        <v>910</v>
      </c>
      <c r="B642" s="14">
        <v>46265</v>
      </c>
      <c r="C642" s="6" t="s">
        <v>1884</v>
      </c>
      <c r="D642" s="6" t="s">
        <v>228</v>
      </c>
      <c r="E642" s="6" t="s">
        <v>1918</v>
      </c>
      <c r="F642" s="6" t="s">
        <v>42</v>
      </c>
      <c r="G642" s="17" t="s">
        <v>3</v>
      </c>
      <c r="H642" s="17" t="s">
        <v>1916</v>
      </c>
      <c r="I642" s="17" t="s">
        <v>1885</v>
      </c>
    </row>
    <row r="643" spans="1:9" ht="30" customHeight="1" x14ac:dyDescent="0.25">
      <c r="A643" s="6">
        <v>911</v>
      </c>
      <c r="B643" s="14">
        <v>46265</v>
      </c>
      <c r="C643" s="6" t="s">
        <v>1890</v>
      </c>
      <c r="D643" s="6" t="s">
        <v>1877</v>
      </c>
      <c r="E643" s="6" t="s">
        <v>1918</v>
      </c>
      <c r="F643" s="6" t="s">
        <v>83</v>
      </c>
      <c r="G643" s="17" t="s">
        <v>3</v>
      </c>
      <c r="H643" s="17" t="s">
        <v>1916</v>
      </c>
      <c r="I643" s="17" t="s">
        <v>1892</v>
      </c>
    </row>
    <row r="644" spans="1:9" ht="30" customHeight="1" x14ac:dyDescent="0.25">
      <c r="A644" s="6">
        <v>912</v>
      </c>
      <c r="B644" s="14">
        <v>46265</v>
      </c>
      <c r="C644" s="6" t="s">
        <v>2345</v>
      </c>
      <c r="D644" s="6" t="s">
        <v>265</v>
      </c>
      <c r="E644" s="6" t="s">
        <v>1949</v>
      </c>
      <c r="F644" s="6" t="s">
        <v>2346</v>
      </c>
      <c r="G644" s="17" t="s">
        <v>3</v>
      </c>
      <c r="H644" s="17" t="s">
        <v>1916</v>
      </c>
      <c r="I644" s="17" t="s">
        <v>2347</v>
      </c>
    </row>
    <row r="645" spans="1:9" ht="30" customHeight="1" x14ac:dyDescent="0.25">
      <c r="A645" s="6">
        <v>913</v>
      </c>
      <c r="B645" s="14">
        <v>46265</v>
      </c>
      <c r="C645" s="6" t="s">
        <v>2348</v>
      </c>
      <c r="D645" s="6" t="s">
        <v>265</v>
      </c>
      <c r="E645" s="6" t="s">
        <v>1949</v>
      </c>
      <c r="F645" s="6" t="s">
        <v>2349</v>
      </c>
      <c r="G645" s="17" t="s">
        <v>3</v>
      </c>
      <c r="H645" s="17" t="s">
        <v>1916</v>
      </c>
      <c r="I645" s="17" t="s">
        <v>2350</v>
      </c>
    </row>
    <row r="646" spans="1:9" ht="30" customHeight="1" x14ac:dyDescent="0.25">
      <c r="A646" s="6">
        <v>914</v>
      </c>
      <c r="B646" s="14">
        <v>46265</v>
      </c>
      <c r="C646" s="6" t="s">
        <v>2351</v>
      </c>
      <c r="D646" s="6" t="s">
        <v>1877</v>
      </c>
      <c r="E646" s="6" t="s">
        <v>1949</v>
      </c>
      <c r="F646" s="6" t="s">
        <v>2352</v>
      </c>
      <c r="G646" s="17" t="s">
        <v>3</v>
      </c>
      <c r="H646" s="17" t="s">
        <v>1916</v>
      </c>
      <c r="I646" s="17" t="s">
        <v>2352</v>
      </c>
    </row>
    <row r="647" spans="1:9" ht="30" customHeight="1" x14ac:dyDescent="0.25">
      <c r="A647" s="6">
        <v>915</v>
      </c>
      <c r="B647" s="14">
        <v>46265</v>
      </c>
      <c r="C647" s="6" t="s">
        <v>2353</v>
      </c>
      <c r="D647" s="6" t="s">
        <v>265</v>
      </c>
      <c r="E647" s="6" t="s">
        <v>1949</v>
      </c>
      <c r="F647" s="6" t="s">
        <v>2354</v>
      </c>
      <c r="G647" s="17" t="s">
        <v>3</v>
      </c>
      <c r="H647" s="17" t="s">
        <v>1916</v>
      </c>
      <c r="I647" s="17" t="s">
        <v>2354</v>
      </c>
    </row>
    <row r="648" spans="1:9" ht="30" customHeight="1" x14ac:dyDescent="0.25">
      <c r="A648" s="6">
        <v>916</v>
      </c>
      <c r="B648" s="14">
        <v>46265</v>
      </c>
      <c r="C648" s="6" t="s">
        <v>1876</v>
      </c>
      <c r="D648" s="6" t="s">
        <v>1877</v>
      </c>
      <c r="E648" s="6" t="s">
        <v>1918</v>
      </c>
      <c r="F648" s="6" t="s">
        <v>90</v>
      </c>
      <c r="G648" s="17" t="s">
        <v>3</v>
      </c>
      <c r="H648" s="17" t="s">
        <v>1916</v>
      </c>
      <c r="I648" s="17" t="s">
        <v>1878</v>
      </c>
    </row>
    <row r="649" spans="1:9" ht="30" customHeight="1" x14ac:dyDescent="0.25">
      <c r="A649" s="6">
        <v>917</v>
      </c>
      <c r="B649" s="14">
        <v>46265</v>
      </c>
      <c r="C649" s="6" t="s">
        <v>2355</v>
      </c>
      <c r="D649" s="6" t="s">
        <v>228</v>
      </c>
      <c r="E649" s="6" t="s">
        <v>1949</v>
      </c>
      <c r="F649" s="6" t="s">
        <v>45</v>
      </c>
      <c r="G649" s="17" t="s">
        <v>3</v>
      </c>
      <c r="H649" s="17" t="s">
        <v>1916</v>
      </c>
      <c r="I649" s="17" t="s">
        <v>2356</v>
      </c>
    </row>
    <row r="650" spans="1:9" ht="30" customHeight="1" x14ac:dyDescent="0.25">
      <c r="A650" s="6">
        <v>918</v>
      </c>
      <c r="B650" s="14">
        <v>46265</v>
      </c>
      <c r="C650" s="6" t="s">
        <v>2357</v>
      </c>
      <c r="D650" s="6" t="s">
        <v>1528</v>
      </c>
      <c r="E650" s="6" t="s">
        <v>1949</v>
      </c>
      <c r="F650" s="6" t="s">
        <v>45</v>
      </c>
      <c r="G650" s="17" t="s">
        <v>3</v>
      </c>
      <c r="H650" s="17" t="s">
        <v>1916</v>
      </c>
      <c r="I650" s="17" t="s">
        <v>2358</v>
      </c>
    </row>
    <row r="651" spans="1:9" ht="30" customHeight="1" x14ac:dyDescent="0.25">
      <c r="A651" s="6">
        <v>919</v>
      </c>
      <c r="B651" s="14">
        <v>46265</v>
      </c>
      <c r="C651" s="6" t="s">
        <v>2359</v>
      </c>
      <c r="D651" s="6" t="s">
        <v>1528</v>
      </c>
      <c r="E651" s="6" t="s">
        <v>1931</v>
      </c>
      <c r="F651" s="6" t="s">
        <v>45</v>
      </c>
      <c r="G651" s="17" t="s">
        <v>2360</v>
      </c>
      <c r="H651" s="17" t="s">
        <v>1916</v>
      </c>
      <c r="I651" s="17" t="s">
        <v>2361</v>
      </c>
    </row>
    <row r="652" spans="1:9" ht="30" customHeight="1" x14ac:dyDescent="0.25">
      <c r="A652" s="6">
        <v>920</v>
      </c>
      <c r="B652" s="14">
        <v>46265</v>
      </c>
      <c r="C652" s="6" t="s">
        <v>2362</v>
      </c>
      <c r="D652" s="6" t="s">
        <v>673</v>
      </c>
      <c r="E652" s="6" t="s">
        <v>1949</v>
      </c>
      <c r="F652" s="6" t="s">
        <v>45</v>
      </c>
      <c r="G652" s="17" t="s">
        <v>3</v>
      </c>
      <c r="H652" s="17" t="s">
        <v>1916</v>
      </c>
      <c r="I652" s="17" t="s">
        <v>2363</v>
      </c>
    </row>
    <row r="653" spans="1:9" ht="30" customHeight="1" x14ac:dyDescent="0.25">
      <c r="A653" s="6">
        <v>921</v>
      </c>
      <c r="B653" s="14">
        <v>46265</v>
      </c>
      <c r="C653" s="6" t="s">
        <v>1887</v>
      </c>
      <c r="D653" s="6" t="s">
        <v>205</v>
      </c>
      <c r="E653" s="6" t="s">
        <v>1918</v>
      </c>
      <c r="F653" s="6" t="s">
        <v>42</v>
      </c>
      <c r="G653" s="17" t="s">
        <v>3</v>
      </c>
      <c r="H653" s="17" t="s">
        <v>1916</v>
      </c>
      <c r="I653" s="17" t="s">
        <v>1888</v>
      </c>
    </row>
    <row r="654" spans="1:9" ht="30" customHeight="1" x14ac:dyDescent="0.25">
      <c r="A654" s="6">
        <v>922</v>
      </c>
      <c r="B654" s="14">
        <v>46265</v>
      </c>
      <c r="C654" s="6" t="s">
        <v>2364</v>
      </c>
      <c r="D654" s="6" t="s">
        <v>205</v>
      </c>
      <c r="E654" s="6" t="s">
        <v>1949</v>
      </c>
      <c r="F654" s="6" t="s">
        <v>45</v>
      </c>
      <c r="G654" s="17" t="s">
        <v>3</v>
      </c>
      <c r="H654" s="17" t="s">
        <v>1916</v>
      </c>
      <c r="I654" s="17" t="s">
        <v>2365</v>
      </c>
    </row>
    <row r="655" spans="1:9" ht="30" customHeight="1" x14ac:dyDescent="0.25">
      <c r="A655" s="6">
        <v>923</v>
      </c>
      <c r="B655" s="14">
        <v>46266</v>
      </c>
      <c r="C655" s="6" t="s">
        <v>2366</v>
      </c>
      <c r="D655" s="6" t="s">
        <v>812</v>
      </c>
      <c r="E655" s="6" t="s">
        <v>1949</v>
      </c>
      <c r="F655" s="6" t="s">
        <v>2367</v>
      </c>
      <c r="G655" s="17" t="s">
        <v>3</v>
      </c>
      <c r="H655" s="17" t="s">
        <v>1916</v>
      </c>
      <c r="I655" s="17" t="s">
        <v>2367</v>
      </c>
    </row>
    <row r="656" spans="1:9" ht="30" customHeight="1" x14ac:dyDescent="0.25">
      <c r="A656" s="6">
        <v>924</v>
      </c>
      <c r="B656" s="14">
        <v>46266</v>
      </c>
      <c r="C656" s="6" t="s">
        <v>2368</v>
      </c>
      <c r="D656" s="6" t="s">
        <v>2343</v>
      </c>
      <c r="E656" s="6" t="s">
        <v>1949</v>
      </c>
      <c r="F656" s="6" t="s">
        <v>2369</v>
      </c>
      <c r="G656" s="17" t="s">
        <v>3</v>
      </c>
      <c r="H656" s="17" t="s">
        <v>1916</v>
      </c>
      <c r="I656" s="17" t="s">
        <v>2369</v>
      </c>
    </row>
    <row r="657" spans="1:9" ht="30" customHeight="1" x14ac:dyDescent="0.25">
      <c r="A657" s="6">
        <v>925</v>
      </c>
      <c r="B657" s="14">
        <v>46266</v>
      </c>
      <c r="C657" s="6" t="s">
        <v>2370</v>
      </c>
      <c r="D657" s="6" t="s">
        <v>2343</v>
      </c>
      <c r="E657" s="6" t="s">
        <v>1949</v>
      </c>
      <c r="F657" s="6" t="s">
        <v>2344</v>
      </c>
      <c r="G657" s="17" t="s">
        <v>3</v>
      </c>
      <c r="H657" s="17" t="s">
        <v>1916</v>
      </c>
      <c r="I657" s="17" t="s">
        <v>2344</v>
      </c>
    </row>
    <row r="658" spans="1:9" ht="30" customHeight="1" x14ac:dyDescent="0.25">
      <c r="A658" s="6">
        <v>926</v>
      </c>
      <c r="B658" s="14">
        <v>46266</v>
      </c>
      <c r="C658" s="6" t="s">
        <v>2371</v>
      </c>
      <c r="D658" s="6" t="s">
        <v>265</v>
      </c>
      <c r="E658" s="6" t="s">
        <v>1949</v>
      </c>
      <c r="F658" s="6" t="s">
        <v>45</v>
      </c>
      <c r="G658" s="17" t="s">
        <v>3</v>
      </c>
      <c r="H658" s="17" t="s">
        <v>1916</v>
      </c>
      <c r="I658" s="17" t="s">
        <v>3</v>
      </c>
    </row>
    <row r="659" spans="1:9" ht="30" customHeight="1" x14ac:dyDescent="0.25">
      <c r="A659" s="6">
        <v>927</v>
      </c>
      <c r="B659" s="14">
        <v>46266</v>
      </c>
      <c r="C659" s="6" t="s">
        <v>2372</v>
      </c>
      <c r="D659" s="6" t="s">
        <v>265</v>
      </c>
      <c r="E659" s="6" t="s">
        <v>1949</v>
      </c>
      <c r="F659" s="6" t="s">
        <v>45</v>
      </c>
      <c r="G659" s="17" t="s">
        <v>3</v>
      </c>
      <c r="H659" s="17" t="s">
        <v>1916</v>
      </c>
      <c r="I659" s="17" t="s">
        <v>3</v>
      </c>
    </row>
    <row r="660" spans="1:9" ht="30" customHeight="1" x14ac:dyDescent="0.25">
      <c r="A660" s="6">
        <v>928</v>
      </c>
      <c r="B660" s="14">
        <v>46266</v>
      </c>
      <c r="C660" s="6" t="s">
        <v>1894</v>
      </c>
      <c r="D660" s="6" t="s">
        <v>1877</v>
      </c>
      <c r="E660" s="6" t="s">
        <v>1918</v>
      </c>
      <c r="F660" s="6" t="s">
        <v>51</v>
      </c>
      <c r="G660" s="17" t="s">
        <v>3</v>
      </c>
      <c r="H660" s="17" t="s">
        <v>1919</v>
      </c>
      <c r="I660" s="17" t="s">
        <v>1896</v>
      </c>
    </row>
    <row r="661" spans="1:9" ht="30" customHeight="1" x14ac:dyDescent="0.25">
      <c r="A661" s="6">
        <v>929</v>
      </c>
      <c r="B661" s="14">
        <v>46266</v>
      </c>
      <c r="C661" s="6" t="s">
        <v>2373</v>
      </c>
      <c r="D661" s="6" t="s">
        <v>1877</v>
      </c>
      <c r="E661" s="6" t="s">
        <v>1924</v>
      </c>
      <c r="F661" s="6" t="s">
        <v>1925</v>
      </c>
      <c r="G661" s="17" t="s">
        <v>3</v>
      </c>
      <c r="H661" s="17" t="s">
        <v>1916</v>
      </c>
      <c r="I661" s="17" t="s">
        <v>1926</v>
      </c>
    </row>
    <row r="662" spans="1:9" ht="30" customHeight="1" x14ac:dyDescent="0.25">
      <c r="A662" s="6">
        <v>930</v>
      </c>
      <c r="B662" s="14">
        <v>46266</v>
      </c>
      <c r="C662" s="6" t="s">
        <v>1898</v>
      </c>
      <c r="D662" s="6" t="s">
        <v>313</v>
      </c>
      <c r="E662" s="6" t="s">
        <v>1918</v>
      </c>
      <c r="F662" s="6" t="s">
        <v>83</v>
      </c>
      <c r="G662" s="17" t="s">
        <v>1900</v>
      </c>
      <c r="H662" s="17" t="s">
        <v>1916</v>
      </c>
      <c r="I662" s="17" t="s">
        <v>1901</v>
      </c>
    </row>
    <row r="663" spans="1:9" ht="30" customHeight="1" x14ac:dyDescent="0.25">
      <c r="A663" s="12">
        <v>931</v>
      </c>
      <c r="B663" s="16">
        <v>46267</v>
      </c>
      <c r="C663" s="12" t="s">
        <v>2374</v>
      </c>
      <c r="D663" s="12" t="s">
        <v>2264</v>
      </c>
      <c r="E663" s="12" t="s">
        <v>1949</v>
      </c>
      <c r="F663" s="12" t="s">
        <v>2375</v>
      </c>
      <c r="G663" s="18" t="s">
        <v>3</v>
      </c>
      <c r="H663" s="18" t="s">
        <v>1916</v>
      </c>
      <c r="I663" s="18" t="s">
        <v>2375</v>
      </c>
    </row>
  </sheetData>
  <mergeCells count="2">
    <mergeCell ref="A1:I1"/>
    <mergeCell ref="A2:I2"/>
  </mergeCells>
  <pageMargins left="0.25" right="0.25" top="0.35" bottom="0.35" header="0.3" footer="0.3"/>
  <pageSetup scale="48" fitToHeight="0" orientation="landscape" r:id="rId1"/>
  <ignoredErrors>
    <ignoredError sqref="A1:I66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14"/>
  <sheetViews>
    <sheetView showGridLines="0" tabSelected="1" workbookViewId="0">
      <pane ySplit="4" topLeftCell="A5" activePane="bottomLeft" state="frozenSplit"/>
      <selection pane="bottomLeft" sqref="A1:B14"/>
    </sheetView>
  </sheetViews>
  <sheetFormatPr defaultRowHeight="13.5" x14ac:dyDescent="0.25"/>
  <cols>
    <col min="1" max="1" width="31.625" style="1" customWidth="1"/>
    <col min="2" max="2" width="100.625" style="19" customWidth="1"/>
    <col min="3" max="16384" width="9" style="1"/>
  </cols>
  <sheetData>
    <row r="1" spans="1:2" ht="30" customHeight="1" x14ac:dyDescent="0.25">
      <c r="A1" s="4" t="s">
        <v>2376</v>
      </c>
      <c r="B1" s="4"/>
    </row>
    <row r="2" spans="1:2" ht="24" customHeight="1" x14ac:dyDescent="0.25">
      <c r="A2" s="5" t="s">
        <v>2377</v>
      </c>
      <c r="B2" s="5"/>
    </row>
    <row r="3" spans="1:2" x14ac:dyDescent="0.25">
      <c r="A3" s="6"/>
      <c r="B3" s="17"/>
    </row>
    <row r="4" spans="1:2" ht="32.1" customHeight="1" x14ac:dyDescent="0.25">
      <c r="A4" s="13" t="s">
        <v>2378</v>
      </c>
      <c r="B4" s="13" t="s">
        <v>2379</v>
      </c>
    </row>
    <row r="5" spans="1:2" x14ac:dyDescent="0.25">
      <c r="A5" s="28" t="s">
        <v>2380</v>
      </c>
      <c r="B5" s="17" t="s">
        <v>2381</v>
      </c>
    </row>
    <row r="6" spans="1:2" x14ac:dyDescent="0.25">
      <c r="A6" s="28" t="s">
        <v>2382</v>
      </c>
      <c r="B6" s="17" t="s">
        <v>2383</v>
      </c>
    </row>
    <row r="7" spans="1:2" x14ac:dyDescent="0.25">
      <c r="A7" s="28" t="s">
        <v>2384</v>
      </c>
      <c r="B7" s="17" t="s">
        <v>2385</v>
      </c>
    </row>
    <row r="8" spans="1:2" x14ac:dyDescent="0.25">
      <c r="A8" s="28" t="s">
        <v>180</v>
      </c>
      <c r="B8" s="17" t="s">
        <v>2386</v>
      </c>
    </row>
    <row r="9" spans="1:2" x14ac:dyDescent="0.25">
      <c r="A9" s="28" t="s">
        <v>29</v>
      </c>
      <c r="B9" s="17" t="s">
        <v>2387</v>
      </c>
    </row>
    <row r="10" spans="1:2" x14ac:dyDescent="0.25">
      <c r="A10" s="28" t="s">
        <v>2388</v>
      </c>
      <c r="B10" s="17" t="s">
        <v>2389</v>
      </c>
    </row>
    <row r="11" spans="1:2" x14ac:dyDescent="0.25">
      <c r="A11" s="28" t="s">
        <v>1906</v>
      </c>
      <c r="B11" s="17" t="s">
        <v>2390</v>
      </c>
    </row>
    <row r="12" spans="1:2" x14ac:dyDescent="0.25">
      <c r="A12" s="28" t="s">
        <v>201</v>
      </c>
      <c r="B12" s="17" t="s">
        <v>2391</v>
      </c>
    </row>
    <row r="13" spans="1:2" x14ac:dyDescent="0.25">
      <c r="A13" s="28" t="s">
        <v>2392</v>
      </c>
      <c r="B13" s="17" t="s">
        <v>2393</v>
      </c>
    </row>
    <row r="14" spans="1:2" x14ac:dyDescent="0.25">
      <c r="A14" s="29" t="s">
        <v>2394</v>
      </c>
      <c r="B14" s="18" t="s">
        <v>2395</v>
      </c>
    </row>
  </sheetData>
  <mergeCells count="2">
    <mergeCell ref="A1:B1"/>
    <mergeCell ref="A2:B2"/>
  </mergeCells>
  <pageMargins left="0.25" right="0.25" top="0.35" bottom="0.35" header="0.3" footer="0.3"/>
  <pageSetup scale="93" fitToHeight="0" orientation="landscape" r:id="rId1"/>
  <ignoredErrors>
    <ignoredError sqref="A1:B1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Kopsavilkums</vt:lpstr>
      <vt:lpstr>Projekti</vt:lpstr>
      <vt:lpstr>Vietņu ieraksti</vt:lpstr>
      <vt:lpstr>Pārskatīšana</vt:lpstr>
      <vt:lpstr>Avota ziņas</vt:lpstr>
      <vt:lpstr>Norādes</vt:lpstr>
      <vt:lpstr>'Avota ziņas'!_FilterDatabase</vt:lpstr>
      <vt:lpstr>Norādes!_FilterDatabase</vt:lpstr>
      <vt:lpstr>Pārskatīšana!_FilterDatabase</vt:lpstr>
      <vt:lpstr>Projekti!_FilterDatabase</vt:lpstr>
      <vt:lpstr>'Vietņu ieraksti'!_FilterDatabase</vt:lpstr>
    </vt:vector>
  </TitlesOfParts>
  <Company>Līmeņi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WhatsApp 2026 dienasgrāmatas ierakstu pārskats</dc:title>
  <dc:subject>Pirmsimporta pārbaude organizācijai 58467603-196e-4661-83ff-fe26e4b0ff0b</dc:subject>
  <dc:creator>WorksRecorded</dc:creator>
  <cp:lastModifiedBy>Vjaceslavs Gromatovics</cp:lastModifiedBy>
  <dcterms:created xsi:type="dcterms:W3CDTF">2026-09-02T09:22:35Z</dcterms:created>
  <dcterms:modified xsi:type="dcterms:W3CDTF">2026-09-02T09:23:03Z</dcterms:modified>
</cp:coreProperties>
</file>